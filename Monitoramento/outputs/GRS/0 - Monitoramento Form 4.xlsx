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Monitoramento" sheetId="2" state="visible" r:id="rId2"/>
    <sheet xmlns:r="http://schemas.openxmlformats.org/officeDocument/2006/relationships" name="Regionais" sheetId="3" state="visible" r:id="rId3"/>
    <sheet xmlns:r="http://schemas.openxmlformats.org/officeDocument/2006/relationships" name="08.24" sheetId="4" state="visible" r:id="rId4"/>
    <sheet xmlns:r="http://schemas.openxmlformats.org/officeDocument/2006/relationships" name="09.24" sheetId="5" state="visible" r:id="rId5"/>
    <sheet xmlns:r="http://schemas.openxmlformats.org/officeDocument/2006/relationships" name="10.24" sheetId="6" state="visible" r:id="rId6"/>
    <sheet xmlns:r="http://schemas.openxmlformats.org/officeDocument/2006/relationships" name="11.24" sheetId="7" state="visible" r:id="rId7"/>
    <sheet xmlns:r="http://schemas.openxmlformats.org/officeDocument/2006/relationships" name="12.24" sheetId="8" state="visible" r:id="rId8"/>
    <sheet xmlns:r="http://schemas.openxmlformats.org/officeDocument/2006/relationships" name="01.25" sheetId="9" state="visible" r:id="rId9"/>
    <sheet xmlns:r="http://schemas.openxmlformats.org/officeDocument/2006/relationships" name="02.25" sheetId="10" state="visible" r:id="rId10"/>
    <sheet xmlns:r="http://schemas.openxmlformats.org/officeDocument/2006/relationships" name="03.25" sheetId="11" state="visible" r:id="rId11"/>
    <sheet xmlns:r="http://schemas.openxmlformats.org/officeDocument/2006/relationships" name="04.25" sheetId="12" state="visible" r:id="rId12"/>
    <sheet xmlns:r="http://schemas.openxmlformats.org/officeDocument/2006/relationships" name="05.25" sheetId="13" state="visible" r:id="rId13"/>
    <sheet xmlns:r="http://schemas.openxmlformats.org/officeDocument/2006/relationships" name="06.25" sheetId="14" state="visible" r:id="rId14"/>
    <sheet xmlns:r="http://schemas.openxmlformats.org/officeDocument/2006/relationships" name="07.25" sheetId="15" state="visible" r:id="rId15"/>
    <sheet xmlns:r="http://schemas.openxmlformats.org/officeDocument/2006/relationships" name="08.25" sheetId="16" state="visible" r:id="rId16"/>
    <sheet xmlns:r="http://schemas.openxmlformats.org/officeDocument/2006/relationships" name="09.25" sheetId="17" state="visible" r:id="rId17"/>
    <sheet xmlns:r="http://schemas.openxmlformats.org/officeDocument/2006/relationships" name="10.25" sheetId="18" state="visible" r:id="rId18"/>
    <sheet xmlns:r="http://schemas.openxmlformats.org/officeDocument/2006/relationships" name="11.25" sheetId="19" state="visible" r:id="rId19"/>
    <sheet xmlns:r="http://schemas.openxmlformats.org/officeDocument/2006/relationships" name="12.25" sheetId="20" state="visible" r:id="rId20"/>
    <sheet xmlns:r="http://schemas.openxmlformats.org/officeDocument/2006/relationships" name="Irregulares" sheetId="21" state="visible" r:id="rId21"/>
  </sheets>
  <definedNames>
    <definedName name="_xlnm._FilterDatabase" localSheetId="3" hidden="1">'08.24'!$A$1:$G$1</definedName>
    <definedName name="_xlnm._FilterDatabase" localSheetId="4" hidden="1">'09.24'!$A$1:$G$1</definedName>
    <definedName name="_xlnm._FilterDatabase" localSheetId="5" hidden="1">'10.24'!$A$1:$G$1</definedName>
    <definedName name="_xlnm._FilterDatabase" localSheetId="6" hidden="1">'11.24'!$A$1:$G$1</definedName>
    <definedName name="_xlnm._FilterDatabase" localSheetId="7" hidden="1">'12.24'!$A$1:$G$1</definedName>
    <definedName name="_xlnm._FilterDatabase" localSheetId="8" hidden="1">'01.25'!$A$1:$G$1</definedName>
    <definedName name="_xlnm._FilterDatabase" localSheetId="9" hidden="1">'02.25'!$A$1:$G$1</definedName>
    <definedName name="_xlnm._FilterDatabase" localSheetId="10" hidden="1">'03.25'!$A$1:$G$1</definedName>
    <definedName name="_xlnm._FilterDatabase" localSheetId="11" hidden="1">'04.25'!$A$1:$G$1</definedName>
    <definedName name="_xlnm._FilterDatabase" localSheetId="12" hidden="1">'05.25'!$A$1:$G$1</definedName>
    <definedName name="_xlnm._FilterDatabase" localSheetId="13" hidden="1">'06.25'!$A$1:$G$1</definedName>
    <definedName name="_xlnm._FilterDatabase" localSheetId="14" hidden="1">'07.25'!$A$1:$G$1</definedName>
    <definedName name="_xlnm._FilterDatabase" localSheetId="15" hidden="1">'08.25'!$A$1:$G$1</definedName>
    <definedName name="_xlnm._FilterDatabase" localSheetId="16" hidden="1">'09.25'!$A$1:$G$1</definedName>
    <definedName name="_xlnm._FilterDatabase" localSheetId="17" hidden="1">'10.25'!$A$1:$G$1</definedName>
    <definedName name="_xlnm._FilterDatabase" localSheetId="18" hidden="1">'11.25'!$A$1:$G$1</definedName>
    <definedName name="_xlnm._FilterDatabase" localSheetId="19" hidden="1">'12.25'!$A$1:$G$1</definedName>
    <definedName name="_xlnm._FilterDatabase" localSheetId="20" hidden="1">'Irregulares'!$A$1:$G$1</definedName>
  </definedNames>
  <calcPr calcId="124519" fullCalcOnLoad="1"/>
</workbook>
</file>

<file path=xl/styles.xml><?xml version="1.0" encoding="utf-8"?>
<styleSheet xmlns="http://schemas.openxmlformats.org/spreadsheetml/2006/main">
  <numFmts count="2">
    <numFmt numFmtId="164" formatCode="0.0%"/>
    <numFmt numFmtId="165" formatCode="yyyy-mm-dd h:mm:ss"/>
  </numFmts>
  <fonts count="24">
    <font>
      <name val="Calibri"/>
      <family val="2"/>
      <color theme="1"/>
      <sz val="11"/>
      <scheme val="minor"/>
    </font>
    <font>
      <name val="Calibri"/>
      <color theme="0"/>
      <sz val="14"/>
    </font>
    <font>
      <name val="Calibri"/>
      <b val="1"/>
      <color theme="0"/>
      <sz val="14"/>
    </font>
    <font>
      <name val="Calibri"/>
      <color theme="1"/>
      <sz val="12"/>
    </font>
    <font>
      <name val="Calibri"/>
      <color theme="1"/>
      <sz val="11"/>
    </font>
    <font>
      <name val="Calibri"/>
      <b val="1"/>
      <color theme="1"/>
      <sz val="11"/>
    </font>
    <font>
      <name val="Calibri"/>
      <b val="1"/>
      <color theme="1"/>
      <sz val="12"/>
    </font>
    <font>
      <name val="Aptos Narrow"/>
      <b val="1"/>
      <color theme="1"/>
      <sz val="12"/>
    </font>
    <font>
      <name val="Calibri"/>
      <color theme="0"/>
      <sz val="16"/>
    </font>
    <font>
      <name val="Calibri"/>
      <color theme="1"/>
      <sz val="18"/>
    </font>
    <font>
      <name val="Calibri"/>
      <color theme="0"/>
      <sz val="12"/>
    </font>
    <font>
      <name val="Arial"/>
      <b val="1"/>
      <sz val="10"/>
    </font>
    <font>
      <name val="Arial"/>
      <b val="1"/>
      <color rgb="FFFFFFFF"/>
      <sz val="8"/>
    </font>
    <font>
      <name val="Calibri"/>
      <b val="1"/>
      <color theme="0"/>
      <sz val="11"/>
    </font>
    <font>
      <name val="Arial"/>
      <color rgb="FF000000"/>
      <sz val="9"/>
    </font>
    <font>
      <name val="Arial"/>
      <sz val="10"/>
    </font>
    <font>
      <name val="Calibri"/>
      <b val="1"/>
      <sz val="11"/>
    </font>
    <font>
      <name val="Calibri"/>
      <color rgb="FF000000"/>
      <sz val="11"/>
    </font>
    <font>
      <name val="Arial"/>
      <color rgb="FFFFFFFF"/>
      <sz val="11"/>
    </font>
    <font>
      <name val="Aptos Narrow"/>
      <color theme="0"/>
      <sz val="12"/>
    </font>
    <font>
      <name val="Arial"/>
      <color theme="1"/>
      <sz val="11"/>
    </font>
    <font>
      <name val="Arial"/>
      <b val="1"/>
      <color rgb="00FFFFFF"/>
      <sz val="11"/>
    </font>
    <font>
      <name val="Arial"/>
      <sz val="11"/>
    </font>
    <font>
      <name val="Arial"/>
      <color rgb="00FFFFFF"/>
      <sz val="11"/>
    </font>
  </fonts>
  <fills count="62">
    <fill>
      <patternFill/>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
        <bgColor indexed="64"/>
      </patternFill>
    </fill>
    <fill>
      <patternFill patternType="solid">
        <fgColor rgb="FFF5C6AB"/>
        <bgColor indexed="64"/>
      </patternFill>
    </fill>
    <fill>
      <patternFill patternType="solid">
        <fgColor rgb="FFFF8585"/>
        <bgColor indexed="64"/>
      </patternFill>
    </fill>
    <fill>
      <patternFill patternType="solid">
        <fgColor rgb="FFB8CCE4"/>
        <bgColor indexed="64"/>
      </patternFill>
    </fill>
    <fill>
      <patternFill patternType="solid">
        <fgColor rgb="FFCCC0DA"/>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
        <bgColor indexed="64"/>
      </patternFill>
    </fill>
    <fill>
      <patternFill patternType="solid">
        <fgColor rgb="FF00B050"/>
        <bgColor indexed="64"/>
      </patternFill>
    </fill>
    <fill>
      <patternFill patternType="solid">
        <fgColor rgb="FF95B3D7"/>
        <bgColor indexed="64"/>
      </patternFill>
    </fill>
    <fill>
      <patternFill patternType="solid">
        <fgColor rgb="FF366092"/>
        <bgColor indexed="64"/>
      </patternFill>
    </fill>
    <fill>
      <patternFill patternType="solid">
        <fgColor rgb="FFFFF7C9"/>
        <bgColor indexed="64"/>
      </patternFill>
    </fill>
    <fill>
      <patternFill patternType="solid">
        <fgColor theme="0" tint="-0.1499984740745262"/>
        <bgColor indexed="64"/>
      </patternFill>
    </fill>
    <fill>
      <patternFill patternType="solid">
        <fgColor rgb="FFA3DDFF"/>
        <bgColor indexed="64"/>
      </patternFill>
    </fill>
    <fill>
      <patternFill patternType="solid">
        <fgColor theme="7" tint="0.5999938962981048"/>
        <bgColor indexed="64"/>
      </patternFill>
    </fill>
    <fill>
      <patternFill patternType="solid">
        <fgColor rgb="FFEBC99F"/>
        <bgColor indexed="64"/>
      </patternFill>
    </fill>
    <fill>
      <patternFill patternType="solid">
        <fgColor rgb="FFFFD2DE"/>
        <bgColor indexed="64"/>
      </patternFill>
    </fill>
    <fill>
      <patternFill patternType="solid">
        <fgColor rgb="FF91F0D3"/>
        <bgColor indexed="64"/>
      </patternFill>
    </fill>
    <fill>
      <patternFill patternType="solid">
        <fgColor rgb="FFBFBFBF"/>
        <bgColor indexed="64"/>
      </patternFill>
    </fill>
    <fill>
      <patternFill patternType="solid">
        <fgColor theme="1" tint="0.499984740745262"/>
        <bgColor indexed="64"/>
      </patternFill>
    </fill>
    <fill>
      <patternFill patternType="solid">
        <fgColor theme="1"/>
        <bgColor indexed="64"/>
      </patternFill>
    </fill>
    <fill>
      <patternFill patternType="solid">
        <fgColor rgb="FFFFFFFF"/>
        <bgColor indexed="64"/>
      </patternFill>
    </fill>
    <fill>
      <patternFill patternType="solid">
        <fgColor rgb="FFFFFF00"/>
        <bgColor indexed="64"/>
      </patternFill>
    </fill>
    <fill>
      <patternFill patternType="solid">
        <fgColor rgb="FFFF0000"/>
        <bgColor rgb="FFFF0000"/>
      </patternFill>
    </fill>
    <fill>
      <patternFill patternType="solid">
        <fgColor rgb="FFFFC000"/>
        <bgColor indexed="64"/>
      </patternFill>
    </fill>
    <fill>
      <patternFill patternType="solid">
        <fgColor rgb="FF00B0F0"/>
        <bgColor indexed="64"/>
      </patternFill>
    </fill>
    <fill>
      <patternFill patternType="solid">
        <fgColor theme="3" tint="0.249977111117893"/>
        <bgColor indexed="64"/>
      </patternFill>
    </fill>
    <fill>
      <patternFill patternType="solid">
        <fgColor theme="4" tint="0.7999816888943144"/>
        <bgColor theme="4" tint="0.7999816888943144"/>
      </patternFill>
    </fill>
    <fill>
      <patternFill patternType="solid">
        <fgColor rgb="FF7030A0"/>
        <bgColor indexed="64"/>
      </patternFill>
    </fill>
    <fill>
      <patternFill patternType="solid">
        <fgColor rgb="FFFF0000"/>
        <bgColor indexed="64"/>
      </patternFill>
    </fill>
    <fill>
      <patternFill patternType="solid">
        <fgColor rgb="FF92D050"/>
        <bgColor indexed="64"/>
      </patternFill>
    </fill>
    <fill>
      <patternFill patternType="solid">
        <fgColor rgb="00003366"/>
        <bgColor rgb="00003366"/>
      </patternFill>
    </fill>
    <fill>
      <patternFill patternType="solid">
        <fgColor rgb="FFA3DDFF"/>
        <bgColor rgb="FFA3DDFF"/>
      </patternFill>
    </fill>
    <fill>
      <patternFill patternType="solid">
        <fgColor rgb="FFFF6666"/>
        <bgColor rgb="FFFF6666"/>
      </patternFill>
    </fill>
    <fill>
      <patternFill patternType="solid">
        <fgColor rgb="00FF6666"/>
        <bgColor rgb="00FF6666"/>
      </patternFill>
    </fill>
    <fill>
      <patternFill patternType="solid">
        <fgColor rgb="00A3DDFF"/>
        <bgColor rgb="00A3DDFF"/>
      </patternFill>
    </fill>
    <fill>
      <patternFill patternType="solid">
        <fgColor rgb="FFFFF7C9"/>
        <bgColor rgb="FFFFF7C9"/>
      </patternFill>
    </fill>
    <fill>
      <patternFill patternType="solid">
        <fgColor rgb="00FFF7C9"/>
        <bgColor rgb="00FFF7C9"/>
      </patternFill>
    </fill>
    <fill>
      <patternFill patternType="solid">
        <fgColor rgb="FFCCC0DA"/>
        <bgColor rgb="FFCCC0DA"/>
      </patternFill>
    </fill>
    <fill>
      <patternFill patternType="solid">
        <fgColor rgb="00CCC0DA"/>
        <bgColor rgb="00CCC0DA"/>
      </patternFill>
    </fill>
    <fill>
      <patternFill patternType="solid">
        <fgColor rgb="FF006400"/>
        <bgColor rgb="FF006400"/>
      </patternFill>
    </fill>
    <fill>
      <patternFill patternType="solid">
        <fgColor rgb="FF91F0D3"/>
        <bgColor rgb="FF91F0D3"/>
      </patternFill>
    </fill>
    <fill>
      <patternFill patternType="solid">
        <fgColor rgb="0091F0D3"/>
        <bgColor rgb="0091F0D3"/>
      </patternFill>
    </fill>
    <fill>
      <patternFill patternType="solid">
        <fgColor rgb="FFFFD2DE"/>
        <bgColor rgb="FFFFD2DE"/>
      </patternFill>
    </fill>
    <fill>
      <patternFill patternType="solid">
        <fgColor rgb="00FFD2DE"/>
        <bgColor rgb="00FFD2DE"/>
      </patternFill>
    </fill>
    <fill>
      <patternFill patternType="solid">
        <fgColor rgb="FFEBC99F"/>
        <bgColor rgb="FFEBC99F"/>
      </patternFill>
    </fill>
    <fill>
      <patternFill patternType="solid">
        <fgColor rgb="FF808080"/>
        <bgColor rgb="FF808080"/>
      </patternFill>
    </fill>
    <fill>
      <patternFill patternType="solid">
        <fgColor rgb="FF66FF66"/>
        <bgColor rgb="FF66FF66"/>
      </patternFill>
    </fill>
    <fill>
      <patternFill patternType="solid">
        <fgColor rgb="0066FF66"/>
        <bgColor rgb="0066FF66"/>
      </patternFill>
    </fill>
    <fill>
      <patternFill patternType="solid">
        <fgColor rgb="00EBC99F"/>
        <bgColor rgb="00EBC99F"/>
      </patternFill>
    </fill>
    <fill>
      <patternFill patternType="solid">
        <fgColor rgb="00FF0000"/>
        <bgColor rgb="00FF0000"/>
      </patternFill>
    </fill>
    <fill>
      <patternFill patternType="solid">
        <fgColor rgb="00006400"/>
        <bgColor rgb="00006400"/>
      </patternFill>
    </fill>
    <fill>
      <patternFill patternType="solid">
        <fgColor rgb="00808080"/>
        <bgColor rgb="00808080"/>
      </patternFill>
    </fill>
    <fill>
      <patternFill patternType="solid">
        <fgColor rgb="FF31869B"/>
        <bgColor rgb="FF31869B"/>
      </patternFill>
    </fill>
    <fill>
      <patternFill patternType="solid">
        <fgColor rgb="0031869b"/>
        <bgColor rgb="0031869b"/>
      </patternFill>
    </fill>
    <fill>
      <patternFill patternType="solid">
        <fgColor theme="0"/>
        <bgColor indexed="64"/>
      </patternFill>
    </fill>
    <fill>
      <patternFill patternType="solid">
        <fgColor rgb="FFFF6400"/>
        <bgColor rgb="FFFF6400"/>
      </patternFill>
    </fill>
    <fill>
      <patternFill patternType="solid">
        <fgColor rgb="00FF6400"/>
        <bgColor rgb="00FF6400"/>
      </patternFill>
    </fill>
  </fills>
  <borders count="22">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bottom/>
    </border>
    <border>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border>
    <border>
      <left/>
      <right style="thin">
        <color rgb="FF000000"/>
      </right>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bottom/>
    </border>
    <border>
      <left style="thin">
        <color rgb="FF000000"/>
      </left>
      <right/>
      <top/>
      <bottom/>
    </border>
    <border>
      <left style="thin">
        <color rgb="FF000000"/>
      </left>
      <right/>
      <top style="thin">
        <color rgb="FF000000"/>
      </top>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32">
    <xf numFmtId="0" fontId="0" fillId="0" borderId="0" pivotButton="0" quotePrefix="0" xfId="0"/>
    <xf numFmtId="0" fontId="1" fillId="2" borderId="1" applyAlignment="1" pivotButton="0" quotePrefix="0" xfId="0">
      <alignment horizontal="center" vertical="center"/>
    </xf>
    <xf numFmtId="49" fontId="1" fillId="2" borderId="2" applyAlignment="1" pivotButton="0" quotePrefix="0" xfId="0">
      <alignment horizontal="center" vertical="center"/>
    </xf>
    <xf numFmtId="0" fontId="2" fillId="2" borderId="2" applyAlignment="1" pivotButton="0" quotePrefix="0" xfId="0">
      <alignment horizontal="center" vertical="center"/>
    </xf>
    <xf numFmtId="0" fontId="3" fillId="3" borderId="3" applyAlignment="1" pivotButton="0" quotePrefix="0" xfId="0">
      <alignment horizontal="center" vertical="center"/>
    </xf>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3" fillId="5" borderId="3" applyAlignment="1" pivotButton="0" quotePrefix="0" xfId="0">
      <alignment horizontal="center" vertical="center"/>
    </xf>
    <xf numFmtId="0" fontId="4" fillId="5" borderId="1" applyAlignment="1" pivotButton="0" quotePrefix="0" xfId="0">
      <alignment horizontal="center" vertical="center"/>
    </xf>
    <xf numFmtId="0" fontId="5" fillId="5" borderId="1" applyAlignment="1" pivotButton="0" quotePrefix="0" xfId="0">
      <alignment horizontal="center" vertical="center"/>
    </xf>
    <xf numFmtId="0" fontId="3" fillId="6" borderId="3" applyAlignment="1" pivotButton="0" quotePrefix="0" xfId="0">
      <alignment horizontal="center" vertical="center"/>
    </xf>
    <xf numFmtId="0" fontId="4" fillId="6" borderId="1" applyAlignment="1" pivotButton="0" quotePrefix="0" xfId="0">
      <alignment horizontal="center" vertical="center"/>
    </xf>
    <xf numFmtId="0" fontId="5" fillId="6" borderId="1" applyAlignment="1" pivotButton="0" quotePrefix="0" xfId="0">
      <alignment horizontal="center" vertical="center"/>
    </xf>
    <xf numFmtId="0" fontId="3" fillId="7" borderId="1" applyAlignment="1" pivotButton="0" quotePrefix="0" xfId="0">
      <alignment horizontal="center" vertical="center"/>
    </xf>
    <xf numFmtId="0" fontId="4" fillId="7" borderId="1" applyAlignment="1" pivotButton="0" quotePrefix="0" xfId="0">
      <alignment horizontal="center" vertical="center"/>
    </xf>
    <xf numFmtId="0" fontId="3" fillId="8" borderId="1" applyAlignment="1" pivotButton="0" quotePrefix="0" xfId="0">
      <alignment horizontal="center" vertical="center"/>
    </xf>
    <xf numFmtId="0" fontId="4" fillId="8" borderId="1" applyAlignment="1" pivotButton="0" quotePrefix="0" xfId="0">
      <alignment horizontal="center" vertical="center"/>
    </xf>
    <xf numFmtId="0" fontId="3" fillId="9" borderId="3" applyAlignment="1" pivotButton="0" quotePrefix="0" xfId="0">
      <alignment horizontal="center" vertical="center"/>
    </xf>
    <xf numFmtId="0" fontId="4" fillId="9" borderId="1" applyAlignment="1" pivotButton="0" quotePrefix="0" xfId="0">
      <alignment horizontal="center" vertical="center"/>
    </xf>
    <xf numFmtId="0" fontId="5" fillId="9" borderId="1" applyAlignment="1" pivotButton="0" quotePrefix="0" xfId="0">
      <alignment horizontal="center" vertical="center"/>
    </xf>
    <xf numFmtId="0" fontId="6" fillId="0" borderId="3" applyAlignment="1" pivotButton="0" quotePrefix="0" xfId="0">
      <alignment horizontal="center" vertical="center"/>
    </xf>
    <xf numFmtId="0" fontId="5" fillId="0" borderId="1" applyAlignment="1" pivotButton="0" quotePrefix="0" xfId="0">
      <alignment horizontal="center" vertical="center"/>
    </xf>
    <xf numFmtId="0" fontId="7" fillId="0" borderId="4" applyAlignment="1" pivotButton="0" quotePrefix="0" xfId="0">
      <alignment horizontal="center" vertical="center"/>
    </xf>
    <xf numFmtId="0" fontId="5" fillId="0" borderId="4" applyAlignment="1" pivotButton="0" quotePrefix="0" xfId="0">
      <alignment horizontal="center" vertical="center"/>
    </xf>
    <xf numFmtId="0" fontId="4" fillId="9" borderId="4" applyAlignment="1" pivotButton="0" quotePrefix="0" xfId="0">
      <alignment vertical="center"/>
    </xf>
    <xf numFmtId="0" fontId="1" fillId="10" borderId="1" applyAlignment="1" pivotButton="0" quotePrefix="0" xfId="0">
      <alignment horizontal="center" vertical="center" wrapText="1"/>
    </xf>
    <xf numFmtId="0" fontId="0" fillId="0" borderId="17" pivotButton="0" quotePrefix="0" xfId="0"/>
    <xf numFmtId="0" fontId="1" fillId="10" borderId="1" applyAlignment="1" pivotButton="0" quotePrefix="0" xfId="0">
      <alignment horizontal="center" vertical="center"/>
    </xf>
    <xf numFmtId="0" fontId="0" fillId="0" borderId="18" pivotButton="0" quotePrefix="0" xfId="0"/>
    <xf numFmtId="0" fontId="4" fillId="9" borderId="4" pivotButton="0" quotePrefix="0" xfId="0"/>
    <xf numFmtId="0" fontId="8" fillId="10" borderId="1" applyAlignment="1" pivotButton="0" quotePrefix="0" xfId="0">
      <alignment horizontal="center" vertical="center"/>
    </xf>
    <xf numFmtId="49" fontId="9" fillId="11" borderId="7" applyAlignment="1" pivotButton="0" quotePrefix="0" xfId="0">
      <alignment horizontal="center" vertical="center"/>
    </xf>
    <xf numFmtId="0" fontId="0" fillId="0" borderId="16" pivotButton="0" quotePrefix="0" xfId="0"/>
    <xf numFmtId="0" fontId="10" fillId="2" borderId="1" applyAlignment="1" pivotButton="0" quotePrefix="0" xfId="0">
      <alignment horizontal="center"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0" fillId="0" borderId="19" pivotButton="0" quotePrefix="0" xfId="0"/>
    <xf numFmtId="0" fontId="4" fillId="12" borderId="9" applyAlignment="1" pivotButton="0" quotePrefix="0" xfId="0">
      <alignment horizontal="center" vertical="center"/>
    </xf>
    <xf numFmtId="0" fontId="4" fillId="12" borderId="10" applyAlignment="1" pivotButton="0" quotePrefix="0" xfId="0">
      <alignment horizontal="center" vertical="center"/>
    </xf>
    <xf numFmtId="0" fontId="4" fillId="12" borderId="11" applyAlignment="1" pivotButton="0" quotePrefix="0" xfId="0">
      <alignment horizontal="center" vertical="center"/>
    </xf>
    <xf numFmtId="0" fontId="4" fillId="9" borderId="12" applyAlignment="1" pivotButton="0" quotePrefix="0" xfId="0">
      <alignment vertical="center"/>
    </xf>
    <xf numFmtId="0" fontId="10" fillId="14" borderId="1" applyAlignment="1" pivotButton="0" quotePrefix="0" xfId="0">
      <alignment horizontal="center" vertical="center"/>
    </xf>
    <xf numFmtId="0" fontId="4" fillId="15" borderId="1" applyAlignment="1" pivotButton="0" quotePrefix="0" xfId="0">
      <alignment horizontal="center" vertical="center"/>
    </xf>
    <xf numFmtId="0" fontId="4" fillId="3" borderId="1" applyAlignment="1" pivotButton="0" quotePrefix="0" xfId="0">
      <alignment horizontal="center" vertical="center"/>
    </xf>
    <xf numFmtId="0" fontId="4" fillId="16" borderId="12" applyAlignment="1" pivotButton="0" quotePrefix="0" xfId="0">
      <alignment vertical="center"/>
    </xf>
    <xf numFmtId="0" fontId="4" fillId="3" borderId="5" applyAlignment="1" pivotButton="0" quotePrefix="0" xfId="0">
      <alignment horizontal="center" vertical="center"/>
    </xf>
    <xf numFmtId="0" fontId="4" fillId="0" borderId="10" applyAlignment="1" pivotButton="0" quotePrefix="0" xfId="0">
      <alignment horizontal="center" vertical="center"/>
    </xf>
    <xf numFmtId="0" fontId="4" fillId="3" borderId="10" applyAlignment="1" pivotButton="0" quotePrefix="0" xfId="0">
      <alignment horizontal="center" vertical="center"/>
    </xf>
    <xf numFmtId="164" fontId="4" fillId="3" borderId="10" applyAlignment="1" pivotButton="0" quotePrefix="0" xfId="0">
      <alignment horizontal="center" vertical="center"/>
    </xf>
    <xf numFmtId="0" fontId="4" fillId="17" borderId="1" applyAlignment="1" pivotButton="0" quotePrefix="0" xfId="0">
      <alignment horizontal="center" vertical="center"/>
    </xf>
    <xf numFmtId="0" fontId="4" fillId="0" borderId="1" applyAlignment="1" pivotButton="0" quotePrefix="0" xfId="0">
      <alignment horizontal="center" vertical="center"/>
    </xf>
    <xf numFmtId="164" fontId="4" fillId="5" borderId="1" applyAlignment="1" pivotButton="0" quotePrefix="0" xfId="0">
      <alignment horizontal="center" vertical="center"/>
    </xf>
    <xf numFmtId="0" fontId="4" fillId="18" borderId="1" applyAlignment="1" pivotButton="0" quotePrefix="0" xfId="0">
      <alignment horizontal="center" vertical="center"/>
    </xf>
    <xf numFmtId="164" fontId="4" fillId="6" borderId="1" applyAlignment="1" pivotButton="0" quotePrefix="0" xfId="0">
      <alignment horizontal="center" vertical="center"/>
    </xf>
    <xf numFmtId="0" fontId="4" fillId="19" borderId="1" applyAlignment="1" pivotButton="0" quotePrefix="0" xfId="0">
      <alignment horizontal="center" vertical="center"/>
    </xf>
    <xf numFmtId="164" fontId="4" fillId="7" borderId="1" applyAlignment="1" pivotButton="0" quotePrefix="0" xfId="0">
      <alignment horizontal="center" vertical="center"/>
    </xf>
    <xf numFmtId="0" fontId="4" fillId="20" borderId="1" applyAlignment="1" pivotButton="0" quotePrefix="0" xfId="0">
      <alignment horizontal="center" vertical="center"/>
    </xf>
    <xf numFmtId="164" fontId="4" fillId="8" borderId="1" applyAlignment="1" pivotButton="0" quotePrefix="0" xfId="0">
      <alignment horizontal="center" vertical="center"/>
    </xf>
    <xf numFmtId="0" fontId="4" fillId="21" borderId="1" applyAlignment="1" pivotButton="0" quotePrefix="0" xfId="0">
      <alignment horizontal="center" vertical="center"/>
    </xf>
    <xf numFmtId="0" fontId="4" fillId="3" borderId="7" applyAlignment="1" pivotButton="0" quotePrefix="0" xfId="0">
      <alignment horizontal="center" vertical="center"/>
    </xf>
    <xf numFmtId="0" fontId="4" fillId="5" borderId="2" applyAlignment="1" pivotButton="0" quotePrefix="0" xfId="0">
      <alignment horizontal="center" vertical="center"/>
    </xf>
    <xf numFmtId="0" fontId="4" fillId="6" borderId="2" applyAlignment="1" pivotButton="0" quotePrefix="0" xfId="0">
      <alignment horizontal="center" vertical="center"/>
    </xf>
    <xf numFmtId="0" fontId="4" fillId="9" borderId="2" applyAlignment="1" pivotButton="0" quotePrefix="0" xfId="0">
      <alignment horizontal="center" vertical="center"/>
    </xf>
    <xf numFmtId="164" fontId="4" fillId="9" borderId="2" applyAlignment="1" pivotButton="0" quotePrefix="0" xfId="0">
      <alignment horizontal="center" vertical="center"/>
    </xf>
    <xf numFmtId="0" fontId="4" fillId="9" borderId="13" applyAlignment="1" pivotButton="0" quotePrefix="0" xfId="0">
      <alignment vertical="center"/>
    </xf>
    <xf numFmtId="0" fontId="4" fillId="0" borderId="14" applyAlignment="1" pivotButton="0" quotePrefix="0" xfId="0">
      <alignment horizontal="center" vertical="center"/>
    </xf>
    <xf numFmtId="10" fontId="4" fillId="0" borderId="1" applyAlignment="1" pivotButton="0" quotePrefix="0" xfId="0">
      <alignment horizontal="center" vertical="center"/>
    </xf>
    <xf numFmtId="0" fontId="4" fillId="12" borderId="3" applyAlignment="1" pivotButton="0" quotePrefix="0" xfId="0">
      <alignment horizontal="center" vertical="center"/>
    </xf>
    <xf numFmtId="0" fontId="0" fillId="0" borderId="20" pivotButton="0" quotePrefix="0" xfId="0"/>
    <xf numFmtId="0" fontId="4" fillId="3" borderId="1" applyAlignment="1" pivotButton="0" quotePrefix="0" xfId="0">
      <alignment horizontal="center"/>
    </xf>
    <xf numFmtId="0" fontId="4" fillId="6" borderId="1" applyAlignment="1" pivotButton="0" quotePrefix="0" xfId="0">
      <alignment horizontal="center"/>
    </xf>
    <xf numFmtId="164" fontId="4" fillId="0" borderId="3" applyAlignment="1" pivotButton="0" quotePrefix="0" xfId="0">
      <alignment horizontal="center" vertical="center"/>
    </xf>
    <xf numFmtId="164" fontId="4" fillId="0" borderId="1" applyAlignment="1" pivotButton="0" quotePrefix="0" xfId="0">
      <alignment horizontal="center"/>
    </xf>
    <xf numFmtId="0" fontId="4" fillId="6" borderId="2" applyAlignment="1" pivotButton="0" quotePrefix="0" xfId="0">
      <alignment horizontal="center"/>
    </xf>
    <xf numFmtId="164" fontId="4" fillId="0" borderId="14" applyAlignment="1" pivotButton="0" quotePrefix="0" xfId="0">
      <alignment horizontal="center" vertical="center"/>
    </xf>
    <xf numFmtId="0" fontId="4" fillId="3" borderId="3" applyAlignment="1" pivotButton="0" quotePrefix="0" xfId="0">
      <alignment horizontal="center"/>
    </xf>
    <xf numFmtId="164" fontId="4" fillId="0" borderId="5" applyAlignment="1" pivotButton="0" quotePrefix="0" xfId="0">
      <alignment horizontal="center" vertical="center"/>
    </xf>
    <xf numFmtId="0" fontId="4" fillId="6" borderId="10" applyAlignment="1" pivotButton="0" quotePrefix="0" xfId="0">
      <alignment horizontal="center"/>
    </xf>
    <xf numFmtId="164" fontId="4" fillId="0" borderId="10" applyAlignment="1" pivotButton="0" quotePrefix="0" xfId="0">
      <alignment horizontal="center" vertical="center"/>
    </xf>
    <xf numFmtId="0" fontId="4" fillId="0" borderId="3" applyAlignment="1" pivotButton="0" quotePrefix="0" xfId="0">
      <alignment horizontal="center" vertical="center"/>
    </xf>
    <xf numFmtId="0" fontId="11" fillId="22" borderId="1" applyAlignment="1" pivotButton="0" quotePrefix="0" xfId="0">
      <alignment horizontal="center" vertical="center" wrapText="1"/>
    </xf>
    <xf numFmtId="0" fontId="12" fillId="12" borderId="2" applyAlignment="1" pivotButton="0" quotePrefix="0" xfId="0">
      <alignment horizontal="center" vertical="center" wrapText="1"/>
    </xf>
    <xf numFmtId="0" fontId="12" fillId="23" borderId="2" applyAlignment="1" pivotButton="0" quotePrefix="0" xfId="0">
      <alignment horizontal="center" vertical="center" wrapText="1"/>
    </xf>
    <xf numFmtId="0" fontId="13" fillId="24" borderId="4" applyAlignment="1" pivotButton="0" quotePrefix="0" xfId="0">
      <alignment horizontal="center" vertical="center"/>
    </xf>
    <xf numFmtId="0" fontId="14" fillId="0" borderId="1" applyAlignment="1" pivotButton="0" quotePrefix="0" xfId="0">
      <alignment horizontal="center" vertical="center" wrapText="1"/>
    </xf>
    <xf numFmtId="0" fontId="15" fillId="25" borderId="10" applyAlignment="1" pivotButton="0" quotePrefix="0" xfId="0">
      <alignment horizontal="center" vertical="center" wrapText="1"/>
    </xf>
    <xf numFmtId="0" fontId="15" fillId="25" borderId="11" applyAlignment="1" pivotButton="0" quotePrefix="0" xfId="0">
      <alignment horizontal="center" vertical="center" wrapText="1"/>
    </xf>
    <xf numFmtId="0" fontId="4" fillId="0" borderId="4" pivotButton="0" quotePrefix="0" xfId="0"/>
    <xf numFmtId="0" fontId="15" fillId="25" borderId="1" applyAlignment="1" pivotButton="0" quotePrefix="0" xfId="0">
      <alignment horizontal="center" vertical="center" wrapText="1"/>
    </xf>
    <xf numFmtId="0" fontId="15" fillId="25" borderId="3" applyAlignment="1" pivotButton="0" quotePrefix="0" xfId="0">
      <alignment horizontal="center" vertical="center" wrapText="1"/>
    </xf>
    <xf numFmtId="0" fontId="16" fillId="0" borderId="1" applyAlignment="1" pivotButton="0" quotePrefix="0" xfId="0">
      <alignment horizontal="center"/>
    </xf>
    <xf numFmtId="0" fontId="17" fillId="0" borderId="1" applyAlignment="1" pivotButton="0" quotePrefix="0" xfId="0">
      <alignment horizontal="center"/>
    </xf>
    <xf numFmtId="0" fontId="17" fillId="26" borderId="1" applyAlignment="1" pivotButton="0" quotePrefix="0" xfId="0">
      <alignment horizontal="center"/>
    </xf>
    <xf numFmtId="17" fontId="17" fillId="0" borderId="1" applyAlignment="1" pivotButton="0" quotePrefix="0" xfId="0">
      <alignment horizontal="center"/>
    </xf>
    <xf numFmtId="0" fontId="18" fillId="27" borderId="13" applyAlignment="1" pivotButton="0" quotePrefix="0" xfId="0">
      <alignment horizontal="center" vertical="center"/>
    </xf>
    <xf numFmtId="0" fontId="17" fillId="28" borderId="1" applyAlignment="1" pivotButton="0" quotePrefix="0" xfId="0">
      <alignment horizontal="center"/>
    </xf>
    <xf numFmtId="0" fontId="17" fillId="29" borderId="1" applyAlignment="1" pivotButton="0" quotePrefix="0" xfId="0">
      <alignment horizontal="center"/>
    </xf>
    <xf numFmtId="0" fontId="4" fillId="26" borderId="1" applyAlignment="1" pivotButton="0" quotePrefix="0" xfId="0">
      <alignment horizontal="center" vertical="center"/>
    </xf>
    <xf numFmtId="0" fontId="10" fillId="30" borderId="3" applyAlignment="1" pivotButton="0" quotePrefix="0" xfId="0">
      <alignment horizontal="center" vertical="center"/>
    </xf>
    <xf numFmtId="17" fontId="19" fillId="30" borderId="3" applyAlignment="1" pivotButton="0" quotePrefix="0" xfId="0">
      <alignment horizontal="center" vertical="center"/>
    </xf>
    <xf numFmtId="0" fontId="19" fillId="30" borderId="3" applyAlignment="1" pivotButton="0" quotePrefix="0" xfId="0">
      <alignment horizontal="center" vertical="center"/>
    </xf>
    <xf numFmtId="0" fontId="19" fillId="30" borderId="1" applyAlignment="1" pivotButton="0" quotePrefix="0" xfId="0">
      <alignment horizontal="center" vertical="center"/>
    </xf>
    <xf numFmtId="49" fontId="19" fillId="30" borderId="1" applyAlignment="1" pivotButton="0" quotePrefix="0" xfId="0">
      <alignment horizontal="center" vertical="center"/>
    </xf>
    <xf numFmtId="0" fontId="20" fillId="31" borderId="1" applyAlignment="1" pivotButton="0" quotePrefix="0" xfId="0">
      <alignment horizontal="center" vertical="center"/>
    </xf>
    <xf numFmtId="0" fontId="20" fillId="26" borderId="1" applyAlignment="1" pivotButton="0" quotePrefix="0" xfId="0">
      <alignment horizontal="center" vertical="center"/>
    </xf>
    <xf numFmtId="0" fontId="3" fillId="11" borderId="3" applyAlignment="1" pivotButton="0" quotePrefix="0" xfId="0">
      <alignment horizontal="center" vertical="center"/>
    </xf>
    <xf numFmtId="0" fontId="4" fillId="17" borderId="6" applyAlignment="1" pivotButton="0" quotePrefix="0" xfId="0">
      <alignment horizontal="center" vertical="center"/>
    </xf>
    <xf numFmtId="0" fontId="3" fillId="32" borderId="3" applyAlignment="1" pivotButton="0" quotePrefix="0" xfId="0">
      <alignment horizontal="center" vertical="center"/>
    </xf>
    <xf numFmtId="0" fontId="4" fillId="28" borderId="1" applyAlignment="1" pivotButton="0" quotePrefix="0" xfId="0">
      <alignment horizontal="center" vertical="center"/>
    </xf>
    <xf numFmtId="0" fontId="4" fillId="33" borderId="1" applyAlignment="1" pivotButton="0" quotePrefix="0" xfId="0">
      <alignment horizontal="center" vertical="center"/>
    </xf>
    <xf numFmtId="0" fontId="4" fillId="34" borderId="1" applyAlignment="1" pivotButton="0" quotePrefix="0" xfId="0">
      <alignment horizontal="center" vertical="center"/>
    </xf>
    <xf numFmtId="0" fontId="19" fillId="30" borderId="14" applyAlignment="1" pivotButton="0" quotePrefix="0" xfId="0">
      <alignment horizontal="center" vertical="center"/>
    </xf>
    <xf numFmtId="0" fontId="21" fillId="35" borderId="21" applyAlignment="1" pivotButton="0" quotePrefix="0" xfId="0">
      <alignment horizontal="center" vertical="center"/>
    </xf>
    <xf numFmtId="0" fontId="22" fillId="39" borderId="21" applyAlignment="1" pivotButton="0" quotePrefix="0" xfId="0">
      <alignment horizontal="center" vertical="center"/>
    </xf>
    <xf numFmtId="0" fontId="22" fillId="0" borderId="21" applyAlignment="1" pivotButton="0" quotePrefix="0" xfId="0">
      <alignment horizontal="center" vertical="center"/>
    </xf>
    <xf numFmtId="0" fontId="23" fillId="54" borderId="21" applyAlignment="1" pivotButton="0" quotePrefix="0" xfId="0">
      <alignment horizontal="center" vertical="center"/>
    </xf>
    <xf numFmtId="0" fontId="22" fillId="38" borderId="21" applyAlignment="1" pivotButton="0" quotePrefix="0" xfId="0">
      <alignment horizontal="center" vertical="center"/>
    </xf>
    <xf numFmtId="0" fontId="22" fillId="41" borderId="21" applyAlignment="1" pivotButton="0" quotePrefix="0" xfId="0">
      <alignment horizontal="center" vertical="center"/>
    </xf>
    <xf numFmtId="0" fontId="22" fillId="43" borderId="21" applyAlignment="1" pivotButton="0" quotePrefix="0" xfId="0">
      <alignment horizontal="center" vertical="center"/>
    </xf>
    <xf numFmtId="0" fontId="23" fillId="55" borderId="21" applyAlignment="1" pivotButton="0" quotePrefix="0" xfId="0">
      <alignment horizontal="center" vertical="center"/>
    </xf>
    <xf numFmtId="0" fontId="22" fillId="46" borderId="21" applyAlignment="1" pivotButton="0" quotePrefix="0" xfId="0">
      <alignment horizontal="center" vertical="center"/>
    </xf>
    <xf numFmtId="0" fontId="22" fillId="48" borderId="21" applyAlignment="1" pivotButton="0" quotePrefix="0" xfId="0">
      <alignment horizontal="center" vertical="center"/>
    </xf>
    <xf numFmtId="0" fontId="22" fillId="53" borderId="21" applyAlignment="1" pivotButton="0" quotePrefix="0" xfId="0">
      <alignment horizontal="center" vertical="center"/>
    </xf>
    <xf numFmtId="0" fontId="23" fillId="56" borderId="21" applyAlignment="1" pivotButton="0" quotePrefix="0" xfId="0">
      <alignment horizontal="center" vertical="center"/>
    </xf>
    <xf numFmtId="0" fontId="22" fillId="52" borderId="21" applyAlignment="1" pivotButton="0" quotePrefix="0" xfId="0">
      <alignment horizontal="center" vertical="center"/>
    </xf>
    <xf numFmtId="165" fontId="22" fillId="0" borderId="21" applyAlignment="1" pivotButton="0" quotePrefix="0" xfId="0">
      <alignment horizontal="center" vertical="center"/>
    </xf>
    <xf numFmtId="0" fontId="23" fillId="58" borderId="21" applyAlignment="1" pivotButton="0" quotePrefix="0" xfId="0">
      <alignment horizontal="center" vertical="center"/>
    </xf>
    <xf numFmtId="0" fontId="22" fillId="26" borderId="21" applyAlignment="1" pivotButton="0" quotePrefix="0" xfId="0">
      <alignment horizontal="center" vertical="center"/>
    </xf>
    <xf numFmtId="0" fontId="22" fillId="59" borderId="21" applyAlignment="1" pivotButton="0" quotePrefix="0" xfId="0">
      <alignment horizontal="center" vertical="center"/>
    </xf>
    <xf numFmtId="0" fontId="22" fillId="0" borderId="21" applyAlignment="1" pivotButton="0" quotePrefix="0" xfId="0">
      <alignment horizontal="center" vertical="center" wrapText="1"/>
    </xf>
    <xf numFmtId="0" fontId="22" fillId="0" borderId="21" pivotButton="0" quotePrefix="0" xfId="0"/>
    <xf numFmtId="0" fontId="23" fillId="61" borderId="21" applyAlignment="1" pivotButton="0" quotePrefix="0" xfId="0">
      <alignment horizontal="center" vertical="center"/>
    </xf>
  </cellXfs>
  <cellStyles count="1">
    <cellStyle name="Normal" xfId="0" builtinId="0" hidden="0"/>
  </cellStyles>
  <dxfs count="35">
    <dxf>
      <font>
        <color theme="1"/>
      </font>
      <fill>
        <patternFill patternType="solid">
          <bgColor rgb="FFFFFF00"/>
        </patternFill>
      </fill>
    </dxf>
    <dxf>
      <font>
        <color theme="1"/>
      </font>
      <fill>
        <patternFill patternType="solid">
          <bgColor rgb="FF95B3D7"/>
        </patternFill>
      </fill>
    </dxf>
    <dxf>
      <font>
        <color theme="1"/>
      </font>
      <fill>
        <patternFill patternType="solid">
          <bgColor theme="7" tint="0.3999755851924192"/>
        </patternFill>
      </fill>
    </dxf>
    <dxf>
      <font>
        <color theme="1"/>
      </font>
      <fill>
        <patternFill patternType="solid">
          <bgColor rgb="FFFFC000"/>
        </patternFill>
      </fill>
    </dxf>
    <dxf>
      <font>
        <color theme="1"/>
      </font>
      <fill>
        <patternFill patternType="solid">
          <bgColor rgb="FFFFD2DE"/>
        </patternFill>
      </fill>
    </dxf>
    <dxf>
      <font>
        <color theme="1"/>
      </font>
      <fill>
        <patternFill patternType="solid">
          <bgColor rgb="FF91F0D3"/>
        </patternFill>
      </fill>
    </dxf>
    <dxf>
      <font>
        <name val="Arial"/>
        <color rgb="FFFFFFFF"/>
        <sz val="11"/>
      </font>
      <fill>
        <patternFill patternType="solid">
          <fgColor rgb="FF006400"/>
          <bgColor rgb="FF006400"/>
        </patternFill>
      </fill>
    </dxf>
    <dxf>
      <font>
        <name val="Arial"/>
        <color rgb="FFFFFFFF"/>
        <sz val="11"/>
      </font>
      <fill>
        <patternFill patternType="solid">
          <fgColor rgb="FFFF6400"/>
          <bgColor rgb="FFFF6400"/>
        </patternFill>
      </fill>
    </dxf>
    <dxf>
      <font>
        <name val="Arial"/>
        <color rgb="FFFFFFFF"/>
        <sz val="11"/>
      </font>
      <fill>
        <patternFill patternType="solid">
          <fgColor rgb="FFFF0000"/>
          <bgColor rgb="FFFF0000"/>
        </patternFill>
      </fill>
    </dxf>
    <dxf>
      <font>
        <name val="Arial"/>
        <color rgb="FFFFFFFF"/>
        <sz val="11"/>
      </font>
      <fill>
        <patternFill patternType="solid">
          <fgColor rgb="FFA020F0"/>
          <bgColor rgb="FFA020F0"/>
        </patternFill>
      </fill>
    </dxf>
    <dxf>
      <font>
        <name val="Arial"/>
        <color rgb="FFFFFFFF"/>
        <sz val="11"/>
      </font>
      <fill>
        <patternFill patternType="solid">
          <fgColor rgb="FF808080"/>
          <bgColor rgb="FF808080"/>
        </patternFill>
      </fill>
    </dxf>
    <dxf>
      <fill>
        <patternFill patternType="solid">
          <bgColor rgb="FFD15A5A"/>
        </patternFill>
      </fill>
    </dxf>
    <dxf>
      <font>
        <color theme="1"/>
      </font>
      <fill>
        <patternFill patternType="solid">
          <bgColor rgb="FFBDE83C"/>
        </patternFill>
      </fill>
    </dxf>
    <dxf>
      <font>
        <color theme="1"/>
      </font>
      <fill>
        <patternFill patternType="solid">
          <bgColor rgb="FF00B050"/>
        </patternFill>
      </fill>
    </dxf>
    <dxf>
      <font>
        <color theme="1"/>
      </font>
      <fill>
        <patternFill patternType="solid">
          <bgColor rgb="FFFFF7C9"/>
        </patternFill>
      </fill>
    </dxf>
    <dxf>
      <font>
        <color theme="1"/>
      </font>
      <fill>
        <patternFill patternType="solid">
          <bgColor rgb="FFA3DDFF"/>
        </patternFill>
      </fill>
    </dxf>
    <dxf>
      <font>
        <color theme="1"/>
      </font>
      <fill>
        <patternFill patternType="solid">
          <bgColor rgb="FFCCC0DA"/>
        </patternFill>
      </fill>
    </dxf>
    <dxf>
      <font>
        <color theme="1"/>
      </font>
      <fill>
        <patternFill patternType="solid">
          <bgColor rgb="FFEBC99F"/>
        </patternFill>
      </fill>
    </dxf>
    <dxf>
      <font>
        <color theme="0"/>
      </font>
      <fill>
        <patternFill patternType="solid">
          <bgColor theme="6"/>
        </patternFill>
      </fill>
    </dxf>
    <dxf>
      <font>
        <color theme="0"/>
      </font>
      <fill>
        <patternFill patternType="solid">
          <bgColor rgb="FF963634"/>
        </patternFill>
      </fill>
    </dxf>
    <dxf>
      <font>
        <color theme="0"/>
      </font>
      <fill>
        <patternFill patternType="solid">
          <bgColor rgb="FFAD0000"/>
        </patternFill>
      </fill>
    </dxf>
    <dxf>
      <font>
        <color theme="0"/>
      </font>
      <fill>
        <patternFill patternType="solid">
          <bgColor theme="8" tint="-0.249977111117893"/>
        </patternFill>
      </fill>
    </dxf>
    <dxf>
      <font>
        <color theme="0"/>
      </font>
      <fill>
        <patternFill patternType="solid">
          <bgColor theme="1" tint="0.499984740745262"/>
        </patternFill>
      </fill>
    </dxf>
    <dxf>
      <font>
        <color theme="0"/>
      </font>
      <fill>
        <patternFill patternType="solid">
          <bgColor rgb="FF7030A0"/>
        </patternFill>
      </fill>
    </dxf>
    <dxf>
      <font>
        <color rgb="FF006100"/>
      </font>
      <fill>
        <patternFill>
          <bgColor rgb="FFC6EFCE"/>
        </patternFill>
      </fill>
    </dxf>
    <dxf>
      <font>
        <color rgb="FF9C0006"/>
      </font>
      <fill>
        <patternFill>
          <bgColor rgb="FFFFC7CE"/>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FF0000"/>
          <bgColor rgb="00FF00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3"/>
  <sheetViews>
    <sheetView workbookViewId="0">
      <selection activeCell="A1" sqref="A1"/>
    </sheetView>
  </sheetViews>
  <sheetFormatPr baseColWidth="8" defaultRowHeight="15"/>
  <cols>
    <col width="32" customWidth="1" min="1" max="1"/>
    <col width="8.7109375" customWidth="1" min="2" max="2"/>
    <col width="9.28515625" customWidth="1" min="6" max="6"/>
    <col width="10.85546875" customWidth="1" min="9" max="9"/>
    <col width="4.42578125" customWidth="1" min="17" max="17"/>
    <col width="17.5703125" customWidth="1" min="18" max="18"/>
    <col width="12.85546875" customWidth="1" min="19" max="19"/>
  </cols>
  <sheetData>
    <row r="1" ht="18.75" customHeight="1">
      <c r="A1" s="1" t="inlineStr">
        <is>
          <t>Categoria</t>
        </is>
      </c>
      <c r="B1" s="2" t="inlineStr">
        <is>
          <t>11.24</t>
        </is>
      </c>
      <c r="C1" s="2" t="inlineStr">
        <is>
          <t>12.24</t>
        </is>
      </c>
      <c r="D1" s="2" t="inlineStr">
        <is>
          <t>01.25</t>
        </is>
      </c>
      <c r="E1" s="2" t="inlineStr">
        <is>
          <t>02.25</t>
        </is>
      </c>
      <c r="F1" s="2" t="inlineStr">
        <is>
          <t>03.25</t>
        </is>
      </c>
      <c r="G1" s="2" t="inlineStr">
        <is>
          <t>04.25</t>
        </is>
      </c>
      <c r="H1" s="2" t="inlineStr">
        <is>
          <t>05.25</t>
        </is>
      </c>
      <c r="I1" s="2" t="inlineStr">
        <is>
          <t>06.25</t>
        </is>
      </c>
      <c r="J1" s="2" t="inlineStr">
        <is>
          <t>07.25</t>
        </is>
      </c>
      <c r="K1" s="2" t="inlineStr">
        <is>
          <t>08.25</t>
        </is>
      </c>
      <c r="L1" s="2" t="inlineStr">
        <is>
          <t>09.25</t>
        </is>
      </c>
      <c r="M1" s="2" t="inlineStr">
        <is>
          <t>10.25</t>
        </is>
      </c>
      <c r="N1" s="2" t="inlineStr">
        <is>
          <t>11.25</t>
        </is>
      </c>
      <c r="O1" s="2" t="inlineStr">
        <is>
          <t>12.25</t>
        </is>
      </c>
      <c r="P1" s="3" t="inlineStr">
        <is>
          <t>Total</t>
        </is>
      </c>
    </row>
    <row r="2" ht="15.75" customHeight="1">
      <c r="A2" s="4" t="inlineStr">
        <is>
          <t>Enviado</t>
        </is>
      </c>
      <c r="B2" s="5">
        <f>COUNTIF(INDIRECT(B$1&amp;"!E2:E1000"),$A2)</f>
        <v/>
      </c>
      <c r="C2" s="5">
        <f>COUNTIF(INDIRECT(C$1&amp;"!E2:E1000"),$A2)</f>
        <v/>
      </c>
      <c r="D2" s="5">
        <f>COUNTIF(INDIRECT(D$1&amp;"!E2:E1000"),$A2)</f>
        <v/>
      </c>
      <c r="E2" s="5">
        <f>COUNTIF(INDIRECT(E$1&amp;"!E2:E1000"),$A2)</f>
        <v/>
      </c>
      <c r="F2" s="5">
        <f>COUNTIF(INDIRECT(F$1&amp;"!E2:E1000"),$A2)</f>
        <v/>
      </c>
      <c r="G2" s="5">
        <f>COUNTIF(INDIRECT(G$1&amp;"!E2:E1000"),$A2)</f>
        <v/>
      </c>
      <c r="H2" s="5">
        <f>COUNTIF(INDIRECT(H$1&amp;"!E2:E1000"),$A2)</f>
        <v/>
      </c>
      <c r="I2" s="5">
        <f>COUNTIF(INDIRECT(I$1&amp;"!E2:E1000"),$A2)</f>
        <v/>
      </c>
      <c r="J2" s="5">
        <f>COUNTIF(INDIRECT(J$1&amp;"!E2:E1000"),$A2)</f>
        <v/>
      </c>
      <c r="K2" s="5">
        <f>COUNTIF(INDIRECT(K$1&amp;"!E2:E1000"),$A2)</f>
        <v/>
      </c>
      <c r="L2" s="5">
        <f>COUNTIF(INDIRECT(L$1&amp;"!E2:E1000"),$A2)</f>
        <v/>
      </c>
      <c r="M2" s="5">
        <f>COUNTIF(INDIRECT(M$1&amp;"!E2:E1000"),$A2)</f>
        <v/>
      </c>
      <c r="N2" s="5">
        <f>COUNTIF(INDIRECT(N$1&amp;"!E2:E1000"),$A2)</f>
        <v/>
      </c>
      <c r="O2" s="5">
        <f>COUNTIF(INDIRECT(O$1&amp;"!E2:E1000"),$A2)</f>
        <v/>
      </c>
      <c r="P2" s="6">
        <f>SUM(B2:O2)</f>
        <v/>
      </c>
    </row>
    <row r="3" ht="15.75" customHeight="1">
      <c r="A3" s="7" t="inlineStr">
        <is>
          <t>Atrasado</t>
        </is>
      </c>
      <c r="B3" s="8">
        <f>COUNTIF(INDIRECT("11.24!E2:E1000"),$A3)</f>
        <v/>
      </c>
      <c r="C3" s="8">
        <f>COUNTIF(INDIRECT(C$1&amp;"!E2:E1000"),$A3)</f>
        <v/>
      </c>
      <c r="D3" s="8">
        <f>COUNTIF(INDIRECT(D$1&amp;"!E2:E1000"),$A3)</f>
        <v/>
      </c>
      <c r="E3" s="8">
        <f>COUNTIF(INDIRECT(E$1&amp;"!E2:E1000"),$A3)</f>
        <v/>
      </c>
      <c r="F3" s="8">
        <f>COUNTIF(INDIRECT(F$1&amp;"!E2:E1000"),$A3)</f>
        <v/>
      </c>
      <c r="G3" s="8">
        <f>COUNTIF(INDIRECT(G$1&amp;"!E2:E1000"),$A3)</f>
        <v/>
      </c>
      <c r="H3" s="8">
        <f>COUNTIF(INDIRECT(H$1&amp;"!E2:E1000"),$A3)</f>
        <v/>
      </c>
      <c r="I3" s="8">
        <f>COUNTIF(INDIRECT(I$1&amp;"!E2:E1000"),$A3)</f>
        <v/>
      </c>
      <c r="J3" s="8">
        <f>COUNTIF(INDIRECT(J$1&amp;"!E2:E1000"),$A3)</f>
        <v/>
      </c>
      <c r="K3" s="8">
        <f>COUNTIF(INDIRECT(K$1&amp;"!E2:E1000"),$A3)</f>
        <v/>
      </c>
      <c r="L3" s="8">
        <f>COUNTIF(INDIRECT(L$1&amp;"!E2:E1000"),$A3)</f>
        <v/>
      </c>
      <c r="M3" s="8">
        <f>COUNTIF(INDIRECT(M$1&amp;"!E2:E1000"),$A3)</f>
        <v/>
      </c>
      <c r="N3" s="8">
        <f>COUNTIF(INDIRECT(N$1&amp;"!E2:E1000"),$A3)</f>
        <v/>
      </c>
      <c r="O3" s="8">
        <f>COUNTIF(INDIRECT(O$1&amp;"!E2:E1000"),$A3)</f>
        <v/>
      </c>
      <c r="P3" s="9">
        <f>SUM(B3:O3)</f>
        <v/>
      </c>
    </row>
    <row r="4" ht="15.75" customHeight="1">
      <c r="A4" s="10" t="inlineStr">
        <is>
          <t>Atrasado &gt;= 2</t>
        </is>
      </c>
      <c r="B4" s="11">
        <f>COUNTIF(INDIRECT("11.24!E2:E1000"),$A4)</f>
        <v/>
      </c>
      <c r="C4" s="11">
        <f>COUNTIF(INDIRECT(C$1&amp;"!E2:E1000"),$A4)</f>
        <v/>
      </c>
      <c r="D4" s="11">
        <f>COUNTIF(INDIRECT(D$1&amp;"!E2:E1000"),$A4)</f>
        <v/>
      </c>
      <c r="E4" s="11">
        <f>COUNTIF(INDIRECT(E$1&amp;"!E2:E1000"),$A4)</f>
        <v/>
      </c>
      <c r="F4" s="11">
        <f>COUNTIF(INDIRECT(F$1&amp;"!E2:E1000"),$A4)</f>
        <v/>
      </c>
      <c r="G4" s="11">
        <f>COUNTIF(INDIRECT(G$1&amp;"!E2:E1000"),$A4)</f>
        <v/>
      </c>
      <c r="H4" s="11">
        <f>COUNTIF(INDIRECT(H$1&amp;"!E2:E1000"),$A4)</f>
        <v/>
      </c>
      <c r="I4" s="11">
        <f>COUNTIF(INDIRECT(I$1&amp;"!E2:E1000"),$A4)</f>
        <v/>
      </c>
      <c r="J4" s="11">
        <f>COUNTIF(INDIRECT(J$1&amp;"!E2:E1000"),$A4)</f>
        <v/>
      </c>
      <c r="K4" s="11">
        <f>COUNTIF(INDIRECT(K$1&amp;"!E2:E1000"),$A4)</f>
        <v/>
      </c>
      <c r="L4" s="11">
        <f>COUNTIF(INDIRECT(L$1&amp;"!E2:E1000"),$A4)</f>
        <v/>
      </c>
      <c r="M4" s="11">
        <f>COUNTIF(INDIRECT(M$1&amp;"!E2:E1000"),$A4)</f>
        <v/>
      </c>
      <c r="N4" s="11">
        <f>COUNTIF(INDIRECT(N$1&amp;"!E2:E1000"),$A4)</f>
        <v/>
      </c>
      <c r="O4" s="11">
        <f>COUNTIF(INDIRECT(O$1&amp;"!E2:E1000"),$A4)</f>
        <v/>
      </c>
      <c r="P4" s="12">
        <f>SUM(B4:O4)</f>
        <v/>
      </c>
    </row>
    <row r="5" ht="15.75" customHeight="1">
      <c r="A5" s="13" t="inlineStr">
        <is>
          <t>Duplicado</t>
        </is>
      </c>
      <c r="B5" s="14">
        <f>COUNTIF(INDIRECT("11.24!E2:E1000"),$A5)</f>
        <v/>
      </c>
      <c r="C5" s="14">
        <f>COUNTIF(INDIRECT(C$1&amp;"!E2:E1000"),$A5)</f>
        <v/>
      </c>
      <c r="D5" s="14">
        <f>COUNTIF(INDIRECT(D$1&amp;"!E2:E1000"),$A5)</f>
        <v/>
      </c>
      <c r="E5" s="14">
        <f>COUNTIF(INDIRECT(E$1&amp;"!E2:E1000"),$A5)</f>
        <v/>
      </c>
      <c r="F5" s="14">
        <f>COUNTIF(INDIRECT(F$1&amp;"!E2:E1000"),$A5)</f>
        <v/>
      </c>
      <c r="G5" s="14">
        <f>COUNTIF(INDIRECT(G$1&amp;"!E2:E1000"),$A5)</f>
        <v/>
      </c>
      <c r="H5" s="14">
        <f>COUNTIF(INDIRECT(H$1&amp;"!E2:E1000"),$A5)</f>
        <v/>
      </c>
      <c r="I5" s="14">
        <f>COUNTIF(INDIRECT(I$1&amp;"!E2:E1000"),$A5)</f>
        <v/>
      </c>
      <c r="J5" s="14">
        <f>COUNTIF(INDIRECT(J$1&amp;"!E2:E1000"),$A5)</f>
        <v/>
      </c>
      <c r="K5" s="14">
        <f>COUNTIF(INDIRECT(K$1&amp;"!E2:E1000"),$A5)</f>
        <v/>
      </c>
      <c r="L5" s="14">
        <f>COUNTIF(INDIRECT(L$1&amp;"!E2:E1000"),$A5)</f>
        <v/>
      </c>
      <c r="M5" s="14">
        <f>COUNTIF(INDIRECT(M$1&amp;"!E2:E1000"),$A5)</f>
        <v/>
      </c>
      <c r="N5" s="14">
        <f>COUNTIF(INDIRECT(N$1&amp;"!E2:E1000"),$A5)</f>
        <v/>
      </c>
      <c r="O5" s="14">
        <f>COUNTIF(INDIRECT(O$1&amp;"!E2:E1000"),$A5)</f>
        <v/>
      </c>
      <c r="P5" s="14">
        <f>SUM(B5:O5)</f>
        <v/>
      </c>
    </row>
    <row r="6" ht="15.75" customHeight="1">
      <c r="A6" s="15" t="inlineStr">
        <is>
          <t>Outras Ocorrências</t>
        </is>
      </c>
      <c r="B6" s="16">
        <f>COUNTIF(INDIRECT("11.24!E2:E1000"),$A6)</f>
        <v/>
      </c>
      <c r="C6" s="16">
        <f>COUNTIF(INDIRECT(C$1&amp;"!E2:E1000"),$A6)</f>
        <v/>
      </c>
      <c r="D6" s="16">
        <f>COUNTIF(INDIRECT(D$1&amp;"!E2:E1000"),$A6)</f>
        <v/>
      </c>
      <c r="E6" s="16">
        <f>COUNTIF(INDIRECT(E$1&amp;"!E2:E1000"),$A6)</f>
        <v/>
      </c>
      <c r="F6" s="16">
        <f>COUNTIF(INDIRECT(F$1&amp;"!E2:E1000"),$A6)</f>
        <v/>
      </c>
      <c r="G6" s="16">
        <f>COUNTIF(INDIRECT(G$1&amp;"!E2:E1000"),$A6)</f>
        <v/>
      </c>
      <c r="H6" s="16">
        <f>COUNTIF(INDIRECT(H$1&amp;"!E2:E1000"),$A6)</f>
        <v/>
      </c>
      <c r="I6" s="16">
        <f>COUNTIF(INDIRECT(I$1&amp;"!E2:E1000"),$A6)</f>
        <v/>
      </c>
      <c r="J6" s="16">
        <f>COUNTIF(INDIRECT(J$1&amp;"!E2:E1000"),$A6)</f>
        <v/>
      </c>
      <c r="K6" s="16">
        <f>COUNTIF(INDIRECT(K$1&amp;"!E2:E1000"),$A6)</f>
        <v/>
      </c>
      <c r="L6" s="16">
        <f>COUNTIF(INDIRECT(L$1&amp;"!E2:E1000"),$A6)</f>
        <v/>
      </c>
      <c r="M6" s="16">
        <f>COUNTIF(INDIRECT(M$1&amp;"!E2:E1000"),$A6)</f>
        <v/>
      </c>
      <c r="N6" s="16">
        <f>COUNTIF(INDIRECT(N$1&amp;"!E2:E1000"),$A6)</f>
        <v/>
      </c>
      <c r="O6" s="16">
        <f>COUNTIF(INDIRECT(O$1&amp;"!E2:E1000"),$A6)</f>
        <v/>
      </c>
      <c r="P6" s="16">
        <f>SUM(B6:O6)</f>
        <v/>
      </c>
    </row>
    <row r="7" ht="15.75" customHeight="1">
      <c r="A7" s="17" t="inlineStr">
        <is>
          <t>Sem Técnico</t>
        </is>
      </c>
      <c r="B7" s="18">
        <f>COUNTIF(INDIRECT("11.24!E2:E1000"),$A7)</f>
        <v/>
      </c>
      <c r="C7" s="18">
        <f>COUNTIF(INDIRECT(C$1&amp;"!E2:E1000"),$A7)</f>
        <v/>
      </c>
      <c r="D7" s="18">
        <f>COUNTIF(INDIRECT(D$1&amp;"!E2:E1000"),$A7)</f>
        <v/>
      </c>
      <c r="E7" s="18">
        <f>COUNTIF(INDIRECT(E$1&amp;"!E2:E1000"),$A7)</f>
        <v/>
      </c>
      <c r="F7" s="18">
        <f>COUNTIF(INDIRECT(F$1&amp;"!E2:E1000"),$A7)</f>
        <v/>
      </c>
      <c r="G7" s="18">
        <f>COUNTIF(INDIRECT(G$1&amp;"!E2:E1000"),$A7)</f>
        <v/>
      </c>
      <c r="H7" s="18">
        <f>COUNTIF(INDIRECT(H$1&amp;"!E2:E1000"),$A7)</f>
        <v/>
      </c>
      <c r="I7" s="18">
        <f>COUNTIF(INDIRECT(I$1&amp;"!E2:E1000"),$A7)</f>
        <v/>
      </c>
      <c r="J7" s="18">
        <f>COUNTIF(INDIRECT(J$1&amp;"!E2:E1000"),$A7)</f>
        <v/>
      </c>
      <c r="K7" s="18">
        <f>COUNTIF(INDIRECT(K$1&amp;"!E2:E1000"),$A7)</f>
        <v/>
      </c>
      <c r="L7" s="18">
        <f>COUNTIF(INDIRECT(L$1&amp;"!E2:E1000"),$A7)</f>
        <v/>
      </c>
      <c r="M7" s="18">
        <f>COUNTIF(INDIRECT(M$1&amp;"!E2:E1000"),$A7)</f>
        <v/>
      </c>
      <c r="N7" s="18">
        <f>COUNTIF(INDIRECT(N$1&amp;"!E2:E1000"),$A7)</f>
        <v/>
      </c>
      <c r="O7" s="18">
        <f>COUNTIF(INDIRECT(O$1&amp;"!E2:E1000"),$A7)</f>
        <v/>
      </c>
      <c r="P7" s="19">
        <f>SUM(B7:O7)</f>
        <v/>
      </c>
    </row>
    <row r="8" ht="15.75" customHeight="1">
      <c r="A8" s="20" t="inlineStr">
        <is>
          <t>Total</t>
        </is>
      </c>
      <c r="B8" s="21">
        <f>SUM(B2:B7)</f>
        <v/>
      </c>
      <c r="C8" s="21">
        <f>SUM(C2:C7)</f>
        <v/>
      </c>
      <c r="D8" s="21">
        <f>SUM(D2:D7)</f>
        <v/>
      </c>
      <c r="E8" s="21">
        <f>SUM(E2:E7)</f>
        <v/>
      </c>
      <c r="F8" s="21">
        <f>SUM(F2:F7)</f>
        <v/>
      </c>
      <c r="G8" s="21">
        <f>SUM(G2:G7)</f>
        <v/>
      </c>
      <c r="H8" s="21">
        <f>SUM(H2:H7)</f>
        <v/>
      </c>
      <c r="I8" s="21">
        <f>SUM(I2:I7)</f>
        <v/>
      </c>
      <c r="J8" s="21">
        <f>SUM(J2:J7)</f>
        <v/>
      </c>
      <c r="K8" s="21">
        <f>SUM(K2:K7)</f>
        <v/>
      </c>
      <c r="L8" s="21">
        <f>SUM(L2:L7)</f>
        <v/>
      </c>
      <c r="M8" s="21">
        <f>SUM(M2:M7)</f>
        <v/>
      </c>
      <c r="N8" s="21">
        <f>SUM(N2:N7)</f>
        <v/>
      </c>
      <c r="O8" s="21">
        <f>SUM(O2:O7)</f>
        <v/>
      </c>
      <c r="P8" s="21">
        <f>SUM(B8:O8)</f>
        <v/>
      </c>
    </row>
    <row r="9" ht="15.75" customHeight="1">
      <c r="A9" s="22" t="n"/>
      <c r="B9" s="23" t="n"/>
      <c r="C9" s="23" t="n"/>
      <c r="D9" s="23" t="n"/>
      <c r="E9" s="23" t="n"/>
      <c r="F9" s="23" t="n"/>
      <c r="G9" s="23" t="n"/>
      <c r="H9" s="23" t="n"/>
      <c r="I9" s="23" t="n"/>
      <c r="J9" s="23" t="n"/>
      <c r="K9" s="23" t="n"/>
      <c r="L9" s="23" t="n"/>
      <c r="M9" s="23" t="n"/>
      <c r="N9" s="23" t="n"/>
      <c r="O9" s="23" t="n"/>
      <c r="P9" s="23" t="n"/>
    </row>
    <row r="10">
      <c r="A10" s="24" t="n"/>
      <c r="B10" s="24" t="n"/>
      <c r="C10" s="24" t="n"/>
      <c r="D10" s="24" t="n"/>
      <c r="E10" s="24" t="n"/>
      <c r="F10" s="24" t="n"/>
      <c r="G10" s="24" t="n"/>
      <c r="H10" s="24" t="n"/>
      <c r="I10" s="24" t="n"/>
      <c r="J10" s="24" t="n"/>
      <c r="K10" s="24" t="n"/>
      <c r="L10" s="24" t="n"/>
      <c r="M10" s="24" t="n"/>
      <c r="N10" s="24" t="n"/>
      <c r="O10" s="24" t="n"/>
      <c r="P10" s="24" t="n"/>
      <c r="Q10" s="24" t="n"/>
      <c r="R10" s="24" t="n"/>
      <c r="S10" s="24" t="n"/>
      <c r="T10" s="24" t="n"/>
      <c r="U10" s="24" t="n"/>
    </row>
    <row r="11" ht="21" customHeight="1">
      <c r="A11" s="25" t="inlineStr">
        <is>
          <t>Digite o Mês de Referência</t>
        </is>
      </c>
      <c r="B11" s="26" t="n"/>
      <c r="C11" s="27" t="inlineStr">
        <is>
          <t>Mês de Referência</t>
        </is>
      </c>
      <c r="D11" s="28" t="n"/>
      <c r="E11" s="28" t="n"/>
      <c r="F11" s="28" t="n"/>
      <c r="G11" s="28" t="n"/>
      <c r="H11" s="28" t="n"/>
      <c r="I11" s="26" t="n"/>
      <c r="J11" s="24" t="n"/>
      <c r="K11" s="27" t="inlineStr">
        <is>
          <t>Acumulado (Total)</t>
        </is>
      </c>
      <c r="L11" s="28" t="n"/>
      <c r="M11" s="28" t="n"/>
      <c r="N11" s="28" t="n"/>
      <c r="O11" s="28" t="n"/>
      <c r="P11" s="26" t="n"/>
      <c r="Q11" s="29" t="n"/>
      <c r="R11" s="30" t="inlineStr">
        <is>
          <t>Resumo por Regional</t>
        </is>
      </c>
      <c r="S11" s="28" t="n"/>
      <c r="T11" s="26" t="n"/>
      <c r="U11" s="24" t="n"/>
    </row>
    <row r="12" ht="15" customHeight="1">
      <c r="A12" s="31" t="inlineStr">
        <is>
          <t>10.25</t>
        </is>
      </c>
      <c r="B12" s="32" t="n"/>
      <c r="C12" s="33" t="inlineStr">
        <is>
          <t>Monitoramento (Envios)</t>
        </is>
      </c>
      <c r="D12" s="28" t="n"/>
      <c r="E12" s="28" t="n"/>
      <c r="F12" s="28" t="n"/>
      <c r="G12" s="28" t="n"/>
      <c r="H12" s="28" t="n"/>
      <c r="I12" s="26" t="n"/>
      <c r="J12" s="24" t="n"/>
      <c r="K12" s="33" t="inlineStr">
        <is>
          <t>Monitoramento (Envios)</t>
        </is>
      </c>
      <c r="L12" s="28" t="n"/>
      <c r="M12" s="28" t="n"/>
      <c r="N12" s="28" t="n"/>
      <c r="O12" s="28" t="n"/>
      <c r="P12" s="26" t="n"/>
      <c r="Q12" s="29" t="n"/>
      <c r="R12" s="34" t="inlineStr">
        <is>
          <t>Regional</t>
        </is>
      </c>
      <c r="S12" s="26" t="n"/>
      <c r="T12" s="35" t="inlineStr">
        <is>
          <t>Valquiria</t>
        </is>
      </c>
      <c r="U12" s="24" t="n"/>
    </row>
    <row r="13" ht="20.25" customHeight="1">
      <c r="B13" s="36" t="n"/>
      <c r="C13" s="37" t="inlineStr">
        <is>
          <t>Regional</t>
        </is>
      </c>
      <c r="D13" s="38" t="inlineStr">
        <is>
          <t>Envi.</t>
        </is>
      </c>
      <c r="E13" s="38" t="inlineStr">
        <is>
          <t>Atra.</t>
        </is>
      </c>
      <c r="F13" s="38" t="inlineStr">
        <is>
          <t>Atra. &gt;= 2</t>
        </is>
      </c>
      <c r="G13" s="38" t="inlineStr">
        <is>
          <t>Dup.</t>
        </is>
      </c>
      <c r="H13" s="38" t="inlineStr">
        <is>
          <t>Out. Ocor.</t>
        </is>
      </c>
      <c r="I13" s="39" t="inlineStr">
        <is>
          <t>Sem Tec.</t>
        </is>
      </c>
      <c r="J13" s="40" t="n"/>
      <c r="K13" s="37" t="inlineStr">
        <is>
          <t>Envi.</t>
        </is>
      </c>
      <c r="L13" s="38" t="inlineStr">
        <is>
          <t>Atra.</t>
        </is>
      </c>
      <c r="M13" s="38" t="inlineStr">
        <is>
          <t>Atra. &gt;= 2</t>
        </is>
      </c>
      <c r="N13" s="38" t="inlineStr">
        <is>
          <t>Dup.</t>
        </is>
      </c>
      <c r="O13" s="38" t="inlineStr">
        <is>
          <t>Out. Ocor.</t>
        </is>
      </c>
      <c r="P13" s="38" t="inlineStr">
        <is>
          <t>Sem Tec.</t>
        </is>
      </c>
      <c r="Q13" s="29" t="n"/>
      <c r="R13" s="41">
        <f>_xlfn.CONCAT("Envios - Mês de Referência - ", A12)</f>
        <v/>
      </c>
      <c r="S13" s="28" t="n"/>
      <c r="T13" s="26" t="n"/>
      <c r="U13" s="24" t="n"/>
    </row>
    <row r="14" ht="20.25" customHeight="1">
      <c r="B14" s="36" t="n"/>
      <c r="C14" s="42" t="inlineStr">
        <is>
          <t>Bianca</t>
        </is>
      </c>
      <c r="D14" s="43">
        <f t="array" ref="D14">IFERROR(ROWS(_xlfn._xlws.FILTER(INDIRECT($A$12&amp;"!A2:E100"),(INDIRECT($A$12&amp;"!A2:A100")=$C14)*(INDIRECT($A$12&amp;"!E2:E100")="Enviado"))), 0)</f>
        <v/>
      </c>
      <c r="E14" s="8">
        <f t="array" ref="E14">IFERROR(ROWS(_xlfn._xlws.FILTER(INDIRECT($A$12&amp;"!A2:E100"),(INDIRECT($A$12&amp;"!A2:A100")=$C14)*(INDIRECT($A$12&amp;"!E2:E100")="Atrasado"))), 0)</f>
        <v/>
      </c>
      <c r="F14" s="11">
        <f t="array" ref="F14">IFERROR(ROWS(_xlfn._xlws.FILTER(INDIRECT($A$12&amp;"!A2:E100"),(INDIRECT($A$12&amp;"!A2:A100")=$C14)*(INDIRECT($A$12&amp;"!E2:E100")="Atrasado &gt;= 2"))), 0)</f>
        <v/>
      </c>
      <c r="G14" s="14">
        <f t="array" ref="G14">IFERROR(ROWS(_xlfn._xlws.FILTER(INDIRECT($A$12&amp;"!A2:E100"),(INDIRECT($A$12&amp;"!A2:A100")=$C14)*(INDIRECT($A$12&amp;"!E2:E100")="Duplicado"))), 0)</f>
        <v/>
      </c>
      <c r="H14" s="16">
        <f t="array" ref="H14">IFERROR(ROWS(_xlfn._xlws.FILTER(INDIRECT($A$12&amp;"!A2:E100"),(INDIRECT($A$12&amp;"!A2:A100")=$C14)*(INDIRECT($A$12&amp;"!E2:E100")="Outras Ocorrências"))), 0)</f>
        <v/>
      </c>
      <c r="I14" s="18">
        <f t="array" ref="I14">IFERROR(ROWS(_xlfn._xlws.FILTER(INDIRECT($A$12&amp;"!A2:E100"),(INDIRECT($A$12&amp;"!A2:A100")=$C14)*(INDIRECT($A$12&amp;"!E2:E100")="Sem Técnico"))), 0)</f>
        <v/>
      </c>
      <c r="J14" s="44" t="n"/>
      <c r="K14" s="45">
        <f>COUNTIF(INDIRECT("Monitoramento!$D$2:$Q$12"), "Enviado")</f>
        <v/>
      </c>
      <c r="L14" s="8">
        <f>COUNTIF(INDIRECT("Monitoramento!$D$2:$Q$12"), "Atrasado")</f>
        <v/>
      </c>
      <c r="M14" s="11">
        <f>COUNTIF(INDIRECT("Monitoramento!$D$2:$Q$12"), "Atrasado &gt;= 2")</f>
        <v/>
      </c>
      <c r="N14" s="14">
        <f>COUNTIF(INDIRECT("Monitoramento!$D$2:$Q$12"), "Duplicado")</f>
        <v/>
      </c>
      <c r="O14" s="16">
        <f>COUNTIF(INDIRECT("Monitoramento!$D$2:$Q$12"), "Outras Ocorrências")</f>
        <v/>
      </c>
      <c r="P14" s="18">
        <f>COUNTIF(INDIRECT("Monitoramento!$D$2:$Q$12"), "Sem Técnico")</f>
        <v/>
      </c>
      <c r="Q14" s="29" t="n"/>
      <c r="R14" s="46" t="inlineStr">
        <is>
          <t>Enviados</t>
        </is>
      </c>
      <c r="S14" s="47">
        <f>VLOOKUP($T$12,$C$14:$I$19,2, FALSE)</f>
        <v/>
      </c>
      <c r="T14" s="48">
        <f>S14/SUM($S$14:$S$19)</f>
        <v/>
      </c>
      <c r="U14" s="24" t="n"/>
    </row>
    <row r="15" ht="20.25" customHeight="1">
      <c r="B15" s="36" t="n"/>
      <c r="C15" s="49" t="inlineStr">
        <is>
          <t>Gabriel</t>
        </is>
      </c>
      <c r="D15" s="43">
        <f t="array" ref="D15">IFERROR(ROWS(_xlfn._xlws.FILTER(INDIRECT($A$12&amp;"!A2:E100"),(INDIRECT($A$12&amp;"!A2:A100")=$C15)*(INDIRECT($A$12&amp;"!E2:E100")="Enviado"))), 0)</f>
        <v/>
      </c>
      <c r="E15" s="8">
        <f t="array" ref="E15">IFERROR(ROWS(_xlfn._xlws.FILTER(INDIRECT($A$12&amp;"!A2:E100"),(INDIRECT($A$12&amp;"!A2:A100")=$C15)*(INDIRECT($A$12&amp;"!E2:E100")="Atrasado"))), 0)</f>
        <v/>
      </c>
      <c r="F15" s="11">
        <f t="array" ref="F15">IFERROR(ROWS(_xlfn._xlws.FILTER(INDIRECT($A$12&amp;"!A2:E100"),(INDIRECT($A$12&amp;"!A2:A100")=$C15)*(INDIRECT($A$12&amp;"!E2:E100")="Atrasado &gt;= 2"))), 0)</f>
        <v/>
      </c>
      <c r="G15" s="14">
        <f t="array" ref="G15">IFERROR(ROWS(_xlfn._xlws.FILTER(INDIRECT($A$12&amp;"!A2:E100"),(INDIRECT($A$12&amp;"!A2:A100")=$C15)*(INDIRECT($A$12&amp;"!E2:E100")="Duplicado"))), 0)</f>
        <v/>
      </c>
      <c r="H15" s="16">
        <f t="array" ref="H15">IFERROR(ROWS(_xlfn._xlws.FILTER(INDIRECT($A$12&amp;"!A2:E100"),(INDIRECT($A$12&amp;"!A2:A100")=$C15)*(INDIRECT($A$12&amp;"!E2:E100")="Outras Ocorrências"))), 0)</f>
        <v/>
      </c>
      <c r="I15" s="18">
        <f t="array" ref="I15">IFERROR(ROWS(_xlfn._xlws.FILTER(INDIRECT($A$12&amp;"!A2:E100"),(INDIRECT($A$12&amp;"!A2:A100")=$C15)*(INDIRECT($A$12&amp;"!E2:E100")="Sem Técnico"))), 0)</f>
        <v/>
      </c>
      <c r="J15" s="40" t="n"/>
      <c r="K15" s="45">
        <f>COUNTIF(INDIRECT("Monitoramento!$D$15:$Q$25"), "Enviado")</f>
        <v/>
      </c>
      <c r="L15" s="8">
        <f>COUNTIF(INDIRECT("Monitoramento!$D$15:$Q$25"), "Atrasado")</f>
        <v/>
      </c>
      <c r="M15" s="11">
        <f>COUNTIF(INDIRECT("Monitoramento!$D$15:$Q$25"), "Atrasado &gt;= 2")</f>
        <v/>
      </c>
      <c r="N15" s="14">
        <f>COUNTIF(INDIRECT("Monitoramento!$D$15:$Q$25"), "Duplicado")</f>
        <v/>
      </c>
      <c r="O15" s="16">
        <f>COUNTIF(INDIRECT("Monitoramento!$D$15:$Q$25"), "Outras Ocorrências")</f>
        <v/>
      </c>
      <c r="P15" s="18">
        <f>COUNTIF(INDIRECT("Monitoramento!$D$15:$Q$25"), "Sem Técnico")</f>
        <v/>
      </c>
      <c r="Q15" s="29" t="n"/>
      <c r="R15" s="50" t="inlineStr">
        <is>
          <t>Atrasados</t>
        </is>
      </c>
      <c r="S15" s="8">
        <f>VLOOKUP($T$12,$C$14:$I$19,3,FALSE)</f>
        <v/>
      </c>
      <c r="T15" s="51">
        <f>S15/SUM($S$14:$S$19)</f>
        <v/>
      </c>
      <c r="U15" s="24" t="n"/>
    </row>
    <row r="16" ht="20.25" customHeight="1">
      <c r="B16" s="36" t="n"/>
      <c r="C16" s="52" t="inlineStr">
        <is>
          <t>Gustavo</t>
        </is>
      </c>
      <c r="D16" s="43">
        <f t="array" ref="D16">IFERROR(ROWS(_xlfn._xlws.FILTER(INDIRECT($A$12&amp;"!A2:E100"),(INDIRECT($A$12&amp;"!A2:A100")=$C16)*(INDIRECT($A$12&amp;"!E2:E100")="Enviado"))), 0)</f>
        <v/>
      </c>
      <c r="E16" s="8">
        <f t="array" ref="E16">IFERROR(ROWS(_xlfn._xlws.FILTER(INDIRECT($A$12&amp;"!A2:E100"),(INDIRECT($A$12&amp;"!A2:A100")=$C16)*(INDIRECT($A$12&amp;"!E2:E100")="Atrasado"))), 0)</f>
        <v/>
      </c>
      <c r="F16" s="11">
        <f t="array" ref="F16">IFERROR(ROWS(_xlfn._xlws.FILTER(INDIRECT($A$12&amp;"!A2:E100"),(INDIRECT($A$12&amp;"!A2:A100")=$C16)*(INDIRECT($A$12&amp;"!E2:E100")="Atrasado &gt;= 2"))), 0)</f>
        <v/>
      </c>
      <c r="G16" s="14">
        <f t="array" ref="G16">IFERROR(ROWS(_xlfn._xlws.FILTER(INDIRECT($A$12&amp;"!A2:E100"),(INDIRECT($A$12&amp;"!A2:A100")=$C16)*(INDIRECT($A$12&amp;"!E2:E100")="Duplicado"))), 0)</f>
        <v/>
      </c>
      <c r="H16" s="16">
        <f t="array" ref="H16">IFERROR(ROWS(_xlfn._xlws.FILTER(INDIRECT($A$12&amp;"!A2:E100"),(INDIRECT($A$12&amp;"!A2:A100")=$C16)*(INDIRECT($A$12&amp;"!E2:E100")="Outras Ocorrências"))), 0)</f>
        <v/>
      </c>
      <c r="I16" s="18">
        <f t="array" ref="I16">IFERROR(ROWS(_xlfn._xlws.FILTER(INDIRECT($A$12&amp;"!A2:E100"),(INDIRECT($A$12&amp;"!A2:A100")=$C16)*(INDIRECT($A$12&amp;"!E2:E100")="Sem Técnico"))), 0)</f>
        <v/>
      </c>
      <c r="J16" s="40" t="n"/>
      <c r="K16" s="45">
        <f>COUNTIF(INDIRECT("Monitoramento!$D$28:$Q$38"), "Enviado")</f>
        <v/>
      </c>
      <c r="L16" s="8">
        <f>COUNTIF(INDIRECT("Monitoramento!$D$28:$Q$38"), "Atrasado")</f>
        <v/>
      </c>
      <c r="M16" s="11">
        <f>COUNTIF(INDIRECT("Monitoramento!$D$28:$Q$38"), "Atrasado &gt;= 2")</f>
        <v/>
      </c>
      <c r="N16" s="14">
        <f>COUNTIF(INDIRECT("Monitoramento!$D$28:$Q$38"), "Duplicado")</f>
        <v/>
      </c>
      <c r="O16" s="16">
        <f>COUNTIF(INDIRECT("Monitoramento!$D$28:$Q$38"), "Outras Ocorrências")</f>
        <v/>
      </c>
      <c r="P16" s="18">
        <f>COUNTIF(INDIRECT("Monitoramento!$D$28:$Q$38"), "Sem Técnico")</f>
        <v/>
      </c>
      <c r="Q16" s="29" t="n"/>
      <c r="R16" s="50" t="inlineStr">
        <is>
          <t>Atrasados &gt;= 2</t>
        </is>
      </c>
      <c r="S16" s="11">
        <f>VLOOKUP($T$12,$C$14:$I$19,4,FALSE)</f>
        <v/>
      </c>
      <c r="T16" s="53">
        <f>S16/SUM($S$14:$S$19)</f>
        <v/>
      </c>
      <c r="U16" s="24" t="n"/>
    </row>
    <row r="17" ht="20.25" customHeight="1">
      <c r="B17" s="36" t="n"/>
      <c r="C17" s="54" t="inlineStr">
        <is>
          <t>Larissa</t>
        </is>
      </c>
      <c r="D17" s="43">
        <f t="array" ref="D17">IFERROR(ROWS(_xlfn._xlws.FILTER(INDIRECT($A$12&amp;"!A2:E100"),(INDIRECT($A$12&amp;"!A2:A100")=$C17)*(INDIRECT($A$12&amp;"!E2:E100")="Enviado"))), 0)</f>
        <v/>
      </c>
      <c r="E17" s="8">
        <f t="array" ref="E17">IFERROR(ROWS(_xlfn._xlws.FILTER(INDIRECT($A$12&amp;"!A2:E100"),(INDIRECT($A$12&amp;"!A2:A100")=$C17)*(INDIRECT($A$12&amp;"!E2:E100")="Atrasado"))), 0)</f>
        <v/>
      </c>
      <c r="F17" s="11">
        <f t="array" ref="F17">IFERROR(ROWS(_xlfn._xlws.FILTER(INDIRECT($A$12&amp;"!A2:E100"),(INDIRECT($A$12&amp;"!A2:A100")=$C17)*(INDIRECT($A$12&amp;"!E2:E100")="Atrasado &gt;= 2"))), 0)</f>
        <v/>
      </c>
      <c r="G17" s="14">
        <f t="array" ref="G17">IFERROR(ROWS(_xlfn._xlws.FILTER(INDIRECT($A$12&amp;"!A2:E100"),(INDIRECT($A$12&amp;"!A2:A100")=$C17)*(INDIRECT($A$12&amp;"!E2:E100")="Duplicado"))), 0)</f>
        <v/>
      </c>
      <c r="H17" s="16">
        <f t="array" ref="H17">IFERROR(ROWS(_xlfn._xlws.FILTER(INDIRECT($A$12&amp;"!A2:E100"),(INDIRECT($A$12&amp;"!A2:A100")=$C17)*(INDIRECT($A$12&amp;"!E2:E100")="Outras Ocorrências"))), 0)</f>
        <v/>
      </c>
      <c r="I17" s="18">
        <f t="array" ref="I17">IFERROR(ROWS(_xlfn._xlws.FILTER(INDIRECT($A$12&amp;"!A2:E100"),(INDIRECT($A$12&amp;"!A2:A100")=$C17)*(INDIRECT($A$12&amp;"!E2:E100")="Sem Técnico"))), 0)</f>
        <v/>
      </c>
      <c r="J17" s="44" t="n"/>
      <c r="K17" s="45">
        <f>COUNTIF(INDIRECT("Monitoramento!$D$41:$Q$53"), "Enviado")</f>
        <v/>
      </c>
      <c r="L17" s="8">
        <f>COUNTIF(INDIRECT("Monitoramento!$D$41:$Q$53"), "Atrasado")</f>
        <v/>
      </c>
      <c r="M17" s="11">
        <f>COUNTIF(INDIRECT("Monitoramento!$D$41:$Q$53"), "Atrasado &gt;= 2")</f>
        <v/>
      </c>
      <c r="N17" s="14">
        <f>COUNTIF(INDIRECT("Monitoramento!$D$41:$Q$53"), "Duplicado")</f>
        <v/>
      </c>
      <c r="O17" s="16">
        <f>COUNTIF(INDIRECT("Monitoramento!$D$41:$Q$53"), "Outras Ocorrências")</f>
        <v/>
      </c>
      <c r="P17" s="18">
        <f>COUNTIF(INDIRECT("Monitoramento!$D$41:$Q$53"), "Sem Técnico")</f>
        <v/>
      </c>
      <c r="Q17" s="29" t="n"/>
      <c r="R17" s="50" t="inlineStr">
        <is>
          <t>Duplicados</t>
        </is>
      </c>
      <c r="S17" s="14">
        <f>VLOOKUP($T$12,$C$14:$I$19,5,FALSE)</f>
        <v/>
      </c>
      <c r="T17" s="55">
        <f>S17/SUM($S$14:$S$19)</f>
        <v/>
      </c>
      <c r="U17" s="24" t="n"/>
    </row>
    <row r="18" ht="20.25" customHeight="1">
      <c r="B18" s="36" t="n"/>
      <c r="C18" s="56" t="inlineStr">
        <is>
          <t>Luana</t>
        </is>
      </c>
      <c r="D18" s="43">
        <f t="array" ref="D18">IFERROR(ROWS(_xlfn._xlws.FILTER(INDIRECT($A$12&amp;"!A2:E100"),(INDIRECT($A$12&amp;"!A2:A100")=$C18)*(INDIRECT($A$12&amp;"!E2:E100")="Enviado"))), 0)</f>
        <v/>
      </c>
      <c r="E18" s="8">
        <f t="array" ref="E18">IFERROR(ROWS(_xlfn._xlws.FILTER(INDIRECT($A$12&amp;"!A2:E100"),(INDIRECT($A$12&amp;"!A2:A100")=$C18)*(INDIRECT($A$12&amp;"!E2:E100")="Atrasado"))), 0)</f>
        <v/>
      </c>
      <c r="F18" s="11">
        <f t="array" ref="F18">IFERROR(ROWS(_xlfn._xlws.FILTER(INDIRECT($A$12&amp;"!A2:E100"),(INDIRECT($A$12&amp;"!A2:A100")=$C18)*(INDIRECT($A$12&amp;"!E2:E100")="Atrasado &gt;= 2"))), 0)</f>
        <v/>
      </c>
      <c r="G18" s="14">
        <f t="array" ref="G18">IFERROR(ROWS(_xlfn._xlws.FILTER(INDIRECT($A$12&amp;"!A2:E100"),(INDIRECT($A$12&amp;"!A2:A100")=$C18)*(INDIRECT($A$12&amp;"!E2:E100")="Duplicado"))), 0)</f>
        <v/>
      </c>
      <c r="H18" s="16">
        <f t="array" ref="H18">IFERROR(ROWS(_xlfn._xlws.FILTER(INDIRECT($A$12&amp;"!A2:E100"),(INDIRECT($A$12&amp;"!A2:A100")=$C18)*(INDIRECT($A$12&amp;"!E2:E100")="Outras Ocorrências"))), 0)</f>
        <v/>
      </c>
      <c r="I18" s="18">
        <f t="array" ref="I18">IFERROR(ROWS(_xlfn._xlws.FILTER(INDIRECT($A$12&amp;"!A2:E100"),(INDIRECT($A$12&amp;"!A2:A100")=$C18)*(INDIRECT($A$12&amp;"!E2:E100")="Sem Técnico"))), 0)</f>
        <v/>
      </c>
      <c r="J18" s="40" t="n"/>
      <c r="K18" s="45">
        <f>COUNTIF(INDIRECT("Monitoramento!$D$56:$Q$67"), "Enviado")</f>
        <v/>
      </c>
      <c r="L18" s="8">
        <f>COUNTIF(INDIRECT("Monitoramento!$D$56:$Q$67"), "Atrasado")</f>
        <v/>
      </c>
      <c r="M18" s="11">
        <f>COUNTIF(INDIRECT("Monitoramento!$D$56:$Q$67"), "Atrasado &gt;= 2")</f>
        <v/>
      </c>
      <c r="N18" s="14">
        <f>COUNTIF(INDIRECT("Monitoramento!$D$56:$Q$67"), "Duplicado")</f>
        <v/>
      </c>
      <c r="O18" s="16">
        <f>COUNTIF(INDIRECT("Monitoramento!$D$56:$Q$67"), "Outras Ocorrências")</f>
        <v/>
      </c>
      <c r="P18" s="18">
        <f>COUNTIF(INDIRECT("Monitoramento!$D$56:$Q$67"), "Sem Técnico")</f>
        <v/>
      </c>
      <c r="Q18" s="29" t="n"/>
      <c r="R18" s="50" t="inlineStr">
        <is>
          <t>Outras Ocorrências</t>
        </is>
      </c>
      <c r="S18" s="16">
        <f>VLOOKUP($T$12,$C$14:$I$19,6,FALSE)</f>
        <v/>
      </c>
      <c r="T18" s="57">
        <f>S18/SUM($S$14:$S$19)</f>
        <v/>
      </c>
      <c r="U18" s="24" t="n"/>
    </row>
    <row r="19" ht="20.25" customHeight="1">
      <c r="B19" s="36" t="n"/>
      <c r="C19" s="58" t="inlineStr">
        <is>
          <t>Valquiria</t>
        </is>
      </c>
      <c r="D19" s="43">
        <f t="array" ref="D19">IFERROR(ROWS(_xlfn._xlws.FILTER(INDIRECT($A$12&amp;"!A2:E100"),(INDIRECT($A$12&amp;"!A2:A100")=$C19)*(INDIRECT($A$12&amp;"!E2:E100")="Enviado"))), 0)</f>
        <v/>
      </c>
      <c r="E19" s="8">
        <f t="array" ref="E19">IFERROR(ROWS(_xlfn._xlws.FILTER(INDIRECT($A$12&amp;"!A2:E100"),(INDIRECT($A$12&amp;"!A2:A100")=$C19)*(INDIRECT($A$12&amp;"!E2:E100")="Atrasado"))), 0)</f>
        <v/>
      </c>
      <c r="F19" s="11">
        <f t="array" ref="F19">IFERROR(ROWS(_xlfn._xlws.FILTER(INDIRECT($A$12&amp;"!A2:E100"),(INDIRECT($A$12&amp;"!A2:A100")=$C19)*(INDIRECT($A$12&amp;"!E2:E100")="Atrasado &gt;= 2"))), 0)</f>
        <v/>
      </c>
      <c r="G19" s="14">
        <f t="array" ref="G19">IFERROR(ROWS(_xlfn._xlws.FILTER(INDIRECT($A$12&amp;"!A2:E100"),(INDIRECT($A$12&amp;"!A2:A100")=$C19)*(INDIRECT($A$12&amp;"!E2:E100")="Duplicado"))), 0)</f>
        <v/>
      </c>
      <c r="H19" s="16">
        <f t="array" ref="H19">IFERROR(ROWS(_xlfn._xlws.FILTER(INDIRECT($A$12&amp;"!A2:E100"),(INDIRECT($A$12&amp;"!A2:A100")=$C19)*(INDIRECT($A$12&amp;"!E2:E100")="Outras Ocorrências"))), 0)</f>
        <v/>
      </c>
      <c r="I19" s="18">
        <f t="array" ref="I19">IFERROR(ROWS(_xlfn._xlws.FILTER(INDIRECT($A$12&amp;"!A2:E100"),(INDIRECT($A$12&amp;"!A2:A100")=$C19)*(INDIRECT($A$12&amp;"!E2:E100")="Sem Técnico"))), 0)</f>
        <v/>
      </c>
      <c r="J19" s="40" t="n"/>
      <c r="K19" s="59">
        <f>COUNTIF(INDIRECT("Monitoramento!$D$70:$Q$80"), "Enviado")</f>
        <v/>
      </c>
      <c r="L19" s="60">
        <f>COUNTIF(INDIRECT("Monitoramento!$D$70:$Q$80"), "Atrasado")</f>
        <v/>
      </c>
      <c r="M19" s="61">
        <f>COUNTIF(INDIRECT("Monitoramento!$D$70:$Q$80"), "Atrasado &gt;= 2")</f>
        <v/>
      </c>
      <c r="N19" s="14">
        <f>COUNTIF(INDIRECT("Monitoramento!$D$70:$Q$80"), "Duplicado")</f>
        <v/>
      </c>
      <c r="O19" s="16">
        <f>COUNTIF(INDIRECT("Monitoramento!$D$70:$Q$80"), "Outras Ocorrências")</f>
        <v/>
      </c>
      <c r="P19" s="62">
        <f>COUNTIF(INDIRECT("Monitoramento!$D$70:$Q$80"), "Sem Técnico")</f>
        <v/>
      </c>
      <c r="Q19" s="29" t="n"/>
      <c r="R19" s="50" t="inlineStr">
        <is>
          <t>Sem Técnico</t>
        </is>
      </c>
      <c r="S19" s="62">
        <f>VLOOKUP($T$12,$C$14:$I$19,7,FALSE)</f>
        <v/>
      </c>
      <c r="T19" s="63">
        <f>S19/SUM($S$14:$S$19)</f>
        <v/>
      </c>
      <c r="U19" s="24" t="n"/>
    </row>
    <row r="20" ht="15" customHeight="1">
      <c r="B20" s="36" t="n"/>
      <c r="C20" s="33" t="inlineStr">
        <is>
          <t>Regionais (Validações)</t>
        </is>
      </c>
      <c r="D20" s="28" t="n"/>
      <c r="E20" s="28" t="n"/>
      <c r="F20" s="28" t="n"/>
      <c r="G20" s="28" t="n"/>
      <c r="H20" s="28" t="n"/>
      <c r="I20" s="26" t="n"/>
      <c r="J20" s="64" t="n"/>
      <c r="K20" s="33" t="inlineStr">
        <is>
          <t>Regionais (Validações)</t>
        </is>
      </c>
      <c r="L20" s="28" t="n"/>
      <c r="M20" s="28" t="n"/>
      <c r="N20" s="28" t="n"/>
      <c r="O20" s="28" t="n"/>
      <c r="P20" s="26" t="n"/>
      <c r="Q20" s="29" t="n"/>
      <c r="R20" s="65" t="inlineStr">
        <is>
          <t>% Validação</t>
        </is>
      </c>
      <c r="S20" s="66">
        <f>VLOOKUP($T$12,$C$22:$I$27,7,FALSE)</f>
        <v/>
      </c>
      <c r="T20" s="26" t="n"/>
      <c r="U20" s="24" t="n"/>
    </row>
    <row r="21" ht="15" customHeight="1">
      <c r="B21" s="36" t="n"/>
      <c r="C21" s="34" t="inlineStr">
        <is>
          <t>Regional</t>
        </is>
      </c>
      <c r="D21" s="26" t="n"/>
      <c r="E21" s="34" t="inlineStr">
        <is>
          <t>Validados</t>
        </is>
      </c>
      <c r="F21" s="26" t="n"/>
      <c r="G21" s="34" t="inlineStr">
        <is>
          <t>Não Validados</t>
        </is>
      </c>
      <c r="H21" s="26" t="n"/>
      <c r="I21" s="67" t="inlineStr">
        <is>
          <t>% Val.</t>
        </is>
      </c>
      <c r="J21" s="44" t="n"/>
      <c r="K21" s="38" t="inlineStr">
        <is>
          <t>Validados</t>
        </is>
      </c>
      <c r="L21" s="68" t="n"/>
      <c r="M21" s="38" t="inlineStr">
        <is>
          <t>Não Validados</t>
        </is>
      </c>
      <c r="N21" s="68" t="n"/>
      <c r="O21" s="38" t="inlineStr">
        <is>
          <t>% Validados</t>
        </is>
      </c>
      <c r="P21" s="68" t="n"/>
      <c r="Q21" s="29" t="n"/>
      <c r="R21" s="41" t="inlineStr">
        <is>
          <t>Envios - Acumulado (Total)</t>
        </is>
      </c>
      <c r="S21" s="28" t="n"/>
      <c r="T21" s="26" t="n"/>
      <c r="U21" s="24" t="n"/>
    </row>
    <row r="22" ht="15" customHeight="1">
      <c r="B22" s="36" t="n"/>
      <c r="C22" s="42" t="inlineStr">
        <is>
          <t>Bianca</t>
        </is>
      </c>
      <c r="D22" s="26" t="n"/>
      <c r="E22" s="69">
        <f t="array" ref="E22">IFERROR(ROWS(_xlfn._xlws.FILTER(INDIRECT($A$12&amp;"!A2:E100"),(INDIRECT($A$12&amp;"!A2:A100")=$C22)*(INDIRECT($A$12&amp;"!G2:G100")="Sim"))), 0)</f>
        <v/>
      </c>
      <c r="F22" s="26" t="n"/>
      <c r="G22" s="70">
        <f t="array" ref="G22">IFERROR(ROWS(_xlfn._xlws.FILTER(INDIRECT($A$12&amp;"!A2:E100"),(INDIRECT($A$12&amp;"!A2:A100")=$C22)*(INDIRECT($A$12&amp;"!G2:G100")="Não")))-E14, 0)</f>
        <v/>
      </c>
      <c r="H22" s="26" t="n"/>
      <c r="I22" s="71">
        <f>IFERROR(E22/SUM(E22:H22),0)</f>
        <v/>
      </c>
      <c r="J22" s="40" t="n"/>
      <c r="K22" s="69">
        <f>COUNTIF(INDIRECT("Regionais!$D$2:$Q$12"), "Sim")</f>
        <v/>
      </c>
      <c r="L22" s="26" t="n"/>
      <c r="M22" s="70">
        <f>COUNTIF(INDIRECT("Regionais!$D$2:$Q$12"), "Não")-SUM(L14:M14)</f>
        <v/>
      </c>
      <c r="N22" s="26" t="n"/>
      <c r="O22" s="72">
        <f>IFERROR(K22/SUM(K22:N22), 0)</f>
        <v/>
      </c>
      <c r="P22" s="26" t="n"/>
      <c r="Q22" s="29" t="n"/>
      <c r="R22" s="46" t="inlineStr">
        <is>
          <t>Enviados</t>
        </is>
      </c>
      <c r="S22" s="47">
        <f>VLOOKUP($T$12,$C$13:$P$19,9,FALSE)</f>
        <v/>
      </c>
      <c r="T22" s="48">
        <f>S22/SUM($S$22:$S$27)</f>
        <v/>
      </c>
      <c r="U22" s="24" t="n"/>
    </row>
    <row r="23" ht="15" customHeight="1">
      <c r="B23" s="36" t="n"/>
      <c r="C23" s="49" t="inlineStr">
        <is>
          <t>Gabriel</t>
        </is>
      </c>
      <c r="D23" s="26" t="n"/>
      <c r="E23" s="69">
        <f t="array" ref="E23">IFERROR(ROWS(_xlfn._xlws.FILTER(INDIRECT($A$12&amp;"!A2:E100"),(INDIRECT($A$12&amp;"!A2:A100")=$C23)*(INDIRECT($A$12&amp;"!G2:G100")="Sim"))), 0)</f>
        <v/>
      </c>
      <c r="F23" s="26" t="n"/>
      <c r="G23" s="70">
        <f t="array" ref="G23">IFERROR(ROWS(_xlfn._xlws.FILTER(INDIRECT($A$12&amp;"!A2:E100"),(INDIRECT($A$12&amp;"!A2:A100")=$C23)*(INDIRECT($A$12&amp;"!G2:G100")="Não")))-E15, 0)</f>
        <v/>
      </c>
      <c r="H23" s="26" t="n"/>
      <c r="I23" s="71">
        <f>IFERROR(E23/SUM(E23:H23),0)</f>
        <v/>
      </c>
      <c r="J23" s="44" t="n"/>
      <c r="K23" s="69">
        <f>COUNTIF(INDIRECT("Regionais!$D$15:$Q$25"), "Sim")</f>
        <v/>
      </c>
      <c r="L23" s="26" t="n"/>
      <c r="M23" s="70">
        <f>COUNTIF(INDIRECT("Regionais!$D$15:$Q$25"), "Não")-SUM(L15:M15)</f>
        <v/>
      </c>
      <c r="N23" s="26" t="n"/>
      <c r="O23" s="72">
        <f>IFERROR(K23/SUM(K23:N23), 0)</f>
        <v/>
      </c>
      <c r="P23" s="26" t="n"/>
      <c r="Q23" s="29" t="n"/>
      <c r="R23" s="50" t="inlineStr">
        <is>
          <t>Atrasados</t>
        </is>
      </c>
      <c r="S23" s="8">
        <f>VLOOKUP($T$12,$C$13:$P$19,10,FALSE)</f>
        <v/>
      </c>
      <c r="T23" s="51">
        <f>S23/SUM($S$22:$S$27)</f>
        <v/>
      </c>
      <c r="U23" s="24" t="n"/>
    </row>
    <row r="24" ht="15" customHeight="1">
      <c r="B24" s="36" t="n"/>
      <c r="C24" s="52" t="inlineStr">
        <is>
          <t>Gustavo</t>
        </is>
      </c>
      <c r="D24" s="26" t="n"/>
      <c r="E24" s="69">
        <f t="array" ref="E24">IFERROR(ROWS(_xlfn._xlws.FILTER(INDIRECT($A$12&amp;"!A2:E100"),(INDIRECT($A$12&amp;"!A2:A100")=$C24)*(INDIRECT($A$12&amp;"!G2:G100")="Sim"))), 0)</f>
        <v/>
      </c>
      <c r="F24" s="26" t="n"/>
      <c r="G24" s="70">
        <f t="array" ref="G24">IFERROR(ROWS(_xlfn._xlws.FILTER(INDIRECT($A$12&amp;"!A2:E100"),(INDIRECT($A$12&amp;"!A2:A100")=$C24)*(INDIRECT($A$12&amp;"!G2:G100")="Não")))-E16, 0)</f>
        <v/>
      </c>
      <c r="H24" s="26" t="n"/>
      <c r="I24" s="71">
        <f>IFERROR(E24/SUM(E24:H24),0)</f>
        <v/>
      </c>
      <c r="J24" s="44" t="n"/>
      <c r="K24" s="69">
        <f>COUNTIF(INDIRECT("Regionais!$D$28:$Q$38"), "Sim")</f>
        <v/>
      </c>
      <c r="L24" s="26" t="n"/>
      <c r="M24" s="70">
        <f>COUNTIF(INDIRECT("Regionais!$D$28:$Q$38"), "Não")-SUM(L16:M16)</f>
        <v/>
      </c>
      <c r="N24" s="26" t="n"/>
      <c r="O24" s="72">
        <f>IFERROR(K24/SUM(K24:N24), 0)</f>
        <v/>
      </c>
      <c r="P24" s="26" t="n"/>
      <c r="Q24" s="29" t="n"/>
      <c r="R24" s="50" t="inlineStr">
        <is>
          <t>Atrasados &gt;= 2</t>
        </is>
      </c>
      <c r="S24" s="11">
        <f>VLOOKUP($T$12,$C$13:$P$19,11,FALSE)</f>
        <v/>
      </c>
      <c r="T24" s="53">
        <f>S24/SUM($S$22:$S$27)</f>
        <v/>
      </c>
      <c r="U24" s="24" t="n"/>
    </row>
    <row r="25" ht="15" customHeight="1">
      <c r="B25" s="36" t="n"/>
      <c r="C25" s="54" t="inlineStr">
        <is>
          <t>Larissa</t>
        </is>
      </c>
      <c r="D25" s="26" t="n"/>
      <c r="E25" s="69">
        <f t="array" ref="E25">IFERROR(ROWS(_xlfn._xlws.FILTER(INDIRECT($A$12&amp;"!A2:E100"),(INDIRECT($A$12&amp;"!A2:A100")=$C25)*(INDIRECT($A$12&amp;"!G2:G100")="Sim"))), 0)</f>
        <v/>
      </c>
      <c r="F25" s="26" t="n"/>
      <c r="G25" s="73">
        <f t="array" ref="G25">IFERROR(ROWS(_xlfn._xlws.FILTER(INDIRECT($A$12&amp;"!A2:E100"),(INDIRECT($A$12&amp;"!A2:A100")=$C25)*(INDIRECT($A$12&amp;"!G2:G100")="Não")))-E17, 0)</f>
        <v/>
      </c>
      <c r="H25" s="32" t="n"/>
      <c r="I25" s="74">
        <f>IFERROR(E25/SUM(E25:H25),0)</f>
        <v/>
      </c>
      <c r="J25" s="44" t="n"/>
      <c r="K25" s="69">
        <f>COUNTIF(INDIRECT("Regionais!$D$41:$Q$53"), "Sim")</f>
        <v/>
      </c>
      <c r="L25" s="26" t="n"/>
      <c r="M25" s="70">
        <f>COUNTIF(INDIRECT("Regionais!$D$41:$Q$53"), "Não")-SUM(L17:M17)</f>
        <v/>
      </c>
      <c r="N25" s="26" t="n"/>
      <c r="O25" s="72">
        <f>IFERROR(K25/SUM(K25:N25), 0)</f>
        <v/>
      </c>
      <c r="P25" s="26" t="n"/>
      <c r="Q25" s="29" t="n"/>
      <c r="R25" s="50" t="inlineStr">
        <is>
          <t>Duplicados</t>
        </is>
      </c>
      <c r="S25" s="14">
        <f>VLOOKUP($T$12,$C$13:$P$19,12,FALSE)</f>
        <v/>
      </c>
      <c r="T25" s="55">
        <f>S25/SUM($S$22:$S$27)</f>
        <v/>
      </c>
      <c r="U25" s="24" t="n"/>
    </row>
    <row r="26" ht="15" customHeight="1">
      <c r="B26" s="36" t="n"/>
      <c r="C26" s="56" t="inlineStr">
        <is>
          <t>Luana</t>
        </is>
      </c>
      <c r="D26" s="26" t="n"/>
      <c r="E26" s="75">
        <f t="array" ref="E26">IFERROR(ROWS(_xlfn._xlws.FILTER(INDIRECT($A$12&amp;"!A2:E100"),(INDIRECT($A$12&amp;"!A2:A100")=$C26)*(INDIRECT($A$12&amp;"!G2:G100")="Sim"))), 0)</f>
        <v/>
      </c>
      <c r="F26" s="28" t="n"/>
      <c r="G26" s="70">
        <f t="array" ref="G26">IFERROR(ROWS(_xlfn._xlws.FILTER(INDIRECT($A$12&amp;"!A2:E100"),(INDIRECT($A$12&amp;"!A2:A100")=$C26)*(INDIRECT($A$12&amp;"!G2:G100")="Não")))-E18, 0)</f>
        <v/>
      </c>
      <c r="H26" s="26" t="n"/>
      <c r="I26" s="76">
        <f>IFERROR(E26/SUM(E26:H26),0)</f>
        <v/>
      </c>
      <c r="J26" s="24" t="n"/>
      <c r="K26" s="69">
        <f>COUNTIF(INDIRECT("Regionais!$D$56:$Q$67"), "Sim")</f>
        <v/>
      </c>
      <c r="L26" s="26" t="n"/>
      <c r="M26" s="70">
        <f>COUNTIF(INDIRECT("Regionais!$D$56:$Q$67"), "Não")-SUM(L18:M18)</f>
        <v/>
      </c>
      <c r="N26" s="26" t="n"/>
      <c r="O26" s="72">
        <f>IFERROR(K26/SUM(K26:N26), 0)</f>
        <v/>
      </c>
      <c r="P26" s="26" t="n"/>
      <c r="Q26" s="29" t="n"/>
      <c r="R26" s="50" t="inlineStr">
        <is>
          <t>Outras Ocorrências</t>
        </is>
      </c>
      <c r="S26" s="16">
        <f>VLOOKUP($T$12,$C$13:$P$19,13,FALSE)</f>
        <v/>
      </c>
      <c r="T26" s="57">
        <f>S26/SUM($S$22:$S$27)</f>
        <v/>
      </c>
      <c r="U26" s="24" t="n"/>
    </row>
    <row r="27">
      <c r="B27" s="36" t="n"/>
      <c r="C27" s="58" t="inlineStr">
        <is>
          <t>Valquiria</t>
        </is>
      </c>
      <c r="D27" s="26" t="n"/>
      <c r="E27" s="69">
        <f t="array" ref="E27">IFERROR(ROWS(_xlfn._xlws.FILTER(INDIRECT($A$12&amp;"!A2:E100"),(INDIRECT($A$12&amp;"!A2:A100")=$C27)*(INDIRECT($A$12&amp;"!G2:G100")="Sim"))), 0)</f>
        <v/>
      </c>
      <c r="F27" s="26" t="n"/>
      <c r="G27" s="77">
        <f t="array" ref="G27">IFERROR(ROWS(_xlfn._xlws.FILTER(INDIRECT($A$12&amp;"!A2:E100"),(INDIRECT($A$12&amp;"!A2:A100")=$C27)*(INDIRECT($A$12&amp;"!G2:G100")="Não")))-E19, 0)</f>
        <v/>
      </c>
      <c r="H27" s="68" t="n"/>
      <c r="I27" s="78">
        <f>IFERROR(E27/SUM(E27:H27),0)</f>
        <v/>
      </c>
      <c r="J27" s="24" t="n"/>
      <c r="K27" s="69">
        <f>COUNTIF(INDIRECT("Regionais!$D$70:$Q$80"), "Sim")</f>
        <v/>
      </c>
      <c r="L27" s="26" t="n"/>
      <c r="M27" s="70">
        <f>COUNTIF(INDIRECT("Regionais!$D$70:$Q$80"), "Não")-SUM(L19:M19)</f>
        <v/>
      </c>
      <c r="N27" s="26" t="n"/>
      <c r="O27" s="72">
        <f>IFERROR(K27/SUM(K27:N27), 0)</f>
        <v/>
      </c>
      <c r="P27" s="26" t="n"/>
      <c r="Q27" s="29" t="n"/>
      <c r="R27" s="50" t="inlineStr">
        <is>
          <t>Sem Técnico</t>
        </is>
      </c>
      <c r="S27" s="62">
        <f>VLOOKUP($T$12,$C$13:$P$19,14,FALSE)</f>
        <v/>
      </c>
      <c r="T27" s="63">
        <f>S27/SUM($S$22:$S$27)</f>
        <v/>
      </c>
      <c r="U27" s="24" t="n"/>
    </row>
    <row r="28">
      <c r="A28" s="29" t="n"/>
      <c r="B28" s="29" t="n"/>
      <c r="C28" s="29" t="n"/>
      <c r="D28" s="29" t="n"/>
      <c r="E28" s="29" t="n"/>
      <c r="F28" s="29" t="n"/>
      <c r="G28" s="29" t="n"/>
      <c r="H28" s="29" t="n"/>
      <c r="I28" s="29" t="n"/>
      <c r="J28" s="24" t="n"/>
      <c r="K28" s="29" t="n"/>
      <c r="L28" s="29" t="n"/>
      <c r="M28" s="29" t="n"/>
      <c r="N28" s="29" t="n"/>
      <c r="O28" s="29" t="n"/>
      <c r="P28" s="29" t="n"/>
      <c r="Q28" s="29" t="n"/>
      <c r="R28" s="79" t="inlineStr">
        <is>
          <t>% Validação</t>
        </is>
      </c>
      <c r="S28" s="66">
        <f>VLOOKUP($T$12,$C$21:$P$27,13,FALSE)</f>
        <v/>
      </c>
      <c r="T28" s="26" t="n"/>
      <c r="U28" s="24" t="n"/>
    </row>
    <row r="29">
      <c r="A29" s="29" t="n"/>
      <c r="B29" s="29" t="n"/>
      <c r="C29" s="29" t="n"/>
      <c r="D29" s="29" t="n"/>
      <c r="E29" s="29" t="n"/>
      <c r="F29" s="29" t="n"/>
      <c r="G29" s="29" t="n"/>
      <c r="H29" s="29" t="n"/>
      <c r="I29" s="29" t="n"/>
      <c r="J29" s="24" t="n"/>
      <c r="K29" s="29" t="n"/>
      <c r="L29" s="29" t="n"/>
      <c r="M29" s="29" t="n"/>
      <c r="N29" s="29" t="n"/>
      <c r="O29" s="29" t="n"/>
      <c r="P29" s="29" t="n"/>
      <c r="Q29" s="29" t="n"/>
      <c r="R29" s="29" t="n"/>
      <c r="S29" s="29" t="n"/>
      <c r="T29" s="29" t="n"/>
      <c r="U29" s="29" t="n"/>
    </row>
    <row r="30">
      <c r="A30" s="29" t="n"/>
      <c r="B30" s="29" t="n"/>
      <c r="C30" s="29" t="n"/>
      <c r="D30" s="29" t="n"/>
      <c r="E30" s="29" t="n"/>
      <c r="F30" s="29" t="n"/>
      <c r="G30" s="29" t="n"/>
      <c r="H30" s="29" t="n"/>
      <c r="I30" s="29" t="n"/>
      <c r="J30" s="24" t="n"/>
      <c r="K30" s="29" t="n"/>
      <c r="L30" s="29" t="n"/>
      <c r="M30" s="29" t="n"/>
      <c r="N30" s="29" t="n"/>
      <c r="O30" s="29" t="n"/>
      <c r="P30" s="24" t="n"/>
      <c r="Q30" s="24" t="n"/>
      <c r="R30" s="24" t="n"/>
      <c r="S30" s="24" t="n"/>
      <c r="T30" s="24" t="n"/>
      <c r="U30" s="24" t="n"/>
    </row>
    <row r="31">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row>
    <row r="32"/>
    <row r="33"/>
    <row r="34">
      <c r="C34" s="80" t="inlineStr">
        <is>
          <t xml:space="preserve">Formulários </t>
        </is>
      </c>
      <c r="D34" s="26" t="n"/>
      <c r="E34" s="81" t="inlineStr">
        <is>
          <t xml:space="preserve">Enviado </t>
        </is>
      </c>
      <c r="F34" s="81" t="inlineStr">
        <is>
          <t xml:space="preserve">Atrasado </t>
        </is>
      </c>
      <c r="G34" s="81" t="inlineStr">
        <is>
          <t xml:space="preserve">Sem Téc </t>
        </is>
      </c>
      <c r="H34" s="82" t="inlineStr">
        <is>
          <t>Outras</t>
        </is>
      </c>
      <c r="I34" s="83" t="inlineStr">
        <is>
          <t>Total</t>
        </is>
      </c>
    </row>
    <row r="35">
      <c r="C35" s="84" t="inlineStr">
        <is>
          <t>4 - Receitas (11/24)</t>
        </is>
      </c>
      <c r="D35" s="26" t="n"/>
      <c r="E35" s="85">
        <f>B$2+B$5</f>
        <v/>
      </c>
      <c r="F35" s="85">
        <f>B$3+B$4</f>
        <v/>
      </c>
      <c r="G35" s="85">
        <f>B$7</f>
        <v/>
      </c>
      <c r="H35" s="86">
        <f>B$6</f>
        <v/>
      </c>
      <c r="I35" s="50">
        <f>SUM(E35:H35)</f>
        <v/>
      </c>
      <c r="J35" s="87" t="n"/>
    </row>
    <row r="36">
      <c r="C36" s="84" t="inlineStr">
        <is>
          <t>4 - Receitas (12/24)</t>
        </is>
      </c>
      <c r="D36" s="26" t="n"/>
      <c r="E36" s="88">
        <f>C$2+C$5</f>
        <v/>
      </c>
      <c r="F36" s="88">
        <f>C$3+C$4</f>
        <v/>
      </c>
      <c r="G36" s="88">
        <f>C$7</f>
        <v/>
      </c>
      <c r="H36" s="89">
        <f>C$6</f>
        <v/>
      </c>
      <c r="I36" s="50">
        <f>SUM(E36:H36)</f>
        <v/>
      </c>
      <c r="J36" s="87" t="n"/>
    </row>
    <row r="37">
      <c r="C37" s="84" t="inlineStr">
        <is>
          <t>4 - Receitas (01/25)</t>
        </is>
      </c>
      <c r="D37" s="26" t="n"/>
      <c r="E37" s="88">
        <f>D$2+D$5</f>
        <v/>
      </c>
      <c r="F37" s="88">
        <f>D$3+D$4</f>
        <v/>
      </c>
      <c r="G37" s="88">
        <f>D$7</f>
        <v/>
      </c>
      <c r="H37" s="89">
        <f>D$6</f>
        <v/>
      </c>
      <c r="I37" s="50">
        <f>SUM(E37:H37)</f>
        <v/>
      </c>
      <c r="J37" s="87" t="n"/>
    </row>
    <row r="38">
      <c r="C38" s="84" t="inlineStr">
        <is>
          <t>4 - Receitas (02/25)</t>
        </is>
      </c>
      <c r="D38" s="26" t="n"/>
      <c r="E38" s="88">
        <f>E$2+E$5</f>
        <v/>
      </c>
      <c r="F38" s="88">
        <f>E$3+E$4</f>
        <v/>
      </c>
      <c r="G38" s="88">
        <f>E$7</f>
        <v/>
      </c>
      <c r="H38" s="89">
        <f>E$6</f>
        <v/>
      </c>
      <c r="I38" s="50">
        <f>SUM(E38:H38)</f>
        <v/>
      </c>
      <c r="J38" s="87" t="n"/>
    </row>
    <row r="39">
      <c r="C39" s="84" t="inlineStr">
        <is>
          <t>4 - Receitas (03/25)</t>
        </is>
      </c>
      <c r="D39" s="26" t="n"/>
      <c r="E39" s="88">
        <f>F$2+F$5</f>
        <v/>
      </c>
      <c r="F39" s="88">
        <f>F$3+F$4</f>
        <v/>
      </c>
      <c r="G39" s="88">
        <f>F$7</f>
        <v/>
      </c>
      <c r="H39" s="89">
        <f>F$6</f>
        <v/>
      </c>
      <c r="I39" s="50">
        <f>SUM(E39:H39)</f>
        <v/>
      </c>
      <c r="J39" s="87" t="n"/>
    </row>
    <row r="40">
      <c r="C40" s="84" t="inlineStr">
        <is>
          <t>4 - Receitas (04/25)</t>
        </is>
      </c>
      <c r="D40" s="26" t="n"/>
      <c r="E40" s="88">
        <f>G$2+G$5</f>
        <v/>
      </c>
      <c r="F40" s="88">
        <f>G$3+G$4</f>
        <v/>
      </c>
      <c r="G40" s="88">
        <f>G$7</f>
        <v/>
      </c>
      <c r="H40" s="89">
        <f>G$6</f>
        <v/>
      </c>
      <c r="I40" s="50">
        <f>SUM(E40:H40)</f>
        <v/>
      </c>
      <c r="J40" s="87" t="n"/>
    </row>
    <row r="41">
      <c r="C41" s="84" t="inlineStr">
        <is>
          <t>4 - Receitas (05/25)</t>
        </is>
      </c>
      <c r="D41" s="26" t="n"/>
      <c r="E41" s="88">
        <f>H$2+H$5</f>
        <v/>
      </c>
      <c r="F41" s="88">
        <f>H$3+H$4</f>
        <v/>
      </c>
      <c r="G41" s="88">
        <f>H$7</f>
        <v/>
      </c>
      <c r="H41" s="89">
        <f>H$6</f>
        <v/>
      </c>
      <c r="I41" s="50">
        <f>SUM(E41:H41)</f>
        <v/>
      </c>
      <c r="J41" s="87" t="n"/>
    </row>
    <row r="42">
      <c r="C42" s="84" t="inlineStr">
        <is>
          <t>4 - Receitas (06/25)</t>
        </is>
      </c>
      <c r="D42" s="26" t="n"/>
      <c r="E42" s="88">
        <f>I$2+I$5</f>
        <v/>
      </c>
      <c r="F42" s="88">
        <f>I$3+I$4</f>
        <v/>
      </c>
      <c r="G42" s="88">
        <f>I$7</f>
        <v/>
      </c>
      <c r="H42" s="89">
        <f>I$6</f>
        <v/>
      </c>
      <c r="I42" s="50">
        <f>SUM(E42:H42)</f>
        <v/>
      </c>
      <c r="J42" s="87" t="n"/>
    </row>
    <row r="43">
      <c r="C43" s="84" t="inlineStr">
        <is>
          <t>4 - Receitas (07/25)</t>
        </is>
      </c>
      <c r="D43" s="26" t="n"/>
      <c r="E43" s="88">
        <f>J$2+J$5</f>
        <v/>
      </c>
      <c r="F43" s="88">
        <f>J$3+J$4</f>
        <v/>
      </c>
      <c r="G43" s="88">
        <f>J$7</f>
        <v/>
      </c>
      <c r="H43" s="89">
        <f>J$6</f>
        <v/>
      </c>
      <c r="I43" s="50">
        <f>SUM(E43:H43)</f>
        <v/>
      </c>
      <c r="J43" s="87" t="n"/>
    </row>
    <row r="44">
      <c r="C44" s="84" t="inlineStr">
        <is>
          <t>4 - Receitas (08/25)</t>
        </is>
      </c>
      <c r="D44" s="26" t="n"/>
      <c r="E44" s="88">
        <f>K$2+K$5</f>
        <v/>
      </c>
      <c r="F44" s="88">
        <f>K$3+K$4</f>
        <v/>
      </c>
      <c r="G44" s="88">
        <f>K$7</f>
        <v/>
      </c>
      <c r="H44" s="89">
        <f>K$6</f>
        <v/>
      </c>
      <c r="I44" s="50">
        <f>SUM(E44:H44)</f>
        <v/>
      </c>
      <c r="J44" s="87" t="n"/>
    </row>
    <row r="45">
      <c r="C45" s="84" t="inlineStr">
        <is>
          <t>4 - Receitas (09/25)</t>
        </is>
      </c>
      <c r="D45" s="26" t="n"/>
      <c r="E45" s="88">
        <f>L$2+L$5</f>
        <v/>
      </c>
      <c r="F45" s="88">
        <f>L$3+L$4</f>
        <v/>
      </c>
      <c r="G45" s="88">
        <f>L$7</f>
        <v/>
      </c>
      <c r="H45" s="89">
        <f>L$6</f>
        <v/>
      </c>
      <c r="I45" s="50">
        <f>SUM(E45:H45)</f>
        <v/>
      </c>
      <c r="J45" s="87" t="n"/>
    </row>
    <row r="46">
      <c r="C46" s="84" t="inlineStr">
        <is>
          <t>4 - Receitas (10/25)</t>
        </is>
      </c>
      <c r="D46" s="26" t="n"/>
      <c r="E46" s="88">
        <f>M$2+M$5</f>
        <v/>
      </c>
      <c r="F46" s="88">
        <f>M$3+M$4</f>
        <v/>
      </c>
      <c r="G46" s="88">
        <f>M$7</f>
        <v/>
      </c>
      <c r="H46" s="89">
        <f>M$6</f>
        <v/>
      </c>
      <c r="I46" s="50">
        <f>SUM(E46:H46)</f>
        <v/>
      </c>
      <c r="J46" s="87" t="n"/>
    </row>
    <row r="47">
      <c r="C47" s="84" t="inlineStr">
        <is>
          <t>4 - Receitas (11/25)</t>
        </is>
      </c>
      <c r="D47" s="26" t="n"/>
      <c r="E47" s="88">
        <f>N$2+N$5</f>
        <v/>
      </c>
      <c r="F47" s="88">
        <f>N$3+N$4</f>
        <v/>
      </c>
      <c r="G47" s="88">
        <f>N$7</f>
        <v/>
      </c>
      <c r="H47" s="89">
        <f>N$6</f>
        <v/>
      </c>
      <c r="I47" s="50">
        <f>SUM(E47:H47)</f>
        <v/>
      </c>
      <c r="J47" s="87" t="n"/>
    </row>
    <row r="48">
      <c r="C48" s="84" t="inlineStr">
        <is>
          <t>4 - Receitas (12/25)</t>
        </is>
      </c>
      <c r="D48" s="26" t="n"/>
      <c r="E48" s="88">
        <f>O$2+O$5</f>
        <v/>
      </c>
      <c r="F48" s="88">
        <f>O$3+O$4</f>
        <v/>
      </c>
      <c r="G48" s="88">
        <f>O$7</f>
        <v/>
      </c>
      <c r="H48" s="89">
        <f>O$6</f>
        <v/>
      </c>
      <c r="I48" s="50">
        <f>SUM(E48:H48)</f>
        <v/>
      </c>
      <c r="J48" s="87" t="n"/>
    </row>
    <row r="49">
      <c r="B49" s="87" t="n"/>
      <c r="C49" s="87" t="n"/>
      <c r="D49" s="87" t="n"/>
      <c r="E49" s="87" t="n"/>
      <c r="F49" s="87" t="n"/>
      <c r="G49" s="87" t="n"/>
      <c r="I49" s="87" t="n"/>
    </row>
    <row r="50">
      <c r="A50" s="87" t="n"/>
      <c r="B50" s="90" t="inlineStr">
        <is>
          <t>Regional</t>
        </is>
      </c>
      <c r="C50" s="90" t="inlineStr">
        <is>
          <t>Município</t>
        </is>
      </c>
      <c r="D50" s="26" t="n"/>
      <c r="E50" s="90" t="inlineStr">
        <is>
          <t>UVR</t>
        </is>
      </c>
      <c r="F50" s="90" t="inlineStr">
        <is>
          <t>Lacuna</t>
        </is>
      </c>
      <c r="G50" s="90" t="inlineStr">
        <is>
          <t>V1</t>
        </is>
      </c>
      <c r="H50" s="90" t="inlineStr">
        <is>
          <t>Status (06-11)</t>
        </is>
      </c>
      <c r="I50" s="26" t="n"/>
    </row>
    <row r="51">
      <c r="A51" s="87" t="n"/>
      <c r="B51" s="35" t="inlineStr">
        <is>
          <t>Valquiria</t>
        </is>
      </c>
      <c r="C51" s="91" t="inlineStr">
        <is>
          <t>Formosa do Oeste</t>
        </is>
      </c>
      <c r="D51" s="26" t="n"/>
      <c r="E51" s="91" t="n">
        <v>1</v>
      </c>
      <c r="F51" s="92" t="inlineStr">
        <is>
          <t>11.24</t>
        </is>
      </c>
      <c r="G51" s="93" t="n">
        <v>45611</v>
      </c>
      <c r="H51" s="94" t="inlineStr">
        <is>
          <t>Atrasado &gt;= 2</t>
        </is>
      </c>
    </row>
    <row r="52">
      <c r="A52" s="87" t="n"/>
      <c r="B52" s="35" t="inlineStr">
        <is>
          <t>Gabriel</t>
        </is>
      </c>
      <c r="C52" s="91" t="inlineStr">
        <is>
          <t>Maripa</t>
        </is>
      </c>
      <c r="D52" s="26" t="n"/>
      <c r="E52" s="91" t="n">
        <v>1</v>
      </c>
      <c r="F52" s="92" t="inlineStr">
        <is>
          <t>11.24</t>
        </is>
      </c>
      <c r="G52" s="93" t="n">
        <v>45611</v>
      </c>
      <c r="H52" s="94" t="inlineStr">
        <is>
          <t>Enviado</t>
        </is>
      </c>
    </row>
    <row r="53">
      <c r="A53" s="87" t="n"/>
      <c r="B53" s="35" t="inlineStr">
        <is>
          <t>Gabriel</t>
        </is>
      </c>
      <c r="C53" s="91" t="inlineStr">
        <is>
          <t>Mundo Novo</t>
        </is>
      </c>
      <c r="D53" s="26" t="n"/>
      <c r="E53" s="91" t="n">
        <v>1</v>
      </c>
      <c r="F53" s="92" t="inlineStr">
        <is>
          <t>11.24</t>
        </is>
      </c>
      <c r="G53" s="93" t="n">
        <v>45611</v>
      </c>
      <c r="H53" s="94" t="inlineStr">
        <is>
          <t>Atrasado &gt;= 2</t>
        </is>
      </c>
    </row>
    <row r="54">
      <c r="A54" s="87" t="n"/>
      <c r="B54" s="35" t="inlineStr">
        <is>
          <t>Gabriel</t>
        </is>
      </c>
      <c r="C54" s="91" t="inlineStr">
        <is>
          <t>Assis Chateaubriand</t>
        </is>
      </c>
      <c r="D54" s="26" t="n"/>
      <c r="E54" s="91" t="n">
        <v>1</v>
      </c>
      <c r="F54" s="95" t="inlineStr">
        <is>
          <t>12.24</t>
        </is>
      </c>
      <c r="G54" s="93" t="n">
        <v>45641</v>
      </c>
      <c r="H54" s="94" t="inlineStr">
        <is>
          <t>Enviado</t>
        </is>
      </c>
    </row>
    <row r="55">
      <c r="A55" s="87" t="n"/>
      <c r="B55" s="35" t="inlineStr">
        <is>
          <t>Valquiria</t>
        </is>
      </c>
      <c r="C55" s="91" t="inlineStr">
        <is>
          <t>Cafelândia</t>
        </is>
      </c>
      <c r="D55" s="26" t="n"/>
      <c r="E55" s="91" t="n">
        <v>1</v>
      </c>
      <c r="F55" s="95" t="inlineStr">
        <is>
          <t>12.24</t>
        </is>
      </c>
      <c r="G55" s="93" t="n">
        <v>45641</v>
      </c>
      <c r="H55" s="94" t="inlineStr">
        <is>
          <t>Atrasado &gt;= 2</t>
        </is>
      </c>
    </row>
    <row r="56">
      <c r="A56" s="87" t="n"/>
      <c r="B56" s="35" t="inlineStr">
        <is>
          <t>Valquiria</t>
        </is>
      </c>
      <c r="C56" s="91" t="inlineStr">
        <is>
          <t>Formosa do Oeste</t>
        </is>
      </c>
      <c r="D56" s="26" t="n"/>
      <c r="E56" s="91" t="n">
        <v>1</v>
      </c>
      <c r="F56" s="95" t="inlineStr">
        <is>
          <t>12.24</t>
        </is>
      </c>
      <c r="G56" s="93" t="n">
        <v>45641</v>
      </c>
      <c r="H56" s="94" t="inlineStr">
        <is>
          <t>Atrasado &gt;= 2</t>
        </is>
      </c>
    </row>
    <row r="57">
      <c r="A57" s="87" t="n"/>
      <c r="B57" s="35" t="inlineStr">
        <is>
          <t>Larissa</t>
        </is>
      </c>
      <c r="C57" s="91" t="inlineStr">
        <is>
          <t>Foz do Iguaçu</t>
        </is>
      </c>
      <c r="D57" s="26" t="n"/>
      <c r="E57" s="91" t="n">
        <v>6</v>
      </c>
      <c r="F57" s="95" t="inlineStr">
        <is>
          <t>12.24</t>
        </is>
      </c>
      <c r="G57" s="93" t="n">
        <v>45641</v>
      </c>
      <c r="H57" s="94" t="inlineStr">
        <is>
          <t>Atrasado &gt;= 2</t>
        </is>
      </c>
    </row>
    <row r="58">
      <c r="A58" s="87" t="n"/>
      <c r="B58" s="35" t="inlineStr">
        <is>
          <t>Valquiria</t>
        </is>
      </c>
      <c r="C58" s="91" t="inlineStr">
        <is>
          <t>Jesuítas</t>
        </is>
      </c>
      <c r="D58" s="26" t="n"/>
      <c r="E58" s="91" t="n">
        <v>1</v>
      </c>
      <c r="F58" s="95" t="inlineStr">
        <is>
          <t>12.24</t>
        </is>
      </c>
      <c r="G58" s="93" t="n">
        <v>45641</v>
      </c>
      <c r="H58" s="94" t="inlineStr">
        <is>
          <t>Atrasado &gt;= 2</t>
        </is>
      </c>
    </row>
    <row r="59">
      <c r="A59" s="87" t="n"/>
      <c r="B59" s="35" t="inlineStr">
        <is>
          <t>Luana</t>
        </is>
      </c>
      <c r="C59" s="91" t="inlineStr">
        <is>
          <t>Marechal Candido Rondon</t>
        </is>
      </c>
      <c r="D59" s="26" t="n"/>
      <c r="E59" s="91" t="n">
        <v>1</v>
      </c>
      <c r="F59" s="95" t="inlineStr">
        <is>
          <t>12.24</t>
        </is>
      </c>
      <c r="G59" s="93" t="n">
        <v>45641</v>
      </c>
      <c r="H59" s="94" t="inlineStr">
        <is>
          <t>Atrasado &gt;= 2</t>
        </is>
      </c>
    </row>
    <row r="60">
      <c r="A60" s="87" t="n"/>
      <c r="B60" s="35" t="inlineStr">
        <is>
          <t>Luana</t>
        </is>
      </c>
      <c r="C60" s="91" t="inlineStr">
        <is>
          <t>Marechal Candido Rondon</t>
        </is>
      </c>
      <c r="D60" s="26" t="n"/>
      <c r="E60" s="91" t="n">
        <v>2</v>
      </c>
      <c r="F60" s="95" t="inlineStr">
        <is>
          <t>12.24</t>
        </is>
      </c>
      <c r="G60" s="93" t="n">
        <v>45641</v>
      </c>
      <c r="H60" s="94" t="inlineStr">
        <is>
          <t>Atrasado &gt;= 2</t>
        </is>
      </c>
    </row>
    <row r="61">
      <c r="A61" s="87" t="n"/>
      <c r="B61" s="35" t="inlineStr">
        <is>
          <t>Gabriel</t>
        </is>
      </c>
      <c r="C61" s="91" t="inlineStr">
        <is>
          <t>Maripa</t>
        </is>
      </c>
      <c r="D61" s="26" t="n"/>
      <c r="E61" s="91" t="n">
        <v>1</v>
      </c>
      <c r="F61" s="95" t="inlineStr">
        <is>
          <t>12.24</t>
        </is>
      </c>
      <c r="G61" s="93" t="n">
        <v>45641</v>
      </c>
      <c r="H61" s="94" t="inlineStr">
        <is>
          <t>Enviado</t>
        </is>
      </c>
    </row>
    <row r="62">
      <c r="A62" s="87" t="n"/>
      <c r="B62" s="35" t="inlineStr">
        <is>
          <t>Gabriel</t>
        </is>
      </c>
      <c r="C62" s="91" t="inlineStr">
        <is>
          <t>Palotina</t>
        </is>
      </c>
      <c r="D62" s="26" t="n"/>
      <c r="E62" s="91" t="n">
        <v>1</v>
      </c>
      <c r="F62" s="95" t="inlineStr">
        <is>
          <t>12.24</t>
        </is>
      </c>
      <c r="G62" s="93" t="n">
        <v>45641</v>
      </c>
      <c r="H62" s="94" t="inlineStr">
        <is>
          <t>Atrasado &gt;= 2</t>
        </is>
      </c>
    </row>
    <row r="63">
      <c r="A63" s="87" t="n"/>
      <c r="B63" s="35" t="inlineStr">
        <is>
          <t>Gabriel</t>
        </is>
      </c>
      <c r="C63" s="91" t="inlineStr">
        <is>
          <t>Assis Chateaubriand</t>
        </is>
      </c>
      <c r="D63" s="26" t="n"/>
      <c r="E63" s="91" t="n">
        <v>1</v>
      </c>
      <c r="F63" s="96" t="inlineStr">
        <is>
          <t>01.25</t>
        </is>
      </c>
      <c r="G63" s="93" t="n">
        <v>45672</v>
      </c>
      <c r="H63" s="94" t="inlineStr">
        <is>
          <t>Enviado</t>
        </is>
      </c>
    </row>
    <row r="64">
      <c r="A64" s="87" t="n"/>
      <c r="B64" s="35" t="inlineStr">
        <is>
          <t>Gabriel</t>
        </is>
      </c>
      <c r="C64" s="91" t="inlineStr">
        <is>
          <t>Brasilândia do Sul</t>
        </is>
      </c>
      <c r="D64" s="26" t="n"/>
      <c r="E64" s="91" t="n">
        <v>1</v>
      </c>
      <c r="F64" s="96" t="inlineStr">
        <is>
          <t>01.25</t>
        </is>
      </c>
      <c r="G64" s="93" t="n">
        <v>45672</v>
      </c>
      <c r="H64" s="94" t="inlineStr">
        <is>
          <t>Atrasado &gt;= 2</t>
        </is>
      </c>
    </row>
    <row r="65">
      <c r="A65" s="87" t="n"/>
      <c r="B65" s="35" t="inlineStr">
        <is>
          <t>Valquiria</t>
        </is>
      </c>
      <c r="C65" s="91" t="inlineStr">
        <is>
          <t>Cafelândia</t>
        </is>
      </c>
      <c r="D65" s="26" t="n"/>
      <c r="E65" s="91" t="n">
        <v>1</v>
      </c>
      <c r="F65" s="96" t="inlineStr">
        <is>
          <t>01.25</t>
        </is>
      </c>
      <c r="G65" s="93" t="n">
        <v>45672</v>
      </c>
      <c r="H65" s="94" t="inlineStr">
        <is>
          <t>Atrasado &gt;= 2</t>
        </is>
      </c>
    </row>
    <row r="66">
      <c r="A66" s="87" t="n"/>
      <c r="B66" s="35" t="inlineStr">
        <is>
          <t>Larissa</t>
        </is>
      </c>
      <c r="C66" s="91" t="inlineStr">
        <is>
          <t>Foz do Iguaçu</t>
        </is>
      </c>
      <c r="D66" s="26" t="n"/>
      <c r="E66" s="91" t="n">
        <v>6</v>
      </c>
      <c r="F66" s="96" t="inlineStr">
        <is>
          <t>01.25</t>
        </is>
      </c>
      <c r="G66" s="93" t="n">
        <v>45672</v>
      </c>
      <c r="H66" s="94" t="inlineStr">
        <is>
          <t>Atrasado &gt;= 2</t>
        </is>
      </c>
    </row>
    <row r="67">
      <c r="A67" s="87" t="n"/>
      <c r="B67" s="35" t="inlineStr">
        <is>
          <t>Valquiria</t>
        </is>
      </c>
      <c r="C67" s="91" t="inlineStr">
        <is>
          <t>Jesuítas</t>
        </is>
      </c>
      <c r="D67" s="26" t="n"/>
      <c r="E67" s="91" t="n">
        <v>1</v>
      </c>
      <c r="F67" s="96" t="inlineStr">
        <is>
          <t>01.25</t>
        </is>
      </c>
      <c r="G67" s="93" t="n">
        <v>45672</v>
      </c>
      <c r="H67" s="94" t="inlineStr">
        <is>
          <t>Atrasado &gt;= 2</t>
        </is>
      </c>
    </row>
    <row r="68">
      <c r="A68" s="87" t="n"/>
      <c r="B68" s="35" t="inlineStr">
        <is>
          <t>Luana</t>
        </is>
      </c>
      <c r="C68" s="91" t="inlineStr">
        <is>
          <t>Marechal Candido Rondon</t>
        </is>
      </c>
      <c r="D68" s="26" t="n"/>
      <c r="E68" s="91" t="n">
        <v>1</v>
      </c>
      <c r="F68" s="96" t="inlineStr">
        <is>
          <t>01.25</t>
        </is>
      </c>
      <c r="G68" s="93" t="n">
        <v>45672</v>
      </c>
      <c r="H68" s="94" t="inlineStr">
        <is>
          <t>Atrasado &gt;= 2</t>
        </is>
      </c>
    </row>
    <row r="69">
      <c r="A69" s="87" t="n"/>
      <c r="B69" s="35" t="inlineStr">
        <is>
          <t>Luana</t>
        </is>
      </c>
      <c r="C69" s="91" t="inlineStr">
        <is>
          <t>Marechal Candido Rondon</t>
        </is>
      </c>
      <c r="D69" s="26" t="n"/>
      <c r="E69" s="91" t="n">
        <v>2</v>
      </c>
      <c r="F69" s="96" t="inlineStr">
        <is>
          <t>01.25</t>
        </is>
      </c>
      <c r="G69" s="93" t="n">
        <v>45672</v>
      </c>
      <c r="H69" s="94" t="inlineStr">
        <is>
          <t>Atrasado &gt;= 2</t>
        </is>
      </c>
    </row>
    <row r="70">
      <c r="A70" s="87" t="n"/>
      <c r="B70" s="35" t="inlineStr">
        <is>
          <t>Gabriel</t>
        </is>
      </c>
      <c r="C70" s="91" t="inlineStr">
        <is>
          <t>Palotina</t>
        </is>
      </c>
      <c r="D70" s="26" t="n"/>
      <c r="E70" s="91" t="n">
        <v>1</v>
      </c>
      <c r="F70" s="96" t="inlineStr">
        <is>
          <t>01.25</t>
        </is>
      </c>
      <c r="G70" s="93" t="n">
        <v>45672</v>
      </c>
      <c r="H70" s="94" t="inlineStr">
        <is>
          <t>Atrasado &gt;= 2</t>
        </is>
      </c>
    </row>
    <row r="71">
      <c r="A71" s="87" t="n"/>
      <c r="B71" s="35" t="inlineStr">
        <is>
          <t>Gabriel</t>
        </is>
      </c>
      <c r="C71" s="91" t="inlineStr">
        <is>
          <t>Palotina</t>
        </is>
      </c>
      <c r="D71" s="26" t="n"/>
      <c r="E71" s="91" t="n">
        <v>1</v>
      </c>
      <c r="F71" s="96" t="inlineStr">
        <is>
          <t>01.25</t>
        </is>
      </c>
      <c r="G71" s="93" t="n">
        <v>45672</v>
      </c>
      <c r="H71" s="94" t="inlineStr">
        <is>
          <t>Atrasado &gt;= 2</t>
        </is>
      </c>
    </row>
    <row r="72">
      <c r="A72" s="87" t="n"/>
      <c r="B72" s="35" t="inlineStr">
        <is>
          <t>Bianca</t>
        </is>
      </c>
      <c r="C72" s="91" t="inlineStr">
        <is>
          <t>Tres Barras do Parana</t>
        </is>
      </c>
      <c r="D72" s="26" t="n"/>
      <c r="E72" s="91" t="n">
        <v>1</v>
      </c>
      <c r="F72" s="96" t="inlineStr">
        <is>
          <t>01.25</t>
        </is>
      </c>
      <c r="G72" s="93" t="n">
        <v>45672</v>
      </c>
      <c r="H72" s="94" t="inlineStr">
        <is>
          <t>Atrasado &gt;= 2</t>
        </is>
      </c>
    </row>
    <row r="73">
      <c r="B73" s="87" t="n"/>
      <c r="C73" s="87" t="n"/>
      <c r="D73" s="87" t="n"/>
      <c r="E73" s="87" t="n"/>
      <c r="F73" s="87" t="n"/>
      <c r="G73" s="87" t="n"/>
    </row>
  </sheetData>
  <mergeCells count="117">
    <mergeCell ref="G21:H21"/>
    <mergeCell ref="H53:I53"/>
    <mergeCell ref="C62:D62"/>
    <mergeCell ref="K24:L24"/>
    <mergeCell ref="E23:F23"/>
    <mergeCell ref="H55:I55"/>
    <mergeCell ref="G23:H23"/>
    <mergeCell ref="C64:D64"/>
    <mergeCell ref="K12:P12"/>
    <mergeCell ref="K26:L26"/>
    <mergeCell ref="C54:D54"/>
    <mergeCell ref="C63:D63"/>
    <mergeCell ref="C41:D41"/>
    <mergeCell ref="C50:D50"/>
    <mergeCell ref="O26:P26"/>
    <mergeCell ref="C56:D56"/>
    <mergeCell ref="H52:I52"/>
    <mergeCell ref="R12:S12"/>
    <mergeCell ref="C43:D43"/>
    <mergeCell ref="M25:N25"/>
    <mergeCell ref="O25:P25"/>
    <mergeCell ref="H72:I72"/>
    <mergeCell ref="C27:D27"/>
    <mergeCell ref="E27:F27"/>
    <mergeCell ref="C36:D36"/>
    <mergeCell ref="O27:P27"/>
    <mergeCell ref="H65:I65"/>
    <mergeCell ref="C67:D67"/>
    <mergeCell ref="H62:I62"/>
    <mergeCell ref="S20:T20"/>
    <mergeCell ref="H71:I71"/>
    <mergeCell ref="E22:F22"/>
    <mergeCell ref="G22:H22"/>
    <mergeCell ref="C69:D69"/>
    <mergeCell ref="A11:B11"/>
    <mergeCell ref="H54:I54"/>
    <mergeCell ref="H63:I63"/>
    <mergeCell ref="C45:D45"/>
    <mergeCell ref="H50:I50"/>
    <mergeCell ref="K21:L21"/>
    <mergeCell ref="H56:I56"/>
    <mergeCell ref="H68:I68"/>
    <mergeCell ref="C47:D47"/>
    <mergeCell ref="C40:D40"/>
    <mergeCell ref="H69:I69"/>
    <mergeCell ref="M21:N21"/>
    <mergeCell ref="C60:D60"/>
    <mergeCell ref="G24:H24"/>
    <mergeCell ref="O21:P21"/>
    <mergeCell ref="C71:D71"/>
    <mergeCell ref="C20:I20"/>
    <mergeCell ref="K27:L27"/>
    <mergeCell ref="M27:N27"/>
    <mergeCell ref="E26:F26"/>
    <mergeCell ref="G26:H26"/>
    <mergeCell ref="M24:N24"/>
    <mergeCell ref="R11:T11"/>
    <mergeCell ref="E25:F25"/>
    <mergeCell ref="G25:H25"/>
    <mergeCell ref="C57:D57"/>
    <mergeCell ref="R13:T13"/>
    <mergeCell ref="C12:I12"/>
    <mergeCell ref="C66:D66"/>
    <mergeCell ref="C53:D53"/>
    <mergeCell ref="C34:D34"/>
    <mergeCell ref="K25:L25"/>
    <mergeCell ref="C68:D68"/>
    <mergeCell ref="C58:D58"/>
    <mergeCell ref="R21:T21"/>
    <mergeCell ref="H58:I58"/>
    <mergeCell ref="C65:D65"/>
    <mergeCell ref="H60:I60"/>
    <mergeCell ref="C44:D44"/>
    <mergeCell ref="C22:D22"/>
    <mergeCell ref="S28:T28"/>
    <mergeCell ref="O22:P22"/>
    <mergeCell ref="C59:D59"/>
    <mergeCell ref="C46:D46"/>
    <mergeCell ref="C21:D21"/>
    <mergeCell ref="A12:B27"/>
    <mergeCell ref="C51:D51"/>
    <mergeCell ref="C61:D61"/>
    <mergeCell ref="H57:I57"/>
    <mergeCell ref="C70:D70"/>
    <mergeCell ref="K23:L23"/>
    <mergeCell ref="H66:I66"/>
    <mergeCell ref="C48:D48"/>
    <mergeCell ref="C23:D23"/>
    <mergeCell ref="M26:N26"/>
    <mergeCell ref="C38:D38"/>
    <mergeCell ref="M23:N23"/>
    <mergeCell ref="O23:P23"/>
    <mergeCell ref="C11:I11"/>
    <mergeCell ref="K11:P11"/>
    <mergeCell ref="H67:I67"/>
    <mergeCell ref="C24:D24"/>
    <mergeCell ref="E24:F24"/>
    <mergeCell ref="C42:D42"/>
    <mergeCell ref="O24:P24"/>
    <mergeCell ref="G27:H27"/>
    <mergeCell ref="C26:D26"/>
    <mergeCell ref="C35:D35"/>
    <mergeCell ref="H59:I59"/>
    <mergeCell ref="H64:I64"/>
    <mergeCell ref="C25:D25"/>
    <mergeCell ref="H51:I51"/>
    <mergeCell ref="C55:D55"/>
    <mergeCell ref="H61:I61"/>
    <mergeCell ref="K22:L22"/>
    <mergeCell ref="H70:I70"/>
    <mergeCell ref="M22:N22"/>
    <mergeCell ref="C52:D52"/>
    <mergeCell ref="C39:D39"/>
    <mergeCell ref="C72:D72"/>
    <mergeCell ref="C37:D37"/>
    <mergeCell ref="K20:P20"/>
    <mergeCell ref="E21:F21"/>
  </mergeCells>
  <conditionalFormatting sqref="B51:B72">
    <cfRule type="cellIs" priority="19" operator="equal" dxfId="0">
      <formula>"Bianca"</formula>
    </cfRule>
    <cfRule type="cellIs" priority="20" operator="equal" dxfId="1">
      <formula>"Gabriel"</formula>
    </cfRule>
    <cfRule type="cellIs" priority="21" operator="equal" dxfId="2">
      <formula>"Gustavo"</formula>
    </cfRule>
    <cfRule type="cellIs" priority="22" operator="equal" dxfId="3">
      <formula>"Larissa"</formula>
    </cfRule>
    <cfRule type="cellIs" priority="23" operator="equal" dxfId="4">
      <formula>"Luana"</formula>
    </cfRule>
    <cfRule type="cellIs" priority="24" operator="equal" dxfId="5">
      <formula>"Valquiria"</formula>
    </cfRule>
  </conditionalFormatting>
  <conditionalFormatting sqref="H51:H72">
    <cfRule type="cellIs" priority="7" operator="equal" dxfId="6" stopIfTrue="1">
      <formula>"Enviado"</formula>
    </cfRule>
    <cfRule type="cellIs" priority="8" operator="equal" dxfId="7" stopIfTrue="1">
      <formula>"Atrasado"</formula>
    </cfRule>
    <cfRule type="cellIs" priority="9" operator="equal" dxfId="8" stopIfTrue="1">
      <formula>"Atrasado &gt;= 2"</formula>
    </cfRule>
    <cfRule type="cellIs" priority="10" operator="equal" dxfId="9" stopIfTrue="1">
      <formula>"Outras Ocorrências"</formula>
    </cfRule>
    <cfRule type="cellIs" priority="11" operator="equal" dxfId="10" stopIfTrue="1">
      <formula>"Sem Técnico"</formula>
    </cfRule>
    <cfRule type="cellIs" priority="12" operator="equal" dxfId="9" stopIfTrue="1">
      <formula>"Duplicado"</formula>
    </cfRule>
  </conditionalFormatting>
  <conditionalFormatting sqref="I22:I27 O22:O27 S20 S28">
    <cfRule type="cellIs" priority="34" operator="lessThanOrEqual" dxfId="11">
      <formula>0.25</formula>
    </cfRule>
    <cfRule type="cellIs" priority="35" operator="lessThanOrEqual" dxfId="3">
      <formula>0.5</formula>
    </cfRule>
    <cfRule type="cellIs" priority="36" operator="lessThanOrEqual" dxfId="12">
      <formula>0.75</formula>
    </cfRule>
    <cfRule type="cellIs" priority="37" operator="lessThanOrEqual" dxfId="13">
      <formula>1</formula>
    </cfRule>
  </conditionalFormatting>
  <conditionalFormatting sqref="T12">
    <cfRule type="cellIs" priority="31" operator="equal" dxfId="14">
      <formula>"Bianca"</formula>
    </cfRule>
    <cfRule type="cellIs" priority="32" operator="equal" dxfId="15">
      <formula>"Gabriel"</formula>
    </cfRule>
    <cfRule type="cellIs" priority="33" operator="equal" dxfId="16">
      <formula>"Gustavo"</formula>
    </cfRule>
    <cfRule type="cellIs" priority="41" operator="equal" dxfId="17">
      <formula>"Larissa"</formula>
    </cfRule>
    <cfRule type="cellIs" priority="42" operator="equal" dxfId="4">
      <formula>"Luana"</formula>
    </cfRule>
    <cfRule type="cellIs" priority="43" operator="equal" dxfId="5">
      <formula>"Valquiria"</formula>
    </cfRule>
  </conditionalFormatting>
  <dataValidations count="3">
    <dataValidation sqref="A12" showDropDown="0" showInputMessage="1" showErrorMessage="1" allowBlank="0" type="list">
      <formula1>"11.24,12.24,01.25,02.25,03.25,04.25,05.25,06.25,07.25,08.25,09.25,10.25,11.25,12.25"</formula1>
    </dataValidation>
    <dataValidation sqref="T12" showDropDown="0" showInputMessage="1" showErrorMessage="1" allowBlank="0" type="list">
      <formula1>"Bianca,Gabriel,Gustavo,Larissa,Luana,Valquiria"</formula1>
    </dataValidation>
    <dataValidation sqref="H51:H72"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9.140625" customWidth="1" min="1" max="1"/>
    <col width="31.140625" customWidth="1" min="2" max="2"/>
    <col width="8.5703125" customWidth="1" min="3" max="3"/>
    <col width="14.5703125" customWidth="1" min="4" max="4"/>
    <col width="15.140625" customWidth="1" min="5" max="5"/>
    <col width="15.7109375" customWidth="1" min="6" max="6"/>
    <col width="15" customWidth="1" min="7" max="7"/>
    <col width="17.28515625" customWidth="1" min="8" max="8"/>
    <col width="17" customWidth="1" min="9" max="9"/>
    <col width="18.42578125" customWidth="1" min="10" max="10"/>
    <col width="17.28515625" customWidth="1" min="11" max="11"/>
    <col width="16.5703125" customWidth="1" min="12" max="12"/>
    <col width="17.7109375" customWidth="1" min="13" max="13"/>
    <col width="18.7109375" customWidth="1" min="14" max="14"/>
    <col width="15.5703125" customWidth="1" min="15" max="15"/>
    <col width="16.140625" customWidth="1" min="16" max="16"/>
    <col width="17.5703125" customWidth="1" min="17" max="17"/>
  </cols>
  <sheetData>
    <row r="1" ht="15.75" customHeight="1">
      <c r="A1" s="97" t="inlineStr">
        <is>
          <t>Regional</t>
        </is>
      </c>
      <c r="B1" s="98" t="inlineStr">
        <is>
          <t>Municípios</t>
        </is>
      </c>
      <c r="C1" s="98" t="inlineStr">
        <is>
          <t>UVR</t>
        </is>
      </c>
      <c r="D1" s="99" t="inlineStr">
        <is>
          <t>11.24</t>
        </is>
      </c>
      <c r="E1" s="100" t="inlineStr">
        <is>
          <t>12.24</t>
        </is>
      </c>
      <c r="F1" s="101" t="inlineStr">
        <is>
          <t>01.25</t>
        </is>
      </c>
      <c r="G1" s="101" t="inlineStr">
        <is>
          <t>02.25</t>
        </is>
      </c>
      <c r="H1" s="101" t="inlineStr">
        <is>
          <t>03.25</t>
        </is>
      </c>
      <c r="I1" s="101" t="inlineStr">
        <is>
          <t>04.25</t>
        </is>
      </c>
      <c r="J1" s="101" t="inlineStr">
        <is>
          <t>05.25</t>
        </is>
      </c>
      <c r="K1" s="101" t="inlineStr">
        <is>
          <t>06.25</t>
        </is>
      </c>
      <c r="L1" s="102" t="inlineStr">
        <is>
          <t>07.25</t>
        </is>
      </c>
      <c r="M1" s="102" t="inlineStr">
        <is>
          <t>08.25</t>
        </is>
      </c>
      <c r="N1" s="102" t="inlineStr">
        <is>
          <t>09.25</t>
        </is>
      </c>
      <c r="O1" s="102" t="inlineStr">
        <is>
          <t>10.25</t>
        </is>
      </c>
      <c r="P1" s="102" t="inlineStr">
        <is>
          <t>11.25</t>
        </is>
      </c>
      <c r="Q1" s="102" t="inlineStr">
        <is>
          <t>12.25</t>
        </is>
      </c>
    </row>
    <row r="2">
      <c r="A2" s="42" t="inlineStr">
        <is>
          <t>Bianca</t>
        </is>
      </c>
      <c r="B2" s="50" t="inlineStr">
        <is>
          <t>Anahy</t>
        </is>
      </c>
      <c r="C2" s="50" t="n">
        <v>1</v>
      </c>
      <c r="D2" s="103">
        <f t="array" ref="D2">IF(
    VLOOKUP(
        $A2,
        _xlfn._xlws.FILTER(
            INDIRECT("'"&amp;D$14&amp;"'!A2:E1000"), (INDIRECT("'"&amp;D$14&amp;"'!B2:B1000")=$B2) * (INDIRECT("'"&amp;D$14&amp;"'!C2:C1000")=$C2)
        ),
        5,
        FALSE
    )=0,
    "",
    VLOOKUP(
        $A2,
        _xlfn._xlws.FILTER(
            INDIRECT("'"&amp;D$14&amp;"'!A2:E1000"), (INDIRECT("'"&amp;D$14&amp;"'!B2:B1000")=$B2) * (INDIRECT("'"&amp;D$14&amp;"'!C2:C1000")=$C2)
        ),
        5,
        FALSE
    )
)</f>
        <v/>
      </c>
      <c r="E2" s="103">
        <f t="array" ref="E2">IF(
    VLOOKUP(
        $A2,
        _xlfn._xlws.FILTER(
            INDIRECT("'"&amp;E$14&amp;"'!A2:E1000"), (INDIRECT("'"&amp;E$14&amp;"'!B2:B1000")=$B2) * (INDIRECT("'"&amp;E$14&amp;"'!C2:C1000")=$C2)
        ),
        5,
        FALSE
    )=0,
    "",
    VLOOKUP(
        $A2,
        _xlfn._xlws.FILTER(
            INDIRECT("'"&amp;E$14&amp;"'!A2:E1000"), (INDIRECT("'"&amp;E$14&amp;"'!B2:B1000")=$B2) * (INDIRECT("'"&amp;E$14&amp;"'!C2:C1000")=$C2)
        ),
        5,
        FALSE
    )
)</f>
        <v/>
      </c>
      <c r="F2" s="103">
        <f t="array" ref="F2">IF(
    VLOOKUP(
        $A2,
        _xlfn._xlws.FILTER(
            INDIRECT("'"&amp;F$14&amp;"'!A2:E1000"), (INDIRECT("'"&amp;F$14&amp;"'!B2:B1000")=$B2) * (INDIRECT("'"&amp;F$14&amp;"'!C2:C1000")=$C2)
        ),
        5,
        FALSE
    )=0,
    "",
    VLOOKUP(
        $A2,
        _xlfn._xlws.FILTER(
            INDIRECT("'"&amp;F$14&amp;"'!A2:E1000"), (INDIRECT("'"&amp;F$14&amp;"'!B2:B1000")=$B2) * (INDIRECT("'"&amp;F$14&amp;"'!C2:C1000")=$C2)
        ),
        5,
        FALSE
    )
)</f>
        <v/>
      </c>
      <c r="G2" s="103">
        <f t="array" ref="G2">IF(
    VLOOKUP(
        $A2,
        _xlfn._xlws.FILTER(
            INDIRECT("'"&amp;G$14&amp;"'!A2:E1000"), (INDIRECT("'"&amp;G$14&amp;"'!B2:B1000")=$B2) * (INDIRECT("'"&amp;G$14&amp;"'!C2:C1000")=$C2)
        ),
        5,
        FALSE
    )=0,
    "",
    VLOOKUP(
        $A2,
        _xlfn._xlws.FILTER(
            INDIRECT("'"&amp;G$14&amp;"'!A2:E1000"), (INDIRECT("'"&amp;G$14&amp;"'!B2:B1000")=$B2) * (INDIRECT("'"&amp;G$14&amp;"'!C2:C1000")=$C2)
        ),
        5,
        FALSE
    )
)</f>
        <v/>
      </c>
      <c r="H2" s="103">
        <f t="array" ref="H2">IF(
    VLOOKUP(
        $A2,
        _xlfn._xlws.FILTER(
            INDIRECT("'"&amp;H$14&amp;"'!A2:E1000"), (INDIRECT("'"&amp;H$14&amp;"'!B2:B1000")=$B2) * (INDIRECT("'"&amp;H$14&amp;"'!C2:C1000")=$C2)
        ),
        5,
        FALSE
    )=0,
    "",
    VLOOKUP(
        $A2,
        _xlfn._xlws.FILTER(
            INDIRECT("'"&amp;H$14&amp;"'!A2:E1000"), (INDIRECT("'"&amp;H$14&amp;"'!B2:B1000")=$B2) * (INDIRECT("'"&amp;H$14&amp;"'!C2:C1000")=$C2)
        ),
        5,
        FALSE
    )
)</f>
        <v/>
      </c>
      <c r="I2" s="103">
        <f t="array" ref="I2">IF(
    VLOOKUP(
        $A2,
        _xlfn._xlws.FILTER(
            INDIRECT("'"&amp;I$14&amp;"'!A2:E1000"), (INDIRECT("'"&amp;I$14&amp;"'!B2:B1000")=$B2) * (INDIRECT("'"&amp;I$14&amp;"'!C2:C1000")=$C2)
        ),
        5,
        FALSE
    )=0,
    "",
    VLOOKUP(
        $A2,
        _xlfn._xlws.FILTER(
            INDIRECT("'"&amp;I$14&amp;"'!A2:E1000"), (INDIRECT("'"&amp;I$14&amp;"'!B2:B1000")=$B2) * (INDIRECT("'"&amp;I$14&amp;"'!C2:C1000")=$C2)
        ),
        5,
        FALSE
    )
)</f>
        <v/>
      </c>
      <c r="J2" s="103">
        <f t="array" ref="J2">IF(
    VLOOKUP(
        $A2,
        _xlfn._xlws.FILTER(
            INDIRECT("'"&amp;J$14&amp;"'!A2:E1000"), (INDIRECT("'"&amp;J$14&amp;"'!B2:B1000")=$B2) * (INDIRECT("'"&amp;J$14&amp;"'!C2:C1000")=$C2)
        ),
        5,
        FALSE
    )=0,
    "",
    VLOOKUP(
        $A2,
        _xlfn._xlws.FILTER(
            INDIRECT("'"&amp;J$14&amp;"'!A2:E1000"), (INDIRECT("'"&amp;J$14&amp;"'!B2:B1000")=$B2) * (INDIRECT("'"&amp;J$14&amp;"'!C2:C1000")=$C2)
        ),
        5,
        FALSE
    )
)</f>
        <v/>
      </c>
      <c r="K2" s="103">
        <f t="array" ref="K2">IF(
    VLOOKUP(
        $A2,
        _xlfn._xlws.FILTER(
            INDIRECT("'"&amp;K$14&amp;"'!A2:E1000"), (INDIRECT("'"&amp;K$14&amp;"'!B2:B1000")=$B2) * (INDIRECT("'"&amp;K$14&amp;"'!C2:C1000")=$C2)
        ),
        5,
        FALSE
    )=0,
    "",
    VLOOKUP(
        $A2,
        _xlfn._xlws.FILTER(
            INDIRECT("'"&amp;K$14&amp;"'!A2:E1000"), (INDIRECT("'"&amp;K$14&amp;"'!B2:B1000")=$B2) * (INDIRECT("'"&amp;K$14&amp;"'!C2:C1000")=$C2)
        ),
        5,
        FALSE
    )
)</f>
        <v/>
      </c>
      <c r="L2" s="103">
        <f t="array" ref="L2">IF(
    VLOOKUP(
        $A2,
        _xlfn._xlws.FILTER(
            INDIRECT("'"&amp;L$14&amp;"'!A2:E1000"), (INDIRECT("'"&amp;L$14&amp;"'!B2:B1000")=$B2) * (INDIRECT("'"&amp;L$14&amp;"'!C2:C1000")=$C2)
        ),
        5,
        FALSE
    )=0,
    "",
    VLOOKUP(
        $A2,
        _xlfn._xlws.FILTER(
            INDIRECT("'"&amp;L$14&amp;"'!A2:E1000"), (INDIRECT("'"&amp;L$14&amp;"'!B2:B1000")=$B2) * (INDIRECT("'"&amp;L$14&amp;"'!C2:C1000")=$C2)
        ),
        5,
        FALSE
    )
)</f>
        <v/>
      </c>
      <c r="M2" s="103">
        <f t="array" ref="M2">IF(
    VLOOKUP(
        $A2,
        _xlfn._xlws.FILTER(
            INDIRECT("'"&amp;M$14&amp;"'!A2:E1000"), (INDIRECT("'"&amp;M$14&amp;"'!B2:B1000")=$B2) * (INDIRECT("'"&amp;M$14&amp;"'!C2:C1000")=$C2)
        ),
        5,
        FALSE
    )=0,
    "",
    VLOOKUP(
        $A2,
        _xlfn._xlws.FILTER(
            INDIRECT("'"&amp;M$14&amp;"'!A2:E1000"), (INDIRECT("'"&amp;M$14&amp;"'!B2:B1000")=$B2) * (INDIRECT("'"&amp;M$14&amp;"'!C2:C1000")=$C2)
        ),
        5,
        FALSE
    )
)</f>
        <v/>
      </c>
      <c r="N2" s="103">
        <f t="array" ref="N2">IF(
    VLOOKUP(
        $A2,
        _xlfn._xlws.FILTER(
            INDIRECT("'"&amp;N$14&amp;"'!A2:E1000"), (INDIRECT("'"&amp;N$14&amp;"'!B2:B1000")=$B2) * (INDIRECT("'"&amp;N$14&amp;"'!C2:C1000")=$C2)
        ),
        5,
        FALSE
    )=0,
    "",
    VLOOKUP(
        $A2,
        _xlfn._xlws.FILTER(
            INDIRECT("'"&amp;N$14&amp;"'!A2:E1000"), (INDIRECT("'"&amp;N$14&amp;"'!B2:B1000")=$B2) * (INDIRECT("'"&amp;N$14&amp;"'!C2:C1000")=$C2)
        ),
        5,
        FALSE
    )
)</f>
        <v/>
      </c>
      <c r="O2" s="103">
        <f t="array" ref="O2">IF(
    VLOOKUP(
        $A2,
        _xlfn._xlws.FILTER(
            INDIRECT("'"&amp;O$14&amp;"'!A2:E1000"), (INDIRECT("'"&amp;O$14&amp;"'!B2:B1000")=$B2) * (INDIRECT("'"&amp;O$14&amp;"'!C2:C1000")=$C2)
        ),
        5,
        FALSE
    )=0,
    "",
    VLOOKUP(
        $A2,
        _xlfn._xlws.FILTER(
            INDIRECT("'"&amp;O$14&amp;"'!A2:E1000"), (INDIRECT("'"&amp;O$14&amp;"'!B2:B1000")=$B2) * (INDIRECT("'"&amp;O$14&amp;"'!C2:C1000")=$C2)
        ),
        5,
        FALSE
    )
)</f>
        <v/>
      </c>
      <c r="P2" s="103">
        <f t="array" ref="P2">IF(
    VLOOKUP(
        $A2,
        _xlfn._xlws.FILTER(
            INDIRECT("'"&amp;P$14&amp;"'!A2:E1000"), (INDIRECT("'"&amp;P$14&amp;"'!B2:B1000")=$B2) * (INDIRECT("'"&amp;P$14&amp;"'!C2:C1000")=$C2)
        ),
        5,
        FALSE
    )=0,
    "",
    VLOOKUP(
        $A2,
        _xlfn._xlws.FILTER(
            INDIRECT("'"&amp;P$14&amp;"'!A2:E1000"), (INDIRECT("'"&amp;P$14&amp;"'!B2:B1000")=$B2) * (INDIRECT("'"&amp;P$14&amp;"'!C2:C1000")=$C2)
        ),
        5,
        FALSE
    )
)</f>
        <v/>
      </c>
      <c r="Q2" s="103">
        <f t="array" ref="Q2">IF(
    VLOOKUP(
        $A2,
        _xlfn._xlws.FILTER(
            INDIRECT("'"&amp;Q$14&amp;"'!A2:E1000"), (INDIRECT("'"&amp;Q$14&amp;"'!B2:B1000")=$B2) * (INDIRECT("'"&amp;Q$14&amp;"'!C2:C1000")=$C2)
        ),
        5,
        FALSE
    )=0,
    "",
    VLOOKUP(
        $A2,
        _xlfn._xlws.FILTER(
            INDIRECT("'"&amp;Q$14&amp;"'!A2:E1000"), (INDIRECT("'"&amp;Q$14&amp;"'!B2:B1000")=$B2) * (INDIRECT("'"&amp;Q$14&amp;"'!C2:C1000")=$C2)
        ),
        5,
        FALSE
    )
)</f>
        <v/>
      </c>
    </row>
    <row r="3">
      <c r="A3" s="42" t="inlineStr">
        <is>
          <t>Bianca</t>
        </is>
      </c>
      <c r="B3" s="50" t="inlineStr">
        <is>
          <t>Boa Vista da Aparecida</t>
        </is>
      </c>
      <c r="C3" s="50" t="n">
        <v>1</v>
      </c>
      <c r="D3" s="103">
        <f t="array" ref="D3">IF(
    VLOOKUP(
        $A3,
        _xlfn._xlws.FILTER(
            INDIRECT("'"&amp;D$14&amp;"'!A2:E1000"), (INDIRECT("'"&amp;D$14&amp;"'!B2:B1000")=$B3) * (INDIRECT("'"&amp;D$14&amp;"'!C2:C1000")=$C3)
        ),
        5,
        FALSE
    )=0,
    "",
    VLOOKUP(
        $A3,
        _xlfn._xlws.FILTER(
            INDIRECT("'"&amp;D$14&amp;"'!A2:E1000"), (INDIRECT("'"&amp;D$14&amp;"'!B2:B1000")=$B3) * (INDIRECT("'"&amp;D$14&amp;"'!C2:C1000")=$C3)
        ),
        5,
        FALSE
    )
)</f>
        <v/>
      </c>
      <c r="E3" s="103">
        <f t="array" ref="E3">IF(
    VLOOKUP(
        $A3,
        _xlfn._xlws.FILTER(
            INDIRECT("'"&amp;E$14&amp;"'!A2:E1000"), (INDIRECT("'"&amp;E$14&amp;"'!B2:B1000")=$B3) * (INDIRECT("'"&amp;E$14&amp;"'!C2:C1000")=$C3)
        ),
        5,
        FALSE
    )=0,
    "",
    VLOOKUP(
        $A3,
        _xlfn._xlws.FILTER(
            INDIRECT("'"&amp;E$14&amp;"'!A2:E1000"), (INDIRECT("'"&amp;E$14&amp;"'!B2:B1000")=$B3) * (INDIRECT("'"&amp;E$14&amp;"'!C2:C1000")=$C3)
        ),
        5,
        FALSE
    )
)</f>
        <v/>
      </c>
      <c r="F3" s="103">
        <f t="array" ref="F3">IF(
    VLOOKUP(
        $A3,
        _xlfn._xlws.FILTER(
            INDIRECT("'"&amp;F$14&amp;"'!A2:E1000"), (INDIRECT("'"&amp;F$14&amp;"'!B2:B1000")=$B3) * (INDIRECT("'"&amp;F$14&amp;"'!C2:C1000")=$C3)
        ),
        5,
        FALSE
    )=0,
    "",
    VLOOKUP(
        $A3,
        _xlfn._xlws.FILTER(
            INDIRECT("'"&amp;F$14&amp;"'!A2:E1000"), (INDIRECT("'"&amp;F$14&amp;"'!B2:B1000")=$B3) * (INDIRECT("'"&amp;F$14&amp;"'!C2:C1000")=$C3)
        ),
        5,
        FALSE
    )
)</f>
        <v/>
      </c>
      <c r="G3" s="103">
        <f t="array" ref="G3">IF(
    VLOOKUP(
        $A3,
        _xlfn._xlws.FILTER(
            INDIRECT("'"&amp;G$14&amp;"'!A2:E1000"), (INDIRECT("'"&amp;G$14&amp;"'!B2:B1000")=$B3) * (INDIRECT("'"&amp;G$14&amp;"'!C2:C1000")=$C3)
        ),
        5,
        FALSE
    )=0,
    "",
    VLOOKUP(
        $A3,
        _xlfn._xlws.FILTER(
            INDIRECT("'"&amp;G$14&amp;"'!A2:E1000"), (INDIRECT("'"&amp;G$14&amp;"'!B2:B1000")=$B3) * (INDIRECT("'"&amp;G$14&amp;"'!C2:C1000")=$C3)
        ),
        5,
        FALSE
    )
)</f>
        <v/>
      </c>
      <c r="H3" s="103">
        <f t="array" ref="H3">IF(
    VLOOKUP(
        $A3,
        _xlfn._xlws.FILTER(
            INDIRECT("'"&amp;H$14&amp;"'!A2:E1000"), (INDIRECT("'"&amp;H$14&amp;"'!B2:B1000")=$B3) * (INDIRECT("'"&amp;H$14&amp;"'!C2:C1000")=$C3)
        ),
        5,
        FALSE
    )=0,
    "",
    VLOOKUP(
        $A3,
        _xlfn._xlws.FILTER(
            INDIRECT("'"&amp;H$14&amp;"'!A2:E1000"), (INDIRECT("'"&amp;H$14&amp;"'!B2:B1000")=$B3) * (INDIRECT("'"&amp;H$14&amp;"'!C2:C1000")=$C3)
        ),
        5,
        FALSE
    )
)</f>
        <v/>
      </c>
      <c r="I3" s="103">
        <f t="array" ref="I3">IF(
    VLOOKUP(
        $A3,
        _xlfn._xlws.FILTER(
            INDIRECT("'"&amp;I$14&amp;"'!A2:E1000"), (INDIRECT("'"&amp;I$14&amp;"'!B2:B1000")=$B3) * (INDIRECT("'"&amp;I$14&amp;"'!C2:C1000")=$C3)
        ),
        5,
        FALSE
    )=0,
    "",
    VLOOKUP(
        $A3,
        _xlfn._xlws.FILTER(
            INDIRECT("'"&amp;I$14&amp;"'!A2:E1000"), (INDIRECT("'"&amp;I$14&amp;"'!B2:B1000")=$B3) * (INDIRECT("'"&amp;I$14&amp;"'!C2:C1000")=$C3)
        ),
        5,
        FALSE
    )
)</f>
        <v/>
      </c>
      <c r="J3" s="103">
        <f t="array" ref="J3">IF(
    VLOOKUP(
        $A3,
        _xlfn._xlws.FILTER(
            INDIRECT("'"&amp;J$14&amp;"'!A2:E1000"), (INDIRECT("'"&amp;J$14&amp;"'!B2:B1000")=$B3) * (INDIRECT("'"&amp;J$14&amp;"'!C2:C1000")=$C3)
        ),
        5,
        FALSE
    )=0,
    "",
    VLOOKUP(
        $A3,
        _xlfn._xlws.FILTER(
            INDIRECT("'"&amp;J$14&amp;"'!A2:E1000"), (INDIRECT("'"&amp;J$14&amp;"'!B2:B1000")=$B3) * (INDIRECT("'"&amp;J$14&amp;"'!C2:C1000")=$C3)
        ),
        5,
        FALSE
    )
)</f>
        <v/>
      </c>
      <c r="K3" s="103">
        <f t="array" ref="K3">IF(
    VLOOKUP(
        $A3,
        _xlfn._xlws.FILTER(
            INDIRECT("'"&amp;K$14&amp;"'!A2:E1000"), (INDIRECT("'"&amp;K$14&amp;"'!B2:B1000")=$B3) * (INDIRECT("'"&amp;K$14&amp;"'!C2:C1000")=$C3)
        ),
        5,
        FALSE
    )=0,
    "",
    VLOOKUP(
        $A3,
        _xlfn._xlws.FILTER(
            INDIRECT("'"&amp;K$14&amp;"'!A2:E1000"), (INDIRECT("'"&amp;K$14&amp;"'!B2:B1000")=$B3) * (INDIRECT("'"&amp;K$14&amp;"'!C2:C1000")=$C3)
        ),
        5,
        FALSE
    )
)</f>
        <v/>
      </c>
      <c r="L3" s="103">
        <f t="array" ref="L3">IF(
    VLOOKUP(
        $A3,
        _xlfn._xlws.FILTER(
            INDIRECT("'"&amp;L$14&amp;"'!A2:E1000"), (INDIRECT("'"&amp;L$14&amp;"'!B2:B1000")=$B3) * (INDIRECT("'"&amp;L$14&amp;"'!C2:C1000")=$C3)
        ),
        5,
        FALSE
    )=0,
    "",
    VLOOKUP(
        $A3,
        _xlfn._xlws.FILTER(
            INDIRECT("'"&amp;L$14&amp;"'!A2:E1000"), (INDIRECT("'"&amp;L$14&amp;"'!B2:B1000")=$B3) * (INDIRECT("'"&amp;L$14&amp;"'!C2:C1000")=$C3)
        ),
        5,
        FALSE
    )
)</f>
        <v/>
      </c>
      <c r="M3" s="103">
        <f t="array" ref="M3">IF(
    VLOOKUP(
        $A3,
        _xlfn._xlws.FILTER(
            INDIRECT("'"&amp;M$14&amp;"'!A2:E1000"), (INDIRECT("'"&amp;M$14&amp;"'!B2:B1000")=$B3) * (INDIRECT("'"&amp;M$14&amp;"'!C2:C1000")=$C3)
        ),
        5,
        FALSE
    )=0,
    "",
    VLOOKUP(
        $A3,
        _xlfn._xlws.FILTER(
            INDIRECT("'"&amp;M$14&amp;"'!A2:E1000"), (INDIRECT("'"&amp;M$14&amp;"'!B2:B1000")=$B3) * (INDIRECT("'"&amp;M$14&amp;"'!C2:C1000")=$C3)
        ),
        5,
        FALSE
    )
)</f>
        <v/>
      </c>
      <c r="N3" s="103">
        <f t="array" ref="N3">IF(
    VLOOKUP(
        $A3,
        _xlfn._xlws.FILTER(
            INDIRECT("'"&amp;N$14&amp;"'!A2:E1000"), (INDIRECT("'"&amp;N$14&amp;"'!B2:B1000")=$B3) * (INDIRECT("'"&amp;N$14&amp;"'!C2:C1000")=$C3)
        ),
        5,
        FALSE
    )=0,
    "",
    VLOOKUP(
        $A3,
        _xlfn._xlws.FILTER(
            INDIRECT("'"&amp;N$14&amp;"'!A2:E1000"), (INDIRECT("'"&amp;N$14&amp;"'!B2:B1000")=$B3) * (INDIRECT("'"&amp;N$14&amp;"'!C2:C1000")=$C3)
        ),
        5,
        FALSE
    )
)</f>
        <v/>
      </c>
      <c r="O3" s="103">
        <f t="array" ref="O3">IF(
    VLOOKUP(
        $A3,
        _xlfn._xlws.FILTER(
            INDIRECT("'"&amp;O$14&amp;"'!A2:E1000"), (INDIRECT("'"&amp;O$14&amp;"'!B2:B1000")=$B3) * (INDIRECT("'"&amp;O$14&amp;"'!C2:C1000")=$C3)
        ),
        5,
        FALSE
    )=0,
    "",
    VLOOKUP(
        $A3,
        _xlfn._xlws.FILTER(
            INDIRECT("'"&amp;O$14&amp;"'!A2:E1000"), (INDIRECT("'"&amp;O$14&amp;"'!B2:B1000")=$B3) * (INDIRECT("'"&amp;O$14&amp;"'!C2:C1000")=$C3)
        ),
        5,
        FALSE
    )
)</f>
        <v/>
      </c>
      <c r="P3" s="103">
        <f t="array" ref="P3">IF(
    VLOOKUP(
        $A3,
        _xlfn._xlws.FILTER(
            INDIRECT("'"&amp;P$14&amp;"'!A2:E1000"), (INDIRECT("'"&amp;P$14&amp;"'!B2:B1000")=$B3) * (INDIRECT("'"&amp;P$14&amp;"'!C2:C1000")=$C3)
        ),
        5,
        FALSE
    )=0,
    "",
    VLOOKUP(
        $A3,
        _xlfn._xlws.FILTER(
            INDIRECT("'"&amp;P$14&amp;"'!A2:E1000"), (INDIRECT("'"&amp;P$14&amp;"'!B2:B1000")=$B3) * (INDIRECT("'"&amp;P$14&amp;"'!C2:C1000")=$C3)
        ),
        5,
        FALSE
    )
)</f>
        <v/>
      </c>
      <c r="Q3" s="103">
        <f t="array" ref="Q3">IF(
    VLOOKUP(
        $A3,
        _xlfn._xlws.FILTER(
            INDIRECT("'"&amp;Q$14&amp;"'!A2:E1000"), (INDIRECT("'"&amp;Q$14&amp;"'!B2:B1000")=$B3) * (INDIRECT("'"&amp;Q$14&amp;"'!C2:C1000")=$C3)
        ),
        5,
        FALSE
    )=0,
    "",
    VLOOKUP(
        $A3,
        _xlfn._xlws.FILTER(
            INDIRECT("'"&amp;Q$14&amp;"'!A2:E1000"), (INDIRECT("'"&amp;Q$14&amp;"'!B2:B1000")=$B3) * (INDIRECT("'"&amp;Q$14&amp;"'!C2:C1000")=$C3)
        ),
        5,
        FALSE
    )
)</f>
        <v/>
      </c>
    </row>
    <row r="4">
      <c r="A4" s="42" t="inlineStr">
        <is>
          <t>Bianca</t>
        </is>
      </c>
      <c r="B4" s="50" t="inlineStr">
        <is>
          <t>Braganey</t>
        </is>
      </c>
      <c r="C4" s="50" t="n">
        <v>1</v>
      </c>
      <c r="D4" s="103">
        <f t="array" ref="D4">IF(
    VLOOKUP(
        $A4,
        _xlfn._xlws.FILTER(
            INDIRECT("'"&amp;D$14&amp;"'!A2:E1000"), (INDIRECT("'"&amp;D$14&amp;"'!B2:B1000")=$B4) * (INDIRECT("'"&amp;D$14&amp;"'!C2:C1000")=$C4)
        ),
        5,
        FALSE
    )=0,
    "",
    VLOOKUP(
        $A4,
        _xlfn._xlws.FILTER(
            INDIRECT("'"&amp;D$14&amp;"'!A2:E1000"), (INDIRECT("'"&amp;D$14&amp;"'!B2:B1000")=$B4) * (INDIRECT("'"&amp;D$14&amp;"'!C2:C1000")=$C4)
        ),
        5,
        FALSE
    )
)</f>
        <v/>
      </c>
      <c r="E4" s="103">
        <f t="array" ref="E4">IF(
    VLOOKUP(
        $A4,
        _xlfn._xlws.FILTER(
            INDIRECT("'"&amp;E$14&amp;"'!A2:E1000"), (INDIRECT("'"&amp;E$14&amp;"'!B2:B1000")=$B4) * (INDIRECT("'"&amp;E$14&amp;"'!C2:C1000")=$C4)
        ),
        5,
        FALSE
    )=0,
    "",
    VLOOKUP(
        $A4,
        _xlfn._xlws.FILTER(
            INDIRECT("'"&amp;E$14&amp;"'!A2:E1000"), (INDIRECT("'"&amp;E$14&amp;"'!B2:B1000")=$B4) * (INDIRECT("'"&amp;E$14&amp;"'!C2:C1000")=$C4)
        ),
        5,
        FALSE
    )
)</f>
        <v/>
      </c>
      <c r="F4" s="103">
        <f t="array" ref="F4">IF(
    VLOOKUP(
        $A4,
        _xlfn._xlws.FILTER(
            INDIRECT("'"&amp;F$14&amp;"'!A2:E1000"), (INDIRECT("'"&amp;F$14&amp;"'!B2:B1000")=$B4) * (INDIRECT("'"&amp;F$14&amp;"'!C2:C1000")=$C4)
        ),
        5,
        FALSE
    )=0,
    "",
    VLOOKUP(
        $A4,
        _xlfn._xlws.FILTER(
            INDIRECT("'"&amp;F$14&amp;"'!A2:E1000"), (INDIRECT("'"&amp;F$14&amp;"'!B2:B1000")=$B4) * (INDIRECT("'"&amp;F$14&amp;"'!C2:C1000")=$C4)
        ),
        5,
        FALSE
    )
)</f>
        <v/>
      </c>
      <c r="G4" s="103">
        <f t="array" ref="G4">IF(
    VLOOKUP(
        $A4,
        _xlfn._xlws.FILTER(
            INDIRECT("'"&amp;G$14&amp;"'!A2:E1000"), (INDIRECT("'"&amp;G$14&amp;"'!B2:B1000")=$B4) * (INDIRECT("'"&amp;G$14&amp;"'!C2:C1000")=$C4)
        ),
        5,
        FALSE
    )=0,
    "",
    VLOOKUP(
        $A4,
        _xlfn._xlws.FILTER(
            INDIRECT("'"&amp;G$14&amp;"'!A2:E1000"), (INDIRECT("'"&amp;G$14&amp;"'!B2:B1000")=$B4) * (INDIRECT("'"&amp;G$14&amp;"'!C2:C1000")=$C4)
        ),
        5,
        FALSE
    )
)</f>
        <v/>
      </c>
      <c r="H4" s="103">
        <f t="array" ref="H4">IF(
    VLOOKUP(
        $A4,
        _xlfn._xlws.FILTER(
            INDIRECT("'"&amp;H$14&amp;"'!A2:E1000"), (INDIRECT("'"&amp;H$14&amp;"'!B2:B1000")=$B4) * (INDIRECT("'"&amp;H$14&amp;"'!C2:C1000")=$C4)
        ),
        5,
        FALSE
    )=0,
    "",
    VLOOKUP(
        $A4,
        _xlfn._xlws.FILTER(
            INDIRECT("'"&amp;H$14&amp;"'!A2:E1000"), (INDIRECT("'"&amp;H$14&amp;"'!B2:B1000")=$B4) * (INDIRECT("'"&amp;H$14&amp;"'!C2:C1000")=$C4)
        ),
        5,
        FALSE
    )
)</f>
        <v/>
      </c>
      <c r="I4" s="103">
        <f t="array" ref="I4">IF(
    VLOOKUP(
        $A4,
        _xlfn._xlws.FILTER(
            INDIRECT("'"&amp;I$14&amp;"'!A2:E1000"), (INDIRECT("'"&amp;I$14&amp;"'!B2:B1000")=$B4) * (INDIRECT("'"&amp;I$14&amp;"'!C2:C1000")=$C4)
        ),
        5,
        FALSE
    )=0,
    "",
    VLOOKUP(
        $A4,
        _xlfn._xlws.FILTER(
            INDIRECT("'"&amp;I$14&amp;"'!A2:E1000"), (INDIRECT("'"&amp;I$14&amp;"'!B2:B1000")=$B4) * (INDIRECT("'"&amp;I$14&amp;"'!C2:C1000")=$C4)
        ),
        5,
        FALSE
    )
)</f>
        <v/>
      </c>
      <c r="J4" s="103">
        <f t="array" ref="J4">IF(
    VLOOKUP(
        $A4,
        _xlfn._xlws.FILTER(
            INDIRECT("'"&amp;J$14&amp;"'!A2:E1000"), (INDIRECT("'"&amp;J$14&amp;"'!B2:B1000")=$B4) * (INDIRECT("'"&amp;J$14&amp;"'!C2:C1000")=$C4)
        ),
        5,
        FALSE
    )=0,
    "",
    VLOOKUP(
        $A4,
        _xlfn._xlws.FILTER(
            INDIRECT("'"&amp;J$14&amp;"'!A2:E1000"), (INDIRECT("'"&amp;J$14&amp;"'!B2:B1000")=$B4) * (INDIRECT("'"&amp;J$14&amp;"'!C2:C1000")=$C4)
        ),
        5,
        FALSE
    )
)</f>
        <v/>
      </c>
      <c r="K4" s="103">
        <f t="array" ref="K4">IF(
    VLOOKUP(
        $A4,
        _xlfn._xlws.FILTER(
            INDIRECT("'"&amp;K$14&amp;"'!A2:E1000"), (INDIRECT("'"&amp;K$14&amp;"'!B2:B1000")=$B4) * (INDIRECT("'"&amp;K$14&amp;"'!C2:C1000")=$C4)
        ),
        5,
        FALSE
    )=0,
    "",
    VLOOKUP(
        $A4,
        _xlfn._xlws.FILTER(
            INDIRECT("'"&amp;K$14&amp;"'!A2:E1000"), (INDIRECT("'"&amp;K$14&amp;"'!B2:B1000")=$B4) * (INDIRECT("'"&amp;K$14&amp;"'!C2:C1000")=$C4)
        ),
        5,
        FALSE
    )
)</f>
        <v/>
      </c>
      <c r="L4" s="103">
        <f t="array" ref="L4">IF(
    VLOOKUP(
        $A4,
        _xlfn._xlws.FILTER(
            INDIRECT("'"&amp;L$14&amp;"'!A2:E1000"), (INDIRECT("'"&amp;L$14&amp;"'!B2:B1000")=$B4) * (INDIRECT("'"&amp;L$14&amp;"'!C2:C1000")=$C4)
        ),
        5,
        FALSE
    )=0,
    "",
    VLOOKUP(
        $A4,
        _xlfn._xlws.FILTER(
            INDIRECT("'"&amp;L$14&amp;"'!A2:E1000"), (INDIRECT("'"&amp;L$14&amp;"'!B2:B1000")=$B4) * (INDIRECT("'"&amp;L$14&amp;"'!C2:C1000")=$C4)
        ),
        5,
        FALSE
    )
)</f>
        <v/>
      </c>
      <c r="M4" s="103">
        <f t="array" ref="M4">IF(
    VLOOKUP(
        $A4,
        _xlfn._xlws.FILTER(
            INDIRECT("'"&amp;M$14&amp;"'!A2:E1000"), (INDIRECT("'"&amp;M$14&amp;"'!B2:B1000")=$B4) * (INDIRECT("'"&amp;M$14&amp;"'!C2:C1000")=$C4)
        ),
        5,
        FALSE
    )=0,
    "",
    VLOOKUP(
        $A4,
        _xlfn._xlws.FILTER(
            INDIRECT("'"&amp;M$14&amp;"'!A2:E1000"), (INDIRECT("'"&amp;M$14&amp;"'!B2:B1000")=$B4) * (INDIRECT("'"&amp;M$14&amp;"'!C2:C1000")=$C4)
        ),
        5,
        FALSE
    )
)</f>
        <v/>
      </c>
      <c r="N4" s="103">
        <f t="array" ref="N4">IF(
    VLOOKUP(
        $A4,
        _xlfn._xlws.FILTER(
            INDIRECT("'"&amp;N$14&amp;"'!A2:E1000"), (INDIRECT("'"&amp;N$14&amp;"'!B2:B1000")=$B4) * (INDIRECT("'"&amp;N$14&amp;"'!C2:C1000")=$C4)
        ),
        5,
        FALSE
    )=0,
    "",
    VLOOKUP(
        $A4,
        _xlfn._xlws.FILTER(
            INDIRECT("'"&amp;N$14&amp;"'!A2:E1000"), (INDIRECT("'"&amp;N$14&amp;"'!B2:B1000")=$B4) * (INDIRECT("'"&amp;N$14&amp;"'!C2:C1000")=$C4)
        ),
        5,
        FALSE
    )
)</f>
        <v/>
      </c>
      <c r="O4" s="103">
        <f t="array" ref="O4">IF(
    VLOOKUP(
        $A4,
        _xlfn._xlws.FILTER(
            INDIRECT("'"&amp;O$14&amp;"'!A2:E1000"), (INDIRECT("'"&amp;O$14&amp;"'!B2:B1000")=$B4) * (INDIRECT("'"&amp;O$14&amp;"'!C2:C1000")=$C4)
        ),
        5,
        FALSE
    )=0,
    "",
    VLOOKUP(
        $A4,
        _xlfn._xlws.FILTER(
            INDIRECT("'"&amp;O$14&amp;"'!A2:E1000"), (INDIRECT("'"&amp;O$14&amp;"'!B2:B1000")=$B4) * (INDIRECT("'"&amp;O$14&amp;"'!C2:C1000")=$C4)
        ),
        5,
        FALSE
    )
)</f>
        <v/>
      </c>
      <c r="P4" s="103">
        <f t="array" ref="P4">IF(
    VLOOKUP(
        $A4,
        _xlfn._xlws.FILTER(
            INDIRECT("'"&amp;P$14&amp;"'!A2:E1000"), (INDIRECT("'"&amp;P$14&amp;"'!B2:B1000")=$B4) * (INDIRECT("'"&amp;P$14&amp;"'!C2:C1000")=$C4)
        ),
        5,
        FALSE
    )=0,
    "",
    VLOOKUP(
        $A4,
        _xlfn._xlws.FILTER(
            INDIRECT("'"&amp;P$14&amp;"'!A2:E1000"), (INDIRECT("'"&amp;P$14&amp;"'!B2:B1000")=$B4) * (INDIRECT("'"&amp;P$14&amp;"'!C2:C1000")=$C4)
        ),
        5,
        FALSE
    )
)</f>
        <v/>
      </c>
      <c r="Q4" s="103">
        <f t="array" ref="Q4">IF(
    VLOOKUP(
        $A4,
        _xlfn._xlws.FILTER(
            INDIRECT("'"&amp;Q$14&amp;"'!A2:E1000"), (INDIRECT("'"&amp;Q$14&amp;"'!B2:B1000")=$B4) * (INDIRECT("'"&amp;Q$14&amp;"'!C2:C1000")=$C4)
        ),
        5,
        FALSE
    )=0,
    "",
    VLOOKUP(
        $A4,
        _xlfn._xlws.FILTER(
            INDIRECT("'"&amp;Q$14&amp;"'!A2:E1000"), (INDIRECT("'"&amp;Q$14&amp;"'!B2:B1000")=$B4) * (INDIRECT("'"&amp;Q$14&amp;"'!C2:C1000")=$C4)
        ),
        5,
        FALSE
    )
)</f>
        <v/>
      </c>
    </row>
    <row r="5">
      <c r="A5" s="42" t="inlineStr">
        <is>
          <t>Bianca</t>
        </is>
      </c>
      <c r="B5" s="50" t="inlineStr">
        <is>
          <t>Campo Bonito</t>
        </is>
      </c>
      <c r="C5" s="50" t="n">
        <v>1</v>
      </c>
      <c r="D5" s="103">
        <f t="array" ref="D5">IF(
    VLOOKUP(
        $A5,
        _xlfn._xlws.FILTER(
            INDIRECT("'"&amp;D$14&amp;"'!A2:E1000"), (INDIRECT("'"&amp;D$14&amp;"'!B2:B1000")=$B5) * (INDIRECT("'"&amp;D$14&amp;"'!C2:C1000")=$C5)
        ),
        5,
        FALSE
    )=0,
    "",
    VLOOKUP(
        $A5,
        _xlfn._xlws.FILTER(
            INDIRECT("'"&amp;D$14&amp;"'!A2:E1000"), (INDIRECT("'"&amp;D$14&amp;"'!B2:B1000")=$B5) * (INDIRECT("'"&amp;D$14&amp;"'!C2:C1000")=$C5)
        ),
        5,
        FALSE
    )
)</f>
        <v/>
      </c>
      <c r="E5" s="103">
        <f t="array" ref="E5">IF(
    VLOOKUP(
        $A5,
        _xlfn._xlws.FILTER(
            INDIRECT("'"&amp;E$14&amp;"'!A2:E1000"), (INDIRECT("'"&amp;E$14&amp;"'!B2:B1000")=$B5) * (INDIRECT("'"&amp;E$14&amp;"'!C2:C1000")=$C5)
        ),
        5,
        FALSE
    )=0,
    "",
    VLOOKUP(
        $A5,
        _xlfn._xlws.FILTER(
            INDIRECT("'"&amp;E$14&amp;"'!A2:E1000"), (INDIRECT("'"&amp;E$14&amp;"'!B2:B1000")=$B5) * (INDIRECT("'"&amp;E$14&amp;"'!C2:C1000")=$C5)
        ),
        5,
        FALSE
    )
)</f>
        <v/>
      </c>
      <c r="F5" s="103">
        <f t="array" ref="F5">IF(
    VLOOKUP(
        $A5,
        _xlfn._xlws.FILTER(
            INDIRECT("'"&amp;F$14&amp;"'!A2:E1000"), (INDIRECT("'"&amp;F$14&amp;"'!B2:B1000")=$B5) * (INDIRECT("'"&amp;F$14&amp;"'!C2:C1000")=$C5)
        ),
        5,
        FALSE
    )=0,
    "",
    VLOOKUP(
        $A5,
        _xlfn._xlws.FILTER(
            INDIRECT("'"&amp;F$14&amp;"'!A2:E1000"), (INDIRECT("'"&amp;F$14&amp;"'!B2:B1000")=$B5) * (INDIRECT("'"&amp;F$14&amp;"'!C2:C1000")=$C5)
        ),
        5,
        FALSE
    )
)</f>
        <v/>
      </c>
      <c r="G5" s="103">
        <f t="array" ref="G5">IF(
    VLOOKUP(
        $A5,
        _xlfn._xlws.FILTER(
            INDIRECT("'"&amp;G$14&amp;"'!A2:E1000"), (INDIRECT("'"&amp;G$14&amp;"'!B2:B1000")=$B5) * (INDIRECT("'"&amp;G$14&amp;"'!C2:C1000")=$C5)
        ),
        5,
        FALSE
    )=0,
    "",
    VLOOKUP(
        $A5,
        _xlfn._xlws.FILTER(
            INDIRECT("'"&amp;G$14&amp;"'!A2:E1000"), (INDIRECT("'"&amp;G$14&amp;"'!B2:B1000")=$B5) * (INDIRECT("'"&amp;G$14&amp;"'!C2:C1000")=$C5)
        ),
        5,
        FALSE
    )
)</f>
        <v/>
      </c>
      <c r="H5" s="103">
        <f t="array" ref="H5">IF(
    VLOOKUP(
        $A5,
        _xlfn._xlws.FILTER(
            INDIRECT("'"&amp;H$14&amp;"'!A2:E1000"), (INDIRECT("'"&amp;H$14&amp;"'!B2:B1000")=$B5) * (INDIRECT("'"&amp;H$14&amp;"'!C2:C1000")=$C5)
        ),
        5,
        FALSE
    )=0,
    "",
    VLOOKUP(
        $A5,
        _xlfn._xlws.FILTER(
            INDIRECT("'"&amp;H$14&amp;"'!A2:E1000"), (INDIRECT("'"&amp;H$14&amp;"'!B2:B1000")=$B5) * (INDIRECT("'"&amp;H$14&amp;"'!C2:C1000")=$C5)
        ),
        5,
        FALSE
    )
)</f>
        <v/>
      </c>
      <c r="I5" s="103">
        <f t="array" ref="I5">IF(
    VLOOKUP(
        $A5,
        _xlfn._xlws.FILTER(
            INDIRECT("'"&amp;I$14&amp;"'!A2:E1000"), (INDIRECT("'"&amp;I$14&amp;"'!B2:B1000")=$B5) * (INDIRECT("'"&amp;I$14&amp;"'!C2:C1000")=$C5)
        ),
        5,
        FALSE
    )=0,
    "",
    VLOOKUP(
        $A5,
        _xlfn._xlws.FILTER(
            INDIRECT("'"&amp;I$14&amp;"'!A2:E1000"), (INDIRECT("'"&amp;I$14&amp;"'!B2:B1000")=$B5) * (INDIRECT("'"&amp;I$14&amp;"'!C2:C1000")=$C5)
        ),
        5,
        FALSE
    )
)</f>
        <v/>
      </c>
      <c r="J5" s="103">
        <f t="array" ref="J5">IF(
    VLOOKUP(
        $A5,
        _xlfn._xlws.FILTER(
            INDIRECT("'"&amp;J$14&amp;"'!A2:E1000"), (INDIRECT("'"&amp;J$14&amp;"'!B2:B1000")=$B5) * (INDIRECT("'"&amp;J$14&amp;"'!C2:C1000")=$C5)
        ),
        5,
        FALSE
    )=0,
    "",
    VLOOKUP(
        $A5,
        _xlfn._xlws.FILTER(
            INDIRECT("'"&amp;J$14&amp;"'!A2:E1000"), (INDIRECT("'"&amp;J$14&amp;"'!B2:B1000")=$B5) * (INDIRECT("'"&amp;J$14&amp;"'!C2:C1000")=$C5)
        ),
        5,
        FALSE
    )
)</f>
        <v/>
      </c>
      <c r="K5" s="103">
        <f t="array" ref="K5">IF(
    VLOOKUP(
        $A5,
        _xlfn._xlws.FILTER(
            INDIRECT("'"&amp;K$14&amp;"'!A2:E1000"), (INDIRECT("'"&amp;K$14&amp;"'!B2:B1000")=$B5) * (INDIRECT("'"&amp;K$14&amp;"'!C2:C1000")=$C5)
        ),
        5,
        FALSE
    )=0,
    "",
    VLOOKUP(
        $A5,
        _xlfn._xlws.FILTER(
            INDIRECT("'"&amp;K$14&amp;"'!A2:E1000"), (INDIRECT("'"&amp;K$14&amp;"'!B2:B1000")=$B5) * (INDIRECT("'"&amp;K$14&amp;"'!C2:C1000")=$C5)
        ),
        5,
        FALSE
    )
)</f>
        <v/>
      </c>
      <c r="L5" s="103">
        <f t="array" ref="L5">IF(
    VLOOKUP(
        $A5,
        _xlfn._xlws.FILTER(
            INDIRECT("'"&amp;L$14&amp;"'!A2:E1000"), (INDIRECT("'"&amp;L$14&amp;"'!B2:B1000")=$B5) * (INDIRECT("'"&amp;L$14&amp;"'!C2:C1000")=$C5)
        ),
        5,
        FALSE
    )=0,
    "",
    VLOOKUP(
        $A5,
        _xlfn._xlws.FILTER(
            INDIRECT("'"&amp;L$14&amp;"'!A2:E1000"), (INDIRECT("'"&amp;L$14&amp;"'!B2:B1000")=$B5) * (INDIRECT("'"&amp;L$14&amp;"'!C2:C1000")=$C5)
        ),
        5,
        FALSE
    )
)</f>
        <v/>
      </c>
      <c r="M5" s="103">
        <f t="array" ref="M5">IF(
    VLOOKUP(
        $A5,
        _xlfn._xlws.FILTER(
            INDIRECT("'"&amp;M$14&amp;"'!A2:E1000"), (INDIRECT("'"&amp;M$14&amp;"'!B2:B1000")=$B5) * (INDIRECT("'"&amp;M$14&amp;"'!C2:C1000")=$C5)
        ),
        5,
        FALSE
    )=0,
    "",
    VLOOKUP(
        $A5,
        _xlfn._xlws.FILTER(
            INDIRECT("'"&amp;M$14&amp;"'!A2:E1000"), (INDIRECT("'"&amp;M$14&amp;"'!B2:B1000")=$B5) * (INDIRECT("'"&amp;M$14&amp;"'!C2:C1000")=$C5)
        ),
        5,
        FALSE
    )
)</f>
        <v/>
      </c>
      <c r="N5" s="103">
        <f t="array" ref="N5">IF(
    VLOOKUP(
        $A5,
        _xlfn._xlws.FILTER(
            INDIRECT("'"&amp;N$14&amp;"'!A2:E1000"), (INDIRECT("'"&amp;N$14&amp;"'!B2:B1000")=$B5) * (INDIRECT("'"&amp;N$14&amp;"'!C2:C1000")=$C5)
        ),
        5,
        FALSE
    )=0,
    "",
    VLOOKUP(
        $A5,
        _xlfn._xlws.FILTER(
            INDIRECT("'"&amp;N$14&amp;"'!A2:E1000"), (INDIRECT("'"&amp;N$14&amp;"'!B2:B1000")=$B5) * (INDIRECT("'"&amp;N$14&amp;"'!C2:C1000")=$C5)
        ),
        5,
        FALSE
    )
)</f>
        <v/>
      </c>
      <c r="O5" s="103">
        <f t="array" ref="O5">IF(
    VLOOKUP(
        $A5,
        _xlfn._xlws.FILTER(
            INDIRECT("'"&amp;O$14&amp;"'!A2:E1000"), (INDIRECT("'"&amp;O$14&amp;"'!B2:B1000")=$B5) * (INDIRECT("'"&amp;O$14&amp;"'!C2:C1000")=$C5)
        ),
        5,
        FALSE
    )=0,
    "",
    VLOOKUP(
        $A5,
        _xlfn._xlws.FILTER(
            INDIRECT("'"&amp;O$14&amp;"'!A2:E1000"), (INDIRECT("'"&amp;O$14&amp;"'!B2:B1000")=$B5) * (INDIRECT("'"&amp;O$14&amp;"'!C2:C1000")=$C5)
        ),
        5,
        FALSE
    )
)</f>
        <v/>
      </c>
      <c r="P5" s="103">
        <f t="array" ref="P5">IF(
    VLOOKUP(
        $A5,
        _xlfn._xlws.FILTER(
            INDIRECT("'"&amp;P$14&amp;"'!A2:E1000"), (INDIRECT("'"&amp;P$14&amp;"'!B2:B1000")=$B5) * (INDIRECT("'"&amp;P$14&amp;"'!C2:C1000")=$C5)
        ),
        5,
        FALSE
    )=0,
    "",
    VLOOKUP(
        $A5,
        _xlfn._xlws.FILTER(
            INDIRECT("'"&amp;P$14&amp;"'!A2:E1000"), (INDIRECT("'"&amp;P$14&amp;"'!B2:B1000")=$B5) * (INDIRECT("'"&amp;P$14&amp;"'!C2:C1000")=$C5)
        ),
        5,
        FALSE
    )
)</f>
        <v/>
      </c>
      <c r="Q5" s="103">
        <f t="array" ref="Q5">IF(
    VLOOKUP(
        $A5,
        _xlfn._xlws.FILTER(
            INDIRECT("'"&amp;Q$14&amp;"'!A2:E1000"), (INDIRECT("'"&amp;Q$14&amp;"'!B2:B1000")=$B5) * (INDIRECT("'"&amp;Q$14&amp;"'!C2:C1000")=$C5)
        ),
        5,
        FALSE
    )=0,
    "",
    VLOOKUP(
        $A5,
        _xlfn._xlws.FILTER(
            INDIRECT("'"&amp;Q$14&amp;"'!A2:E1000"), (INDIRECT("'"&amp;Q$14&amp;"'!B2:B1000")=$B5) * (INDIRECT("'"&amp;Q$14&amp;"'!C2:C1000")=$C5)
        ),
        5,
        FALSE
    )
)</f>
        <v/>
      </c>
    </row>
    <row r="6">
      <c r="A6" s="42" t="inlineStr">
        <is>
          <t>Bianca</t>
        </is>
      </c>
      <c r="B6" s="50" t="inlineStr">
        <is>
          <t>Catanduvas</t>
        </is>
      </c>
      <c r="C6" s="50" t="n">
        <v>1</v>
      </c>
      <c r="D6" s="103">
        <f t="array" ref="D6">IF(
    VLOOKUP(
        $A6,
        _xlfn._xlws.FILTER(
            INDIRECT("'"&amp;D$14&amp;"'!A2:E1000"), (INDIRECT("'"&amp;D$14&amp;"'!B2:B1000")=$B6) * (INDIRECT("'"&amp;D$14&amp;"'!C2:C1000")=$C6)
        ),
        5,
        FALSE
    )=0,
    "",
    VLOOKUP(
        $A6,
        _xlfn._xlws.FILTER(
            INDIRECT("'"&amp;D$14&amp;"'!A2:E1000"), (INDIRECT("'"&amp;D$14&amp;"'!B2:B1000")=$B6) * (INDIRECT("'"&amp;D$14&amp;"'!C2:C1000")=$C6)
        ),
        5,
        FALSE
    )
)</f>
        <v/>
      </c>
      <c r="E6" s="103">
        <f t="array" ref="E6">IF(
    VLOOKUP(
        $A6,
        _xlfn._xlws.FILTER(
            INDIRECT("'"&amp;E$14&amp;"'!A2:E1000"), (INDIRECT("'"&amp;E$14&amp;"'!B2:B1000")=$B6) * (INDIRECT("'"&amp;E$14&amp;"'!C2:C1000")=$C6)
        ),
        5,
        FALSE
    )=0,
    "",
    VLOOKUP(
        $A6,
        _xlfn._xlws.FILTER(
            INDIRECT("'"&amp;E$14&amp;"'!A2:E1000"), (INDIRECT("'"&amp;E$14&amp;"'!B2:B1000")=$B6) * (INDIRECT("'"&amp;E$14&amp;"'!C2:C1000")=$C6)
        ),
        5,
        FALSE
    )
)</f>
        <v/>
      </c>
      <c r="F6" s="103">
        <f t="array" ref="F6">IF(
    VLOOKUP(
        $A6,
        _xlfn._xlws.FILTER(
            INDIRECT("'"&amp;F$14&amp;"'!A2:E1000"), (INDIRECT("'"&amp;F$14&amp;"'!B2:B1000")=$B6) * (INDIRECT("'"&amp;F$14&amp;"'!C2:C1000")=$C6)
        ),
        5,
        FALSE
    )=0,
    "",
    VLOOKUP(
        $A6,
        _xlfn._xlws.FILTER(
            INDIRECT("'"&amp;F$14&amp;"'!A2:E1000"), (INDIRECT("'"&amp;F$14&amp;"'!B2:B1000")=$B6) * (INDIRECT("'"&amp;F$14&amp;"'!C2:C1000")=$C6)
        ),
        5,
        FALSE
    )
)</f>
        <v/>
      </c>
      <c r="G6" s="103">
        <f t="array" ref="G6">IF(
    VLOOKUP(
        $A6,
        _xlfn._xlws.FILTER(
            INDIRECT("'"&amp;G$14&amp;"'!A2:E1000"), (INDIRECT("'"&amp;G$14&amp;"'!B2:B1000")=$B6) * (INDIRECT("'"&amp;G$14&amp;"'!C2:C1000")=$C6)
        ),
        5,
        FALSE
    )=0,
    "",
    VLOOKUP(
        $A6,
        _xlfn._xlws.FILTER(
            INDIRECT("'"&amp;G$14&amp;"'!A2:E1000"), (INDIRECT("'"&amp;G$14&amp;"'!B2:B1000")=$B6) * (INDIRECT("'"&amp;G$14&amp;"'!C2:C1000")=$C6)
        ),
        5,
        FALSE
    )
)</f>
        <v/>
      </c>
      <c r="H6" s="103">
        <f t="array" ref="H6">IF(
    VLOOKUP(
        $A6,
        _xlfn._xlws.FILTER(
            INDIRECT("'"&amp;H$14&amp;"'!A2:E1000"), (INDIRECT("'"&amp;H$14&amp;"'!B2:B1000")=$B6) * (INDIRECT("'"&amp;H$14&amp;"'!C2:C1000")=$C6)
        ),
        5,
        FALSE
    )=0,
    "",
    VLOOKUP(
        $A6,
        _xlfn._xlws.FILTER(
            INDIRECT("'"&amp;H$14&amp;"'!A2:E1000"), (INDIRECT("'"&amp;H$14&amp;"'!B2:B1000")=$B6) * (INDIRECT("'"&amp;H$14&amp;"'!C2:C1000")=$C6)
        ),
        5,
        FALSE
    )
)</f>
        <v/>
      </c>
      <c r="I6" s="103">
        <f t="array" ref="I6">IF(
    VLOOKUP(
        $A6,
        _xlfn._xlws.FILTER(
            INDIRECT("'"&amp;I$14&amp;"'!A2:E1000"), (INDIRECT("'"&amp;I$14&amp;"'!B2:B1000")=$B6) * (INDIRECT("'"&amp;I$14&amp;"'!C2:C1000")=$C6)
        ),
        5,
        FALSE
    )=0,
    "",
    VLOOKUP(
        $A6,
        _xlfn._xlws.FILTER(
            INDIRECT("'"&amp;I$14&amp;"'!A2:E1000"), (INDIRECT("'"&amp;I$14&amp;"'!B2:B1000")=$B6) * (INDIRECT("'"&amp;I$14&amp;"'!C2:C1000")=$C6)
        ),
        5,
        FALSE
    )
)</f>
        <v/>
      </c>
      <c r="J6" s="103">
        <f t="array" ref="J6">IF(
    VLOOKUP(
        $A6,
        _xlfn._xlws.FILTER(
            INDIRECT("'"&amp;J$14&amp;"'!A2:E1000"), (INDIRECT("'"&amp;J$14&amp;"'!B2:B1000")=$B6) * (INDIRECT("'"&amp;J$14&amp;"'!C2:C1000")=$C6)
        ),
        5,
        FALSE
    )=0,
    "",
    VLOOKUP(
        $A6,
        _xlfn._xlws.FILTER(
            INDIRECT("'"&amp;J$14&amp;"'!A2:E1000"), (INDIRECT("'"&amp;J$14&amp;"'!B2:B1000")=$B6) * (INDIRECT("'"&amp;J$14&amp;"'!C2:C1000")=$C6)
        ),
        5,
        FALSE
    )
)</f>
        <v/>
      </c>
      <c r="K6" s="103">
        <f t="array" ref="K6">IF(
    VLOOKUP(
        $A6,
        _xlfn._xlws.FILTER(
            INDIRECT("'"&amp;K$14&amp;"'!A2:E1000"), (INDIRECT("'"&amp;K$14&amp;"'!B2:B1000")=$B6) * (INDIRECT("'"&amp;K$14&amp;"'!C2:C1000")=$C6)
        ),
        5,
        FALSE
    )=0,
    "",
    VLOOKUP(
        $A6,
        _xlfn._xlws.FILTER(
            INDIRECT("'"&amp;K$14&amp;"'!A2:E1000"), (INDIRECT("'"&amp;K$14&amp;"'!B2:B1000")=$B6) * (INDIRECT("'"&amp;K$14&amp;"'!C2:C1000")=$C6)
        ),
        5,
        FALSE
    )
)</f>
        <v/>
      </c>
      <c r="L6" s="103">
        <f t="array" ref="L6">IF(
    VLOOKUP(
        $A6,
        _xlfn._xlws.FILTER(
            INDIRECT("'"&amp;L$14&amp;"'!A2:E1000"), (INDIRECT("'"&amp;L$14&amp;"'!B2:B1000")=$B6) * (INDIRECT("'"&amp;L$14&amp;"'!C2:C1000")=$C6)
        ),
        5,
        FALSE
    )=0,
    "",
    VLOOKUP(
        $A6,
        _xlfn._xlws.FILTER(
            INDIRECT("'"&amp;L$14&amp;"'!A2:E1000"), (INDIRECT("'"&amp;L$14&amp;"'!B2:B1000")=$B6) * (INDIRECT("'"&amp;L$14&amp;"'!C2:C1000")=$C6)
        ),
        5,
        FALSE
    )
)</f>
        <v/>
      </c>
      <c r="M6" s="103">
        <f t="array" ref="M6">IF(
    VLOOKUP(
        $A6,
        _xlfn._xlws.FILTER(
            INDIRECT("'"&amp;M$14&amp;"'!A2:E1000"), (INDIRECT("'"&amp;M$14&amp;"'!B2:B1000")=$B6) * (INDIRECT("'"&amp;M$14&amp;"'!C2:C1000")=$C6)
        ),
        5,
        FALSE
    )=0,
    "",
    VLOOKUP(
        $A6,
        _xlfn._xlws.FILTER(
            INDIRECT("'"&amp;M$14&amp;"'!A2:E1000"), (INDIRECT("'"&amp;M$14&amp;"'!B2:B1000")=$B6) * (INDIRECT("'"&amp;M$14&amp;"'!C2:C1000")=$C6)
        ),
        5,
        FALSE
    )
)</f>
        <v/>
      </c>
      <c r="N6" s="103">
        <f t="array" ref="N6">IF(
    VLOOKUP(
        $A6,
        _xlfn._xlws.FILTER(
            INDIRECT("'"&amp;N$14&amp;"'!A2:E1000"), (INDIRECT("'"&amp;N$14&amp;"'!B2:B1000")=$B6) * (INDIRECT("'"&amp;N$14&amp;"'!C2:C1000")=$C6)
        ),
        5,
        FALSE
    )=0,
    "",
    VLOOKUP(
        $A6,
        _xlfn._xlws.FILTER(
            INDIRECT("'"&amp;N$14&amp;"'!A2:E1000"), (INDIRECT("'"&amp;N$14&amp;"'!B2:B1000")=$B6) * (INDIRECT("'"&amp;N$14&amp;"'!C2:C1000")=$C6)
        ),
        5,
        FALSE
    )
)</f>
        <v/>
      </c>
      <c r="O6" s="103">
        <f t="array" ref="O6">IF(
    VLOOKUP(
        $A6,
        _xlfn._xlws.FILTER(
            INDIRECT("'"&amp;O$14&amp;"'!A2:E1000"), (INDIRECT("'"&amp;O$14&amp;"'!B2:B1000")=$B6) * (INDIRECT("'"&amp;O$14&amp;"'!C2:C1000")=$C6)
        ),
        5,
        FALSE
    )=0,
    "",
    VLOOKUP(
        $A6,
        _xlfn._xlws.FILTER(
            INDIRECT("'"&amp;O$14&amp;"'!A2:E1000"), (INDIRECT("'"&amp;O$14&amp;"'!B2:B1000")=$B6) * (INDIRECT("'"&amp;O$14&amp;"'!C2:C1000")=$C6)
        ),
        5,
        FALSE
    )
)</f>
        <v/>
      </c>
      <c r="P6" s="103">
        <f t="array" ref="P6">IF(
    VLOOKUP(
        $A6,
        _xlfn._xlws.FILTER(
            INDIRECT("'"&amp;P$14&amp;"'!A2:E1000"), (INDIRECT("'"&amp;P$14&amp;"'!B2:B1000")=$B6) * (INDIRECT("'"&amp;P$14&amp;"'!C2:C1000")=$C6)
        ),
        5,
        FALSE
    )=0,
    "",
    VLOOKUP(
        $A6,
        _xlfn._xlws.FILTER(
            INDIRECT("'"&amp;P$14&amp;"'!A2:E1000"), (INDIRECT("'"&amp;P$14&amp;"'!B2:B1000")=$B6) * (INDIRECT("'"&amp;P$14&amp;"'!C2:C1000")=$C6)
        ),
        5,
        FALSE
    )
)</f>
        <v/>
      </c>
      <c r="Q6" s="103">
        <f t="array" ref="Q6">IF(
    VLOOKUP(
        $A6,
        _xlfn._xlws.FILTER(
            INDIRECT("'"&amp;Q$14&amp;"'!A2:E1000"), (INDIRECT("'"&amp;Q$14&amp;"'!B2:B1000")=$B6) * (INDIRECT("'"&amp;Q$14&amp;"'!C2:C1000")=$C6)
        ),
        5,
        FALSE
    )=0,
    "",
    VLOOKUP(
        $A6,
        _xlfn._xlws.FILTER(
            INDIRECT("'"&amp;Q$14&amp;"'!A2:E1000"), (INDIRECT("'"&amp;Q$14&amp;"'!B2:B1000")=$B6) * (INDIRECT("'"&amp;Q$14&amp;"'!C2:C1000")=$C6)
        ),
        5,
        FALSE
    )
)</f>
        <v/>
      </c>
    </row>
    <row r="7">
      <c r="A7" s="42" t="inlineStr">
        <is>
          <t>Bianca</t>
        </is>
      </c>
      <c r="B7" s="50" t="inlineStr">
        <is>
          <t>Corbélia</t>
        </is>
      </c>
      <c r="C7" s="50" t="n">
        <v>1</v>
      </c>
      <c r="D7" s="103">
        <f t="array" ref="D7">IF(
    VLOOKUP(
        $A7,
        _xlfn._xlws.FILTER(
            INDIRECT("'"&amp;D$14&amp;"'!A2:E1000"), (INDIRECT("'"&amp;D$14&amp;"'!B2:B1000")=$B7) * (INDIRECT("'"&amp;D$14&amp;"'!C2:C1000")=$C7)
        ),
        5,
        FALSE
    )=0,
    "",
    VLOOKUP(
        $A7,
        _xlfn._xlws.FILTER(
            INDIRECT("'"&amp;D$14&amp;"'!A2:E1000"), (INDIRECT("'"&amp;D$14&amp;"'!B2:B1000")=$B7) * (INDIRECT("'"&amp;D$14&amp;"'!C2:C1000")=$C7)
        ),
        5,
        FALSE
    )
)</f>
        <v/>
      </c>
      <c r="E7" s="103">
        <f t="array" ref="E7">IF(
    VLOOKUP(
        $A7,
        _xlfn._xlws.FILTER(
            INDIRECT("'"&amp;E$14&amp;"'!A2:E1000"), (INDIRECT("'"&amp;E$14&amp;"'!B2:B1000")=$B7) * (INDIRECT("'"&amp;E$14&amp;"'!C2:C1000")=$C7)
        ),
        5,
        FALSE
    )=0,
    "",
    VLOOKUP(
        $A7,
        _xlfn._xlws.FILTER(
            INDIRECT("'"&amp;E$14&amp;"'!A2:E1000"), (INDIRECT("'"&amp;E$14&amp;"'!B2:B1000")=$B7) * (INDIRECT("'"&amp;E$14&amp;"'!C2:C1000")=$C7)
        ),
        5,
        FALSE
    )
)</f>
        <v/>
      </c>
      <c r="F7" s="103">
        <f t="array" ref="F7">IF(
    VLOOKUP(
        $A7,
        _xlfn._xlws.FILTER(
            INDIRECT("'"&amp;F$14&amp;"'!A2:E1000"), (INDIRECT("'"&amp;F$14&amp;"'!B2:B1000")=$B7) * (INDIRECT("'"&amp;F$14&amp;"'!C2:C1000")=$C7)
        ),
        5,
        FALSE
    )=0,
    "",
    VLOOKUP(
        $A7,
        _xlfn._xlws.FILTER(
            INDIRECT("'"&amp;F$14&amp;"'!A2:E1000"), (INDIRECT("'"&amp;F$14&amp;"'!B2:B1000")=$B7) * (INDIRECT("'"&amp;F$14&amp;"'!C2:C1000")=$C7)
        ),
        5,
        FALSE
    )
)</f>
        <v/>
      </c>
      <c r="G7" s="103">
        <f t="array" ref="G7">IF(
    VLOOKUP(
        $A7,
        _xlfn._xlws.FILTER(
            INDIRECT("'"&amp;G$14&amp;"'!A2:E1000"), (INDIRECT("'"&amp;G$14&amp;"'!B2:B1000")=$B7) * (INDIRECT("'"&amp;G$14&amp;"'!C2:C1000")=$C7)
        ),
        5,
        FALSE
    )=0,
    "",
    VLOOKUP(
        $A7,
        _xlfn._xlws.FILTER(
            INDIRECT("'"&amp;G$14&amp;"'!A2:E1000"), (INDIRECT("'"&amp;G$14&amp;"'!B2:B1000")=$B7) * (INDIRECT("'"&amp;G$14&amp;"'!C2:C1000")=$C7)
        ),
        5,
        FALSE
    )
)</f>
        <v/>
      </c>
      <c r="H7" s="103">
        <f t="array" ref="H7">IF(
    VLOOKUP(
        $A7,
        _xlfn._xlws.FILTER(
            INDIRECT("'"&amp;H$14&amp;"'!A2:E1000"), (INDIRECT("'"&amp;H$14&amp;"'!B2:B1000")=$B7) * (INDIRECT("'"&amp;H$14&amp;"'!C2:C1000")=$C7)
        ),
        5,
        FALSE
    )=0,
    "",
    VLOOKUP(
        $A7,
        _xlfn._xlws.FILTER(
            INDIRECT("'"&amp;H$14&amp;"'!A2:E1000"), (INDIRECT("'"&amp;H$14&amp;"'!B2:B1000")=$B7) * (INDIRECT("'"&amp;H$14&amp;"'!C2:C1000")=$C7)
        ),
        5,
        FALSE
    )
)</f>
        <v/>
      </c>
      <c r="I7" s="103">
        <f t="array" ref="I7">IF(
    VLOOKUP(
        $A7,
        _xlfn._xlws.FILTER(
            INDIRECT("'"&amp;I$14&amp;"'!A2:E1000"), (INDIRECT("'"&amp;I$14&amp;"'!B2:B1000")=$B7) * (INDIRECT("'"&amp;I$14&amp;"'!C2:C1000")=$C7)
        ),
        5,
        FALSE
    )=0,
    "",
    VLOOKUP(
        $A7,
        _xlfn._xlws.FILTER(
            INDIRECT("'"&amp;I$14&amp;"'!A2:E1000"), (INDIRECT("'"&amp;I$14&amp;"'!B2:B1000")=$B7) * (INDIRECT("'"&amp;I$14&amp;"'!C2:C1000")=$C7)
        ),
        5,
        FALSE
    )
)</f>
        <v/>
      </c>
      <c r="J7" s="103">
        <f t="array" ref="J7">IF(
    VLOOKUP(
        $A7,
        _xlfn._xlws.FILTER(
            INDIRECT("'"&amp;J$14&amp;"'!A2:E1000"), (INDIRECT("'"&amp;J$14&amp;"'!B2:B1000")=$B7) * (INDIRECT("'"&amp;J$14&amp;"'!C2:C1000")=$C7)
        ),
        5,
        FALSE
    )=0,
    "",
    VLOOKUP(
        $A7,
        _xlfn._xlws.FILTER(
            INDIRECT("'"&amp;J$14&amp;"'!A2:E1000"), (INDIRECT("'"&amp;J$14&amp;"'!B2:B1000")=$B7) * (INDIRECT("'"&amp;J$14&amp;"'!C2:C1000")=$C7)
        ),
        5,
        FALSE
    )
)</f>
        <v/>
      </c>
      <c r="K7" s="103">
        <f t="array" ref="K7">IF(
    VLOOKUP(
        $A7,
        _xlfn._xlws.FILTER(
            INDIRECT("'"&amp;K$14&amp;"'!A2:E1000"), (INDIRECT("'"&amp;K$14&amp;"'!B2:B1000")=$B7) * (INDIRECT("'"&amp;K$14&amp;"'!C2:C1000")=$C7)
        ),
        5,
        FALSE
    )=0,
    "",
    VLOOKUP(
        $A7,
        _xlfn._xlws.FILTER(
            INDIRECT("'"&amp;K$14&amp;"'!A2:E1000"), (INDIRECT("'"&amp;K$14&amp;"'!B2:B1000")=$B7) * (INDIRECT("'"&amp;K$14&amp;"'!C2:C1000")=$C7)
        ),
        5,
        FALSE
    )
)</f>
        <v/>
      </c>
      <c r="L7" s="103">
        <f t="array" ref="L7">IF(
    VLOOKUP(
        $A7,
        _xlfn._xlws.FILTER(
            INDIRECT("'"&amp;L$14&amp;"'!A2:E1000"), (INDIRECT("'"&amp;L$14&amp;"'!B2:B1000")=$B7) * (INDIRECT("'"&amp;L$14&amp;"'!C2:C1000")=$C7)
        ),
        5,
        FALSE
    )=0,
    "",
    VLOOKUP(
        $A7,
        _xlfn._xlws.FILTER(
            INDIRECT("'"&amp;L$14&amp;"'!A2:E1000"), (INDIRECT("'"&amp;L$14&amp;"'!B2:B1000")=$B7) * (INDIRECT("'"&amp;L$14&amp;"'!C2:C1000")=$C7)
        ),
        5,
        FALSE
    )
)</f>
        <v/>
      </c>
      <c r="M7" s="103">
        <f t="array" ref="M7">IF(
    VLOOKUP(
        $A7,
        _xlfn._xlws.FILTER(
            INDIRECT("'"&amp;M$14&amp;"'!A2:E1000"), (INDIRECT("'"&amp;M$14&amp;"'!B2:B1000")=$B7) * (INDIRECT("'"&amp;M$14&amp;"'!C2:C1000")=$C7)
        ),
        5,
        FALSE
    )=0,
    "",
    VLOOKUP(
        $A7,
        _xlfn._xlws.FILTER(
            INDIRECT("'"&amp;M$14&amp;"'!A2:E1000"), (INDIRECT("'"&amp;M$14&amp;"'!B2:B1000")=$B7) * (INDIRECT("'"&amp;M$14&amp;"'!C2:C1000")=$C7)
        ),
        5,
        FALSE
    )
)</f>
        <v/>
      </c>
      <c r="N7" s="103">
        <f t="array" ref="N7">IF(
    VLOOKUP(
        $A7,
        _xlfn._xlws.FILTER(
            INDIRECT("'"&amp;N$14&amp;"'!A2:E1000"), (INDIRECT("'"&amp;N$14&amp;"'!B2:B1000")=$B7) * (INDIRECT("'"&amp;N$14&amp;"'!C2:C1000")=$C7)
        ),
        5,
        FALSE
    )=0,
    "",
    VLOOKUP(
        $A7,
        _xlfn._xlws.FILTER(
            INDIRECT("'"&amp;N$14&amp;"'!A2:E1000"), (INDIRECT("'"&amp;N$14&amp;"'!B2:B1000")=$B7) * (INDIRECT("'"&amp;N$14&amp;"'!C2:C1000")=$C7)
        ),
        5,
        FALSE
    )
)</f>
        <v/>
      </c>
      <c r="O7" s="103">
        <f t="array" ref="O7">IF(
    VLOOKUP(
        $A7,
        _xlfn._xlws.FILTER(
            INDIRECT("'"&amp;O$14&amp;"'!A2:E1000"), (INDIRECT("'"&amp;O$14&amp;"'!B2:B1000")=$B7) * (INDIRECT("'"&amp;O$14&amp;"'!C2:C1000")=$C7)
        ),
        5,
        FALSE
    )=0,
    "",
    VLOOKUP(
        $A7,
        _xlfn._xlws.FILTER(
            INDIRECT("'"&amp;O$14&amp;"'!A2:E1000"), (INDIRECT("'"&amp;O$14&amp;"'!B2:B1000")=$B7) * (INDIRECT("'"&amp;O$14&amp;"'!C2:C1000")=$C7)
        ),
        5,
        FALSE
    )
)</f>
        <v/>
      </c>
      <c r="P7" s="103">
        <f t="array" ref="P7">IF(
    VLOOKUP(
        $A7,
        _xlfn._xlws.FILTER(
            INDIRECT("'"&amp;P$14&amp;"'!A2:E1000"), (INDIRECT("'"&amp;P$14&amp;"'!B2:B1000")=$B7) * (INDIRECT("'"&amp;P$14&amp;"'!C2:C1000")=$C7)
        ),
        5,
        FALSE
    )=0,
    "",
    VLOOKUP(
        $A7,
        _xlfn._xlws.FILTER(
            INDIRECT("'"&amp;P$14&amp;"'!A2:E1000"), (INDIRECT("'"&amp;P$14&amp;"'!B2:B1000")=$B7) * (INDIRECT("'"&amp;P$14&amp;"'!C2:C1000")=$C7)
        ),
        5,
        FALSE
    )
)</f>
        <v/>
      </c>
      <c r="Q7" s="103">
        <f t="array" ref="Q7">IF(
    VLOOKUP(
        $A7,
        _xlfn._xlws.FILTER(
            INDIRECT("'"&amp;Q$14&amp;"'!A2:E1000"), (INDIRECT("'"&amp;Q$14&amp;"'!B2:B1000")=$B7) * (INDIRECT("'"&amp;Q$14&amp;"'!C2:C1000")=$C7)
        ),
        5,
        FALSE
    )=0,
    "",
    VLOOKUP(
        $A7,
        _xlfn._xlws.FILTER(
            INDIRECT("'"&amp;Q$14&amp;"'!A2:E1000"), (INDIRECT("'"&amp;Q$14&amp;"'!B2:B1000")=$B7) * (INDIRECT("'"&amp;Q$14&amp;"'!C2:C1000")=$C7)
        ),
        5,
        FALSE
    )
)</f>
        <v/>
      </c>
    </row>
    <row r="8">
      <c r="A8" s="42" t="inlineStr">
        <is>
          <t>Bianca</t>
        </is>
      </c>
      <c r="B8" s="50" t="inlineStr">
        <is>
          <t>Diamante do Sul</t>
        </is>
      </c>
      <c r="C8" s="50" t="n">
        <v>1</v>
      </c>
      <c r="D8" s="103">
        <f t="array" ref="D8">IF(
    VLOOKUP(
        $A8,
        _xlfn._xlws.FILTER(
            INDIRECT("'"&amp;D$14&amp;"'!A2:E1000"), (INDIRECT("'"&amp;D$14&amp;"'!B2:B1000")=$B8) * (INDIRECT("'"&amp;D$14&amp;"'!C2:C1000")=$C8)
        ),
        5,
        FALSE
    )=0,
    "",
    VLOOKUP(
        $A8,
        _xlfn._xlws.FILTER(
            INDIRECT("'"&amp;D$14&amp;"'!A2:E1000"), (INDIRECT("'"&amp;D$14&amp;"'!B2:B1000")=$B8) * (INDIRECT("'"&amp;D$14&amp;"'!C2:C1000")=$C8)
        ),
        5,
        FALSE
    )
)</f>
        <v/>
      </c>
      <c r="E8" s="103">
        <f t="array" ref="E8">IF(
    VLOOKUP(
        $A8,
        _xlfn._xlws.FILTER(
            INDIRECT("'"&amp;E$14&amp;"'!A2:E1000"), (INDIRECT("'"&amp;E$14&amp;"'!B2:B1000")=$B8) * (INDIRECT("'"&amp;E$14&amp;"'!C2:C1000")=$C8)
        ),
        5,
        FALSE
    )=0,
    "",
    VLOOKUP(
        $A8,
        _xlfn._xlws.FILTER(
            INDIRECT("'"&amp;E$14&amp;"'!A2:E1000"), (INDIRECT("'"&amp;E$14&amp;"'!B2:B1000")=$B8) * (INDIRECT("'"&amp;E$14&amp;"'!C2:C1000")=$C8)
        ),
        5,
        FALSE
    )
)</f>
        <v/>
      </c>
      <c r="F8" s="103">
        <f t="array" ref="F8">IF(
    VLOOKUP(
        $A8,
        _xlfn._xlws.FILTER(
            INDIRECT("'"&amp;F$14&amp;"'!A2:E1000"), (INDIRECT("'"&amp;F$14&amp;"'!B2:B1000")=$B8) * (INDIRECT("'"&amp;F$14&amp;"'!C2:C1000")=$C8)
        ),
        5,
        FALSE
    )=0,
    "",
    VLOOKUP(
        $A8,
        _xlfn._xlws.FILTER(
            INDIRECT("'"&amp;F$14&amp;"'!A2:E1000"), (INDIRECT("'"&amp;F$14&amp;"'!B2:B1000")=$B8) * (INDIRECT("'"&amp;F$14&amp;"'!C2:C1000")=$C8)
        ),
        5,
        FALSE
    )
)</f>
        <v/>
      </c>
      <c r="G8" s="103">
        <f t="array" ref="G8">IF(
    VLOOKUP(
        $A8,
        _xlfn._xlws.FILTER(
            INDIRECT("'"&amp;G$14&amp;"'!A2:E1000"), (INDIRECT("'"&amp;G$14&amp;"'!B2:B1000")=$B8) * (INDIRECT("'"&amp;G$14&amp;"'!C2:C1000")=$C8)
        ),
        5,
        FALSE
    )=0,
    "",
    VLOOKUP(
        $A8,
        _xlfn._xlws.FILTER(
            INDIRECT("'"&amp;G$14&amp;"'!A2:E1000"), (INDIRECT("'"&amp;G$14&amp;"'!B2:B1000")=$B8) * (INDIRECT("'"&amp;G$14&amp;"'!C2:C1000")=$C8)
        ),
        5,
        FALSE
    )
)</f>
        <v/>
      </c>
      <c r="H8" s="103">
        <f t="array" ref="H8">IF(
    VLOOKUP(
        $A8,
        _xlfn._xlws.FILTER(
            INDIRECT("'"&amp;H$14&amp;"'!A2:E1000"), (INDIRECT("'"&amp;H$14&amp;"'!B2:B1000")=$B8) * (INDIRECT("'"&amp;H$14&amp;"'!C2:C1000")=$C8)
        ),
        5,
        FALSE
    )=0,
    "",
    VLOOKUP(
        $A8,
        _xlfn._xlws.FILTER(
            INDIRECT("'"&amp;H$14&amp;"'!A2:E1000"), (INDIRECT("'"&amp;H$14&amp;"'!B2:B1000")=$B8) * (INDIRECT("'"&amp;H$14&amp;"'!C2:C1000")=$C8)
        ),
        5,
        FALSE
    )
)</f>
        <v/>
      </c>
      <c r="I8" s="103">
        <f t="array" ref="I8">IF(
    VLOOKUP(
        $A8,
        _xlfn._xlws.FILTER(
            INDIRECT("'"&amp;I$14&amp;"'!A2:E1000"), (INDIRECT("'"&amp;I$14&amp;"'!B2:B1000")=$B8) * (INDIRECT("'"&amp;I$14&amp;"'!C2:C1000")=$C8)
        ),
        5,
        FALSE
    )=0,
    "",
    VLOOKUP(
        $A8,
        _xlfn._xlws.FILTER(
            INDIRECT("'"&amp;I$14&amp;"'!A2:E1000"), (INDIRECT("'"&amp;I$14&amp;"'!B2:B1000")=$B8) * (INDIRECT("'"&amp;I$14&amp;"'!C2:C1000")=$C8)
        ),
        5,
        FALSE
    )
)</f>
        <v/>
      </c>
      <c r="J8" s="103">
        <f t="array" ref="J8">IF(
    VLOOKUP(
        $A8,
        _xlfn._xlws.FILTER(
            INDIRECT("'"&amp;J$14&amp;"'!A2:E1000"), (INDIRECT("'"&amp;J$14&amp;"'!B2:B1000")=$B8) * (INDIRECT("'"&amp;J$14&amp;"'!C2:C1000")=$C8)
        ),
        5,
        FALSE
    )=0,
    "",
    VLOOKUP(
        $A8,
        _xlfn._xlws.FILTER(
            INDIRECT("'"&amp;J$14&amp;"'!A2:E1000"), (INDIRECT("'"&amp;J$14&amp;"'!B2:B1000")=$B8) * (INDIRECT("'"&amp;J$14&amp;"'!C2:C1000")=$C8)
        ),
        5,
        FALSE
    )
)</f>
        <v/>
      </c>
      <c r="K8" s="103">
        <f t="array" ref="K8">IF(
    VLOOKUP(
        $A8,
        _xlfn._xlws.FILTER(
            INDIRECT("'"&amp;K$14&amp;"'!A2:E1000"), (INDIRECT("'"&amp;K$14&amp;"'!B2:B1000")=$B8) * (INDIRECT("'"&amp;K$14&amp;"'!C2:C1000")=$C8)
        ),
        5,
        FALSE
    )=0,
    "",
    VLOOKUP(
        $A8,
        _xlfn._xlws.FILTER(
            INDIRECT("'"&amp;K$14&amp;"'!A2:E1000"), (INDIRECT("'"&amp;K$14&amp;"'!B2:B1000")=$B8) * (INDIRECT("'"&amp;K$14&amp;"'!C2:C1000")=$C8)
        ),
        5,
        FALSE
    )
)</f>
        <v/>
      </c>
      <c r="L8" s="103">
        <f t="array" ref="L8">IF(
    VLOOKUP(
        $A8,
        _xlfn._xlws.FILTER(
            INDIRECT("'"&amp;L$14&amp;"'!A2:E1000"), (INDIRECT("'"&amp;L$14&amp;"'!B2:B1000")=$B8) * (INDIRECT("'"&amp;L$14&amp;"'!C2:C1000")=$C8)
        ),
        5,
        FALSE
    )=0,
    "",
    VLOOKUP(
        $A8,
        _xlfn._xlws.FILTER(
            INDIRECT("'"&amp;L$14&amp;"'!A2:E1000"), (INDIRECT("'"&amp;L$14&amp;"'!B2:B1000")=$B8) * (INDIRECT("'"&amp;L$14&amp;"'!C2:C1000")=$C8)
        ),
        5,
        FALSE
    )
)</f>
        <v/>
      </c>
      <c r="M8" s="103">
        <f t="array" ref="M8">IF(
    VLOOKUP(
        $A8,
        _xlfn._xlws.FILTER(
            INDIRECT("'"&amp;M$14&amp;"'!A2:E1000"), (INDIRECT("'"&amp;M$14&amp;"'!B2:B1000")=$B8) * (INDIRECT("'"&amp;M$14&amp;"'!C2:C1000")=$C8)
        ),
        5,
        FALSE
    )=0,
    "",
    VLOOKUP(
        $A8,
        _xlfn._xlws.FILTER(
            INDIRECT("'"&amp;M$14&amp;"'!A2:E1000"), (INDIRECT("'"&amp;M$14&amp;"'!B2:B1000")=$B8) * (INDIRECT("'"&amp;M$14&amp;"'!C2:C1000")=$C8)
        ),
        5,
        FALSE
    )
)</f>
        <v/>
      </c>
      <c r="N8" s="103">
        <f t="array" ref="N8">IF(
    VLOOKUP(
        $A8,
        _xlfn._xlws.FILTER(
            INDIRECT("'"&amp;N$14&amp;"'!A2:E1000"), (INDIRECT("'"&amp;N$14&amp;"'!B2:B1000")=$B8) * (INDIRECT("'"&amp;N$14&amp;"'!C2:C1000")=$C8)
        ),
        5,
        FALSE
    )=0,
    "",
    VLOOKUP(
        $A8,
        _xlfn._xlws.FILTER(
            INDIRECT("'"&amp;N$14&amp;"'!A2:E1000"), (INDIRECT("'"&amp;N$14&amp;"'!B2:B1000")=$B8) * (INDIRECT("'"&amp;N$14&amp;"'!C2:C1000")=$C8)
        ),
        5,
        FALSE
    )
)</f>
        <v/>
      </c>
      <c r="O8" s="103">
        <f t="array" ref="O8">IF(
    VLOOKUP(
        $A8,
        _xlfn._xlws.FILTER(
            INDIRECT("'"&amp;O$14&amp;"'!A2:E1000"), (INDIRECT("'"&amp;O$14&amp;"'!B2:B1000")=$B8) * (INDIRECT("'"&amp;O$14&amp;"'!C2:C1000")=$C8)
        ),
        5,
        FALSE
    )=0,
    "",
    VLOOKUP(
        $A8,
        _xlfn._xlws.FILTER(
            INDIRECT("'"&amp;O$14&amp;"'!A2:E1000"), (INDIRECT("'"&amp;O$14&amp;"'!B2:B1000")=$B8) * (INDIRECT("'"&amp;O$14&amp;"'!C2:C1000")=$C8)
        ),
        5,
        FALSE
    )
)</f>
        <v/>
      </c>
      <c r="P8" s="103">
        <f t="array" ref="P8">IF(
    VLOOKUP(
        $A8,
        _xlfn._xlws.FILTER(
            INDIRECT("'"&amp;P$14&amp;"'!A2:E1000"), (INDIRECT("'"&amp;P$14&amp;"'!B2:B1000")=$B8) * (INDIRECT("'"&amp;P$14&amp;"'!C2:C1000")=$C8)
        ),
        5,
        FALSE
    )=0,
    "",
    VLOOKUP(
        $A8,
        _xlfn._xlws.FILTER(
            INDIRECT("'"&amp;P$14&amp;"'!A2:E1000"), (INDIRECT("'"&amp;P$14&amp;"'!B2:B1000")=$B8) * (INDIRECT("'"&amp;P$14&amp;"'!C2:C1000")=$C8)
        ),
        5,
        FALSE
    )
)</f>
        <v/>
      </c>
      <c r="Q8" s="103">
        <f t="array" ref="Q8">IF(
    VLOOKUP(
        $A8,
        _xlfn._xlws.FILTER(
            INDIRECT("'"&amp;Q$14&amp;"'!A2:E1000"), (INDIRECT("'"&amp;Q$14&amp;"'!B2:B1000")=$B8) * (INDIRECT("'"&amp;Q$14&amp;"'!C2:C1000")=$C8)
        ),
        5,
        FALSE
    )=0,
    "",
    VLOOKUP(
        $A8,
        _xlfn._xlws.FILTER(
            INDIRECT("'"&amp;Q$14&amp;"'!A2:E1000"), (INDIRECT("'"&amp;Q$14&amp;"'!B2:B1000")=$B8) * (INDIRECT("'"&amp;Q$14&amp;"'!C2:C1000")=$C8)
        ),
        5,
        FALSE
    )
)</f>
        <v/>
      </c>
    </row>
    <row r="9">
      <c r="A9" s="42" t="inlineStr">
        <is>
          <t>Bianca</t>
        </is>
      </c>
      <c r="B9" s="50" t="inlineStr">
        <is>
          <t>Guaraniacu</t>
        </is>
      </c>
      <c r="C9" s="50" t="n">
        <v>1</v>
      </c>
      <c r="D9" s="103">
        <f t="array" ref="D9">IF(
    VLOOKUP(
        $A9,
        _xlfn._xlws.FILTER(
            INDIRECT("'"&amp;D$14&amp;"'!A2:E1000"), (INDIRECT("'"&amp;D$14&amp;"'!B2:B1000")=$B9) * (INDIRECT("'"&amp;D$14&amp;"'!C2:C1000")=$C9)
        ),
        5,
        FALSE
    )=0,
    "",
    VLOOKUP(
        $A9,
        _xlfn._xlws.FILTER(
            INDIRECT("'"&amp;D$14&amp;"'!A2:E1000"), (INDIRECT("'"&amp;D$14&amp;"'!B2:B1000")=$B9) * (INDIRECT("'"&amp;D$14&amp;"'!C2:C1000")=$C9)
        ),
        5,
        FALSE
    )
)</f>
        <v/>
      </c>
      <c r="E9" s="103">
        <f t="array" ref="E9">IF(
    VLOOKUP(
        $A9,
        _xlfn._xlws.FILTER(
            INDIRECT("'"&amp;E$14&amp;"'!A2:E1000"), (INDIRECT("'"&amp;E$14&amp;"'!B2:B1000")=$B9) * (INDIRECT("'"&amp;E$14&amp;"'!C2:C1000")=$C9)
        ),
        5,
        FALSE
    )=0,
    "",
    VLOOKUP(
        $A9,
        _xlfn._xlws.FILTER(
            INDIRECT("'"&amp;E$14&amp;"'!A2:E1000"), (INDIRECT("'"&amp;E$14&amp;"'!B2:B1000")=$B9) * (INDIRECT("'"&amp;E$14&amp;"'!C2:C1000")=$C9)
        ),
        5,
        FALSE
    )
)</f>
        <v/>
      </c>
      <c r="F9" s="103">
        <f t="array" ref="F9">IF(
    VLOOKUP(
        $A9,
        _xlfn._xlws.FILTER(
            INDIRECT("'"&amp;F$14&amp;"'!A2:E1000"), (INDIRECT("'"&amp;F$14&amp;"'!B2:B1000")=$B9) * (INDIRECT("'"&amp;F$14&amp;"'!C2:C1000")=$C9)
        ),
        5,
        FALSE
    )=0,
    "",
    VLOOKUP(
        $A9,
        _xlfn._xlws.FILTER(
            INDIRECT("'"&amp;F$14&amp;"'!A2:E1000"), (INDIRECT("'"&amp;F$14&amp;"'!B2:B1000")=$B9) * (INDIRECT("'"&amp;F$14&amp;"'!C2:C1000")=$C9)
        ),
        5,
        FALSE
    )
)</f>
        <v/>
      </c>
      <c r="G9" s="103">
        <f t="array" ref="G9">IF(
    VLOOKUP(
        $A9,
        _xlfn._xlws.FILTER(
            INDIRECT("'"&amp;G$14&amp;"'!A2:E1000"), (INDIRECT("'"&amp;G$14&amp;"'!B2:B1000")=$B9) * (INDIRECT("'"&amp;G$14&amp;"'!C2:C1000")=$C9)
        ),
        5,
        FALSE
    )=0,
    "",
    VLOOKUP(
        $A9,
        _xlfn._xlws.FILTER(
            INDIRECT("'"&amp;G$14&amp;"'!A2:E1000"), (INDIRECT("'"&amp;G$14&amp;"'!B2:B1000")=$B9) * (INDIRECT("'"&amp;G$14&amp;"'!C2:C1000")=$C9)
        ),
        5,
        FALSE
    )
)</f>
        <v/>
      </c>
      <c r="H9" s="103">
        <f t="array" ref="H9">IF(
    VLOOKUP(
        $A9,
        _xlfn._xlws.FILTER(
            INDIRECT("'"&amp;H$14&amp;"'!A2:E1000"), (INDIRECT("'"&amp;H$14&amp;"'!B2:B1000")=$B9) * (INDIRECT("'"&amp;H$14&amp;"'!C2:C1000")=$C9)
        ),
        5,
        FALSE
    )=0,
    "",
    VLOOKUP(
        $A9,
        _xlfn._xlws.FILTER(
            INDIRECT("'"&amp;H$14&amp;"'!A2:E1000"), (INDIRECT("'"&amp;H$14&amp;"'!B2:B1000")=$B9) * (INDIRECT("'"&amp;H$14&amp;"'!C2:C1000")=$C9)
        ),
        5,
        FALSE
    )
)</f>
        <v/>
      </c>
      <c r="I9" s="103">
        <f t="array" ref="I9">IF(
    VLOOKUP(
        $A9,
        _xlfn._xlws.FILTER(
            INDIRECT("'"&amp;I$14&amp;"'!A2:E1000"), (INDIRECT("'"&amp;I$14&amp;"'!B2:B1000")=$B9) * (INDIRECT("'"&amp;I$14&amp;"'!C2:C1000")=$C9)
        ),
        5,
        FALSE
    )=0,
    "",
    VLOOKUP(
        $A9,
        _xlfn._xlws.FILTER(
            INDIRECT("'"&amp;I$14&amp;"'!A2:E1000"), (INDIRECT("'"&amp;I$14&amp;"'!B2:B1000")=$B9) * (INDIRECT("'"&amp;I$14&amp;"'!C2:C1000")=$C9)
        ),
        5,
        FALSE
    )
)</f>
        <v/>
      </c>
      <c r="J9" s="103">
        <f t="array" ref="J9">IF(
    VLOOKUP(
        $A9,
        _xlfn._xlws.FILTER(
            INDIRECT("'"&amp;J$14&amp;"'!A2:E1000"), (INDIRECT("'"&amp;J$14&amp;"'!B2:B1000")=$B9) * (INDIRECT("'"&amp;J$14&amp;"'!C2:C1000")=$C9)
        ),
        5,
        FALSE
    )=0,
    "",
    VLOOKUP(
        $A9,
        _xlfn._xlws.FILTER(
            INDIRECT("'"&amp;J$14&amp;"'!A2:E1000"), (INDIRECT("'"&amp;J$14&amp;"'!B2:B1000")=$B9) * (INDIRECT("'"&amp;J$14&amp;"'!C2:C1000")=$C9)
        ),
        5,
        FALSE
    )
)</f>
        <v/>
      </c>
      <c r="K9" s="103">
        <f t="array" ref="K9">IF(
    VLOOKUP(
        $A9,
        _xlfn._xlws.FILTER(
            INDIRECT("'"&amp;K$14&amp;"'!A2:E1000"), (INDIRECT("'"&amp;K$14&amp;"'!B2:B1000")=$B9) * (INDIRECT("'"&amp;K$14&amp;"'!C2:C1000")=$C9)
        ),
        5,
        FALSE
    )=0,
    "",
    VLOOKUP(
        $A9,
        _xlfn._xlws.FILTER(
            INDIRECT("'"&amp;K$14&amp;"'!A2:E1000"), (INDIRECT("'"&amp;K$14&amp;"'!B2:B1000")=$B9) * (INDIRECT("'"&amp;K$14&amp;"'!C2:C1000")=$C9)
        ),
        5,
        FALSE
    )
)</f>
        <v/>
      </c>
      <c r="L9" s="103">
        <f t="array" ref="L9">IF(
    VLOOKUP(
        $A9,
        _xlfn._xlws.FILTER(
            INDIRECT("'"&amp;L$14&amp;"'!A2:E1000"), (INDIRECT("'"&amp;L$14&amp;"'!B2:B1000")=$B9) * (INDIRECT("'"&amp;L$14&amp;"'!C2:C1000")=$C9)
        ),
        5,
        FALSE
    )=0,
    "",
    VLOOKUP(
        $A9,
        _xlfn._xlws.FILTER(
            INDIRECT("'"&amp;L$14&amp;"'!A2:E1000"), (INDIRECT("'"&amp;L$14&amp;"'!B2:B1000")=$B9) * (INDIRECT("'"&amp;L$14&amp;"'!C2:C1000")=$C9)
        ),
        5,
        FALSE
    )
)</f>
        <v/>
      </c>
      <c r="M9" s="103">
        <f t="array" ref="M9">IF(
    VLOOKUP(
        $A9,
        _xlfn._xlws.FILTER(
            INDIRECT("'"&amp;M$14&amp;"'!A2:E1000"), (INDIRECT("'"&amp;M$14&amp;"'!B2:B1000")=$B9) * (INDIRECT("'"&amp;M$14&amp;"'!C2:C1000")=$C9)
        ),
        5,
        FALSE
    )=0,
    "",
    VLOOKUP(
        $A9,
        _xlfn._xlws.FILTER(
            INDIRECT("'"&amp;M$14&amp;"'!A2:E1000"), (INDIRECT("'"&amp;M$14&amp;"'!B2:B1000")=$B9) * (INDIRECT("'"&amp;M$14&amp;"'!C2:C1000")=$C9)
        ),
        5,
        FALSE
    )
)</f>
        <v/>
      </c>
      <c r="N9" s="103">
        <f t="array" ref="N9">IF(
    VLOOKUP(
        $A9,
        _xlfn._xlws.FILTER(
            INDIRECT("'"&amp;N$14&amp;"'!A2:E1000"), (INDIRECT("'"&amp;N$14&amp;"'!B2:B1000")=$B9) * (INDIRECT("'"&amp;N$14&amp;"'!C2:C1000")=$C9)
        ),
        5,
        FALSE
    )=0,
    "",
    VLOOKUP(
        $A9,
        _xlfn._xlws.FILTER(
            INDIRECT("'"&amp;N$14&amp;"'!A2:E1000"), (INDIRECT("'"&amp;N$14&amp;"'!B2:B1000")=$B9) * (INDIRECT("'"&amp;N$14&amp;"'!C2:C1000")=$C9)
        ),
        5,
        FALSE
    )
)</f>
        <v/>
      </c>
      <c r="O9" s="103">
        <f t="array" ref="O9">IF(
    VLOOKUP(
        $A9,
        _xlfn._xlws.FILTER(
            INDIRECT("'"&amp;O$14&amp;"'!A2:E1000"), (INDIRECT("'"&amp;O$14&amp;"'!B2:B1000")=$B9) * (INDIRECT("'"&amp;O$14&amp;"'!C2:C1000")=$C9)
        ),
        5,
        FALSE
    )=0,
    "",
    VLOOKUP(
        $A9,
        _xlfn._xlws.FILTER(
            INDIRECT("'"&amp;O$14&amp;"'!A2:E1000"), (INDIRECT("'"&amp;O$14&amp;"'!B2:B1000")=$B9) * (INDIRECT("'"&amp;O$14&amp;"'!C2:C1000")=$C9)
        ),
        5,
        FALSE
    )
)</f>
        <v/>
      </c>
      <c r="P9" s="103">
        <f t="array" ref="P9">IF(
    VLOOKUP(
        $A9,
        _xlfn._xlws.FILTER(
            INDIRECT("'"&amp;P$14&amp;"'!A2:E1000"), (INDIRECT("'"&amp;P$14&amp;"'!B2:B1000")=$B9) * (INDIRECT("'"&amp;P$14&amp;"'!C2:C1000")=$C9)
        ),
        5,
        FALSE
    )=0,
    "",
    VLOOKUP(
        $A9,
        _xlfn._xlws.FILTER(
            INDIRECT("'"&amp;P$14&amp;"'!A2:E1000"), (INDIRECT("'"&amp;P$14&amp;"'!B2:B1000")=$B9) * (INDIRECT("'"&amp;P$14&amp;"'!C2:C1000")=$C9)
        ),
        5,
        FALSE
    )
)</f>
        <v/>
      </c>
      <c r="Q9" s="103">
        <f t="array" ref="Q9">IF(
    VLOOKUP(
        $A9,
        _xlfn._xlws.FILTER(
            INDIRECT("'"&amp;Q$14&amp;"'!A2:E1000"), (INDIRECT("'"&amp;Q$14&amp;"'!B2:B1000")=$B9) * (INDIRECT("'"&amp;Q$14&amp;"'!C2:C1000")=$C9)
        ),
        5,
        FALSE
    )=0,
    "",
    VLOOKUP(
        $A9,
        _xlfn._xlws.FILTER(
            INDIRECT("'"&amp;Q$14&amp;"'!A2:E1000"), (INDIRECT("'"&amp;Q$14&amp;"'!B2:B1000")=$B9) * (INDIRECT("'"&amp;Q$14&amp;"'!C2:C1000")=$C9)
        ),
        5,
        FALSE
    )
)</f>
        <v/>
      </c>
    </row>
    <row r="10">
      <c r="A10" s="42" t="inlineStr">
        <is>
          <t>Bianca</t>
        </is>
      </c>
      <c r="B10" s="50" t="inlineStr">
        <is>
          <t>Ibema</t>
        </is>
      </c>
      <c r="C10" s="50" t="n">
        <v>1</v>
      </c>
      <c r="D10" s="103">
        <f t="array" ref="D10">IF(
    VLOOKUP(
        $A10,
        _xlfn._xlws.FILTER(
            INDIRECT("'"&amp;D$14&amp;"'!A2:E1000"), (INDIRECT("'"&amp;D$14&amp;"'!B2:B1000")=$B10) * (INDIRECT("'"&amp;D$14&amp;"'!C2:C1000")=$C10)
        ),
        5,
        FALSE
    )=0,
    "",
    VLOOKUP(
        $A10,
        _xlfn._xlws.FILTER(
            INDIRECT("'"&amp;D$14&amp;"'!A2:E1000"), (INDIRECT("'"&amp;D$14&amp;"'!B2:B1000")=$B10) * (INDIRECT("'"&amp;D$14&amp;"'!C2:C1000")=$C10)
        ),
        5,
        FALSE
    )
)</f>
        <v/>
      </c>
      <c r="E10" s="103">
        <f t="array" ref="E10">IF(
    VLOOKUP(
        $A10,
        _xlfn._xlws.FILTER(
            INDIRECT("'"&amp;E$14&amp;"'!A2:E1000"), (INDIRECT("'"&amp;E$14&amp;"'!B2:B1000")=$B10) * (INDIRECT("'"&amp;E$14&amp;"'!C2:C1000")=$C10)
        ),
        5,
        FALSE
    )=0,
    "",
    VLOOKUP(
        $A10,
        _xlfn._xlws.FILTER(
            INDIRECT("'"&amp;E$14&amp;"'!A2:E1000"), (INDIRECT("'"&amp;E$14&amp;"'!B2:B1000")=$B10) * (INDIRECT("'"&amp;E$14&amp;"'!C2:C1000")=$C10)
        ),
        5,
        FALSE
    )
)</f>
        <v/>
      </c>
      <c r="F10" s="103">
        <f t="array" ref="F10">IF(
    VLOOKUP(
        $A10,
        _xlfn._xlws.FILTER(
            INDIRECT("'"&amp;F$14&amp;"'!A2:E1000"), (INDIRECT("'"&amp;F$14&amp;"'!B2:B1000")=$B10) * (INDIRECT("'"&amp;F$14&amp;"'!C2:C1000")=$C10)
        ),
        5,
        FALSE
    )=0,
    "",
    VLOOKUP(
        $A10,
        _xlfn._xlws.FILTER(
            INDIRECT("'"&amp;F$14&amp;"'!A2:E1000"), (INDIRECT("'"&amp;F$14&amp;"'!B2:B1000")=$B10) * (INDIRECT("'"&amp;F$14&amp;"'!C2:C1000")=$C10)
        ),
        5,
        FALSE
    )
)</f>
        <v/>
      </c>
      <c r="G10" s="103">
        <f t="array" ref="G10">IF(
    VLOOKUP(
        $A10,
        _xlfn._xlws.FILTER(
            INDIRECT("'"&amp;G$14&amp;"'!A2:E1000"), (INDIRECT("'"&amp;G$14&amp;"'!B2:B1000")=$B10) * (INDIRECT("'"&amp;G$14&amp;"'!C2:C1000")=$C10)
        ),
        5,
        FALSE
    )=0,
    "",
    VLOOKUP(
        $A10,
        _xlfn._xlws.FILTER(
            INDIRECT("'"&amp;G$14&amp;"'!A2:E1000"), (INDIRECT("'"&amp;G$14&amp;"'!B2:B1000")=$B10) * (INDIRECT("'"&amp;G$14&amp;"'!C2:C1000")=$C10)
        ),
        5,
        FALSE
    )
)</f>
        <v/>
      </c>
      <c r="H10" s="103">
        <f t="array" ref="H10">IF(
    VLOOKUP(
        $A10,
        _xlfn._xlws.FILTER(
            INDIRECT("'"&amp;H$14&amp;"'!A2:E1000"), (INDIRECT("'"&amp;H$14&amp;"'!B2:B1000")=$B10) * (INDIRECT("'"&amp;H$14&amp;"'!C2:C1000")=$C10)
        ),
        5,
        FALSE
    )=0,
    "",
    VLOOKUP(
        $A10,
        _xlfn._xlws.FILTER(
            INDIRECT("'"&amp;H$14&amp;"'!A2:E1000"), (INDIRECT("'"&amp;H$14&amp;"'!B2:B1000")=$B10) * (INDIRECT("'"&amp;H$14&amp;"'!C2:C1000")=$C10)
        ),
        5,
        FALSE
    )
)</f>
        <v/>
      </c>
      <c r="I10" s="103">
        <f t="array" ref="I10">IF(
    VLOOKUP(
        $A10,
        _xlfn._xlws.FILTER(
            INDIRECT("'"&amp;I$14&amp;"'!A2:E1000"), (INDIRECT("'"&amp;I$14&amp;"'!B2:B1000")=$B10) * (INDIRECT("'"&amp;I$14&amp;"'!C2:C1000")=$C10)
        ),
        5,
        FALSE
    )=0,
    "",
    VLOOKUP(
        $A10,
        _xlfn._xlws.FILTER(
            INDIRECT("'"&amp;I$14&amp;"'!A2:E1000"), (INDIRECT("'"&amp;I$14&amp;"'!B2:B1000")=$B10) * (INDIRECT("'"&amp;I$14&amp;"'!C2:C1000")=$C10)
        ),
        5,
        FALSE
    )
)</f>
        <v/>
      </c>
      <c r="J10" s="103">
        <f t="array" ref="J10">IF(
    VLOOKUP(
        $A10,
        _xlfn._xlws.FILTER(
            INDIRECT("'"&amp;J$14&amp;"'!A2:E1000"), (INDIRECT("'"&amp;J$14&amp;"'!B2:B1000")=$B10) * (INDIRECT("'"&amp;J$14&amp;"'!C2:C1000")=$C10)
        ),
        5,
        FALSE
    )=0,
    "",
    VLOOKUP(
        $A10,
        _xlfn._xlws.FILTER(
            INDIRECT("'"&amp;J$14&amp;"'!A2:E1000"), (INDIRECT("'"&amp;J$14&amp;"'!B2:B1000")=$B10) * (INDIRECT("'"&amp;J$14&amp;"'!C2:C1000")=$C10)
        ),
        5,
        FALSE
    )
)</f>
        <v/>
      </c>
      <c r="K10" s="103">
        <f t="array" ref="K10">IF(
    VLOOKUP(
        $A10,
        _xlfn._xlws.FILTER(
            INDIRECT("'"&amp;K$14&amp;"'!A2:E1000"), (INDIRECT("'"&amp;K$14&amp;"'!B2:B1000")=$B10) * (INDIRECT("'"&amp;K$14&amp;"'!C2:C1000")=$C10)
        ),
        5,
        FALSE
    )=0,
    "",
    VLOOKUP(
        $A10,
        _xlfn._xlws.FILTER(
            INDIRECT("'"&amp;K$14&amp;"'!A2:E1000"), (INDIRECT("'"&amp;K$14&amp;"'!B2:B1000")=$B10) * (INDIRECT("'"&amp;K$14&amp;"'!C2:C1000")=$C10)
        ),
        5,
        FALSE
    )
)</f>
        <v/>
      </c>
      <c r="L10" s="103">
        <f t="array" ref="L10">IF(
    VLOOKUP(
        $A10,
        _xlfn._xlws.FILTER(
            INDIRECT("'"&amp;L$14&amp;"'!A2:E1000"), (INDIRECT("'"&amp;L$14&amp;"'!B2:B1000")=$B10) * (INDIRECT("'"&amp;L$14&amp;"'!C2:C1000")=$C10)
        ),
        5,
        FALSE
    )=0,
    "",
    VLOOKUP(
        $A10,
        _xlfn._xlws.FILTER(
            INDIRECT("'"&amp;L$14&amp;"'!A2:E1000"), (INDIRECT("'"&amp;L$14&amp;"'!B2:B1000")=$B10) * (INDIRECT("'"&amp;L$14&amp;"'!C2:C1000")=$C10)
        ),
        5,
        FALSE
    )
)</f>
        <v/>
      </c>
      <c r="M10" s="103">
        <f t="array" ref="M10">IF(
    VLOOKUP(
        $A10,
        _xlfn._xlws.FILTER(
            INDIRECT("'"&amp;M$14&amp;"'!A2:E1000"), (INDIRECT("'"&amp;M$14&amp;"'!B2:B1000")=$B10) * (INDIRECT("'"&amp;M$14&amp;"'!C2:C1000")=$C10)
        ),
        5,
        FALSE
    )=0,
    "",
    VLOOKUP(
        $A10,
        _xlfn._xlws.FILTER(
            INDIRECT("'"&amp;M$14&amp;"'!A2:E1000"), (INDIRECT("'"&amp;M$14&amp;"'!B2:B1000")=$B10) * (INDIRECT("'"&amp;M$14&amp;"'!C2:C1000")=$C10)
        ),
        5,
        FALSE
    )
)</f>
        <v/>
      </c>
      <c r="N10" s="103">
        <f t="array" ref="N10">IF(
    VLOOKUP(
        $A10,
        _xlfn._xlws.FILTER(
            INDIRECT("'"&amp;N$14&amp;"'!A2:E1000"), (INDIRECT("'"&amp;N$14&amp;"'!B2:B1000")=$B10) * (INDIRECT("'"&amp;N$14&amp;"'!C2:C1000")=$C10)
        ),
        5,
        FALSE
    )=0,
    "",
    VLOOKUP(
        $A10,
        _xlfn._xlws.FILTER(
            INDIRECT("'"&amp;N$14&amp;"'!A2:E1000"), (INDIRECT("'"&amp;N$14&amp;"'!B2:B1000")=$B10) * (INDIRECT("'"&amp;N$14&amp;"'!C2:C1000")=$C10)
        ),
        5,
        FALSE
    )
)</f>
        <v/>
      </c>
      <c r="O10" s="103">
        <f t="array" ref="O10">IF(
    VLOOKUP(
        $A10,
        _xlfn._xlws.FILTER(
            INDIRECT("'"&amp;O$14&amp;"'!A2:E1000"), (INDIRECT("'"&amp;O$14&amp;"'!B2:B1000")=$B10) * (INDIRECT("'"&amp;O$14&amp;"'!C2:C1000")=$C10)
        ),
        5,
        FALSE
    )=0,
    "",
    VLOOKUP(
        $A10,
        _xlfn._xlws.FILTER(
            INDIRECT("'"&amp;O$14&amp;"'!A2:E1000"), (INDIRECT("'"&amp;O$14&amp;"'!B2:B1000")=$B10) * (INDIRECT("'"&amp;O$14&amp;"'!C2:C1000")=$C10)
        ),
        5,
        FALSE
    )
)</f>
        <v/>
      </c>
      <c r="P10" s="103">
        <f t="array" ref="P10">IF(
    VLOOKUP(
        $A10,
        _xlfn._xlws.FILTER(
            INDIRECT("'"&amp;P$14&amp;"'!A2:E1000"), (INDIRECT("'"&amp;P$14&amp;"'!B2:B1000")=$B10) * (INDIRECT("'"&amp;P$14&amp;"'!C2:C1000")=$C10)
        ),
        5,
        FALSE
    )=0,
    "",
    VLOOKUP(
        $A10,
        _xlfn._xlws.FILTER(
            INDIRECT("'"&amp;P$14&amp;"'!A2:E1000"), (INDIRECT("'"&amp;P$14&amp;"'!B2:B1000")=$B10) * (INDIRECT("'"&amp;P$14&amp;"'!C2:C1000")=$C10)
        ),
        5,
        FALSE
    )
)</f>
        <v/>
      </c>
      <c r="Q10" s="103">
        <f t="array" ref="Q10">IF(
    VLOOKUP(
        $A10,
        _xlfn._xlws.FILTER(
            INDIRECT("'"&amp;Q$14&amp;"'!A2:E1000"), (INDIRECT("'"&amp;Q$14&amp;"'!B2:B1000")=$B10) * (INDIRECT("'"&amp;Q$14&amp;"'!C2:C1000")=$C10)
        ),
        5,
        FALSE
    )=0,
    "",
    VLOOKUP(
        $A10,
        _xlfn._xlws.FILTER(
            INDIRECT("'"&amp;Q$14&amp;"'!A2:E1000"), (INDIRECT("'"&amp;Q$14&amp;"'!B2:B1000")=$B10) * (INDIRECT("'"&amp;Q$14&amp;"'!C2:C1000")=$C10)
        ),
        5,
        FALSE
    )
)</f>
        <v/>
      </c>
    </row>
    <row r="11">
      <c r="A11" s="42" t="inlineStr">
        <is>
          <t>Bianca</t>
        </is>
      </c>
      <c r="B11" s="50" t="inlineStr">
        <is>
          <t>Iguatu</t>
        </is>
      </c>
      <c r="C11" s="50" t="n">
        <v>1</v>
      </c>
      <c r="D11" s="103">
        <f t="array" ref="D11">IF(
    VLOOKUP(
        $A11,
        _xlfn._xlws.FILTER(
            INDIRECT("'"&amp;D$14&amp;"'!A2:E1000"), (INDIRECT("'"&amp;D$14&amp;"'!B2:B1000")=$B11) * (INDIRECT("'"&amp;D$14&amp;"'!C2:C1000")=$C11)
        ),
        5,
        FALSE
    )=0,
    "",
    VLOOKUP(
        $A11,
        _xlfn._xlws.FILTER(
            INDIRECT("'"&amp;D$14&amp;"'!A2:E1000"), (INDIRECT("'"&amp;D$14&amp;"'!B2:B1000")=$B11) * (INDIRECT("'"&amp;D$14&amp;"'!C2:C1000")=$C11)
        ),
        5,
        FALSE
    )
)</f>
        <v/>
      </c>
      <c r="E11" s="103">
        <f t="array" ref="E11">IF(
    VLOOKUP(
        $A11,
        _xlfn._xlws.FILTER(
            INDIRECT("'"&amp;E$14&amp;"'!A2:E1000"), (INDIRECT("'"&amp;E$14&amp;"'!B2:B1000")=$B11) * (INDIRECT("'"&amp;E$14&amp;"'!C2:C1000")=$C11)
        ),
        5,
        FALSE
    )=0,
    "",
    VLOOKUP(
        $A11,
        _xlfn._xlws.FILTER(
            INDIRECT("'"&amp;E$14&amp;"'!A2:E1000"), (INDIRECT("'"&amp;E$14&amp;"'!B2:B1000")=$B11) * (INDIRECT("'"&amp;E$14&amp;"'!C2:C1000")=$C11)
        ),
        5,
        FALSE
    )
)</f>
        <v/>
      </c>
      <c r="F11" s="103">
        <f t="array" ref="F11">IF(
    VLOOKUP(
        $A11,
        _xlfn._xlws.FILTER(
            INDIRECT("'"&amp;F$14&amp;"'!A2:E1000"), (INDIRECT("'"&amp;F$14&amp;"'!B2:B1000")=$B11) * (INDIRECT("'"&amp;F$14&amp;"'!C2:C1000")=$C11)
        ),
        5,
        FALSE
    )=0,
    "",
    VLOOKUP(
        $A11,
        _xlfn._xlws.FILTER(
            INDIRECT("'"&amp;F$14&amp;"'!A2:E1000"), (INDIRECT("'"&amp;F$14&amp;"'!B2:B1000")=$B11) * (INDIRECT("'"&amp;F$14&amp;"'!C2:C1000")=$C11)
        ),
        5,
        FALSE
    )
)</f>
        <v/>
      </c>
      <c r="G11" s="103">
        <f t="array" ref="G11">IF(
    VLOOKUP(
        $A11,
        _xlfn._xlws.FILTER(
            INDIRECT("'"&amp;G$14&amp;"'!A2:E1000"), (INDIRECT("'"&amp;G$14&amp;"'!B2:B1000")=$B11) * (INDIRECT("'"&amp;G$14&amp;"'!C2:C1000")=$C11)
        ),
        5,
        FALSE
    )=0,
    "",
    VLOOKUP(
        $A11,
        _xlfn._xlws.FILTER(
            INDIRECT("'"&amp;G$14&amp;"'!A2:E1000"), (INDIRECT("'"&amp;G$14&amp;"'!B2:B1000")=$B11) * (INDIRECT("'"&amp;G$14&amp;"'!C2:C1000")=$C11)
        ),
        5,
        FALSE
    )
)</f>
        <v/>
      </c>
      <c r="H11" s="103">
        <f t="array" ref="H11">IF(
    VLOOKUP(
        $A11,
        _xlfn._xlws.FILTER(
            INDIRECT("'"&amp;H$14&amp;"'!A2:E1000"), (INDIRECT("'"&amp;H$14&amp;"'!B2:B1000")=$B11) * (INDIRECT("'"&amp;H$14&amp;"'!C2:C1000")=$C11)
        ),
        5,
        FALSE
    )=0,
    "",
    VLOOKUP(
        $A11,
        _xlfn._xlws.FILTER(
            INDIRECT("'"&amp;H$14&amp;"'!A2:E1000"), (INDIRECT("'"&amp;H$14&amp;"'!B2:B1000")=$B11) * (INDIRECT("'"&amp;H$14&amp;"'!C2:C1000")=$C11)
        ),
        5,
        FALSE
    )
)</f>
        <v/>
      </c>
      <c r="I11" s="103">
        <f t="array" ref="I11">IF(
    VLOOKUP(
        $A11,
        _xlfn._xlws.FILTER(
            INDIRECT("'"&amp;I$14&amp;"'!A2:E1000"), (INDIRECT("'"&amp;I$14&amp;"'!B2:B1000")=$B11) * (INDIRECT("'"&amp;I$14&amp;"'!C2:C1000")=$C11)
        ),
        5,
        FALSE
    )=0,
    "",
    VLOOKUP(
        $A11,
        _xlfn._xlws.FILTER(
            INDIRECT("'"&amp;I$14&amp;"'!A2:E1000"), (INDIRECT("'"&amp;I$14&amp;"'!B2:B1000")=$B11) * (INDIRECT("'"&amp;I$14&amp;"'!C2:C1000")=$C11)
        ),
        5,
        FALSE
    )
)</f>
        <v/>
      </c>
      <c r="J11" s="103">
        <f t="array" ref="J11">IF(
    VLOOKUP(
        $A11,
        _xlfn._xlws.FILTER(
            INDIRECT("'"&amp;J$14&amp;"'!A2:E1000"), (INDIRECT("'"&amp;J$14&amp;"'!B2:B1000")=$B11) * (INDIRECT("'"&amp;J$14&amp;"'!C2:C1000")=$C11)
        ),
        5,
        FALSE
    )=0,
    "",
    VLOOKUP(
        $A11,
        _xlfn._xlws.FILTER(
            INDIRECT("'"&amp;J$14&amp;"'!A2:E1000"), (INDIRECT("'"&amp;J$14&amp;"'!B2:B1000")=$B11) * (INDIRECT("'"&amp;J$14&amp;"'!C2:C1000")=$C11)
        ),
        5,
        FALSE
    )
)</f>
        <v/>
      </c>
      <c r="K11" s="103">
        <f t="array" ref="K11">IF(
    VLOOKUP(
        $A11,
        _xlfn._xlws.FILTER(
            INDIRECT("'"&amp;K$14&amp;"'!A2:E1000"), (INDIRECT("'"&amp;K$14&amp;"'!B2:B1000")=$B11) * (INDIRECT("'"&amp;K$14&amp;"'!C2:C1000")=$C11)
        ),
        5,
        FALSE
    )=0,
    "",
    VLOOKUP(
        $A11,
        _xlfn._xlws.FILTER(
            INDIRECT("'"&amp;K$14&amp;"'!A2:E1000"), (INDIRECT("'"&amp;K$14&amp;"'!B2:B1000")=$B11) * (INDIRECT("'"&amp;K$14&amp;"'!C2:C1000")=$C11)
        ),
        5,
        FALSE
    )
)</f>
        <v/>
      </c>
      <c r="L11" s="103">
        <f t="array" ref="L11">IF(
    VLOOKUP(
        $A11,
        _xlfn._xlws.FILTER(
            INDIRECT("'"&amp;L$14&amp;"'!A2:E1000"), (INDIRECT("'"&amp;L$14&amp;"'!B2:B1000")=$B11) * (INDIRECT("'"&amp;L$14&amp;"'!C2:C1000")=$C11)
        ),
        5,
        FALSE
    )=0,
    "",
    VLOOKUP(
        $A11,
        _xlfn._xlws.FILTER(
            INDIRECT("'"&amp;L$14&amp;"'!A2:E1000"), (INDIRECT("'"&amp;L$14&amp;"'!B2:B1000")=$B11) * (INDIRECT("'"&amp;L$14&amp;"'!C2:C1000")=$C11)
        ),
        5,
        FALSE
    )
)</f>
        <v/>
      </c>
      <c r="M11" s="103">
        <f t="array" ref="M11">IF(
    VLOOKUP(
        $A11,
        _xlfn._xlws.FILTER(
            INDIRECT("'"&amp;M$14&amp;"'!A2:E1000"), (INDIRECT("'"&amp;M$14&amp;"'!B2:B1000")=$B11) * (INDIRECT("'"&amp;M$14&amp;"'!C2:C1000")=$C11)
        ),
        5,
        FALSE
    )=0,
    "",
    VLOOKUP(
        $A11,
        _xlfn._xlws.FILTER(
            INDIRECT("'"&amp;M$14&amp;"'!A2:E1000"), (INDIRECT("'"&amp;M$14&amp;"'!B2:B1000")=$B11) * (INDIRECT("'"&amp;M$14&amp;"'!C2:C1000")=$C11)
        ),
        5,
        FALSE
    )
)</f>
        <v/>
      </c>
      <c r="N11" s="103">
        <f t="array" ref="N11">IF(
    VLOOKUP(
        $A11,
        _xlfn._xlws.FILTER(
            INDIRECT("'"&amp;N$14&amp;"'!A2:E1000"), (INDIRECT("'"&amp;N$14&amp;"'!B2:B1000")=$B11) * (INDIRECT("'"&amp;N$14&amp;"'!C2:C1000")=$C11)
        ),
        5,
        FALSE
    )=0,
    "",
    VLOOKUP(
        $A11,
        _xlfn._xlws.FILTER(
            INDIRECT("'"&amp;N$14&amp;"'!A2:E1000"), (INDIRECT("'"&amp;N$14&amp;"'!B2:B1000")=$B11) * (INDIRECT("'"&amp;N$14&amp;"'!C2:C1000")=$C11)
        ),
        5,
        FALSE
    )
)</f>
        <v/>
      </c>
      <c r="O11" s="103">
        <f t="array" ref="O11">IF(
    VLOOKUP(
        $A11,
        _xlfn._xlws.FILTER(
            INDIRECT("'"&amp;O$14&amp;"'!A2:E1000"), (INDIRECT("'"&amp;O$14&amp;"'!B2:B1000")=$B11) * (INDIRECT("'"&amp;O$14&amp;"'!C2:C1000")=$C11)
        ),
        5,
        FALSE
    )=0,
    "",
    VLOOKUP(
        $A11,
        _xlfn._xlws.FILTER(
            INDIRECT("'"&amp;O$14&amp;"'!A2:E1000"), (INDIRECT("'"&amp;O$14&amp;"'!B2:B1000")=$B11) * (INDIRECT("'"&amp;O$14&amp;"'!C2:C1000")=$C11)
        ),
        5,
        FALSE
    )
)</f>
        <v/>
      </c>
      <c r="P11" s="103">
        <f t="array" ref="P11">IF(
    VLOOKUP(
        $A11,
        _xlfn._xlws.FILTER(
            INDIRECT("'"&amp;P$14&amp;"'!A2:E1000"), (INDIRECT("'"&amp;P$14&amp;"'!B2:B1000")=$B11) * (INDIRECT("'"&amp;P$14&amp;"'!C2:C1000")=$C11)
        ),
        5,
        FALSE
    )=0,
    "",
    VLOOKUP(
        $A11,
        _xlfn._xlws.FILTER(
            INDIRECT("'"&amp;P$14&amp;"'!A2:E1000"), (INDIRECT("'"&amp;P$14&amp;"'!B2:B1000")=$B11) * (INDIRECT("'"&amp;P$14&amp;"'!C2:C1000")=$C11)
        ),
        5,
        FALSE
    )
)</f>
        <v/>
      </c>
      <c r="Q11" s="103">
        <f t="array" ref="Q11">IF(
    VLOOKUP(
        $A11,
        _xlfn._xlws.FILTER(
            INDIRECT("'"&amp;Q$14&amp;"'!A2:E1000"), (INDIRECT("'"&amp;Q$14&amp;"'!B2:B1000")=$B11) * (INDIRECT("'"&amp;Q$14&amp;"'!C2:C1000")=$C11)
        ),
        5,
        FALSE
    )=0,
    "",
    VLOOKUP(
        $A11,
        _xlfn._xlws.FILTER(
            INDIRECT("'"&amp;Q$14&amp;"'!A2:E1000"), (INDIRECT("'"&amp;Q$14&amp;"'!B2:B1000")=$B11) * (INDIRECT("'"&amp;Q$14&amp;"'!C2:C1000")=$C11)
        ),
        5,
        FALSE
    )
)</f>
        <v/>
      </c>
    </row>
    <row r="12">
      <c r="A12" s="42" t="inlineStr">
        <is>
          <t>Bianca</t>
        </is>
      </c>
      <c r="B12" s="50" t="inlineStr">
        <is>
          <t>Tres Barras do Parana</t>
        </is>
      </c>
      <c r="C12" s="50" t="n">
        <v>1</v>
      </c>
      <c r="D12" s="103">
        <f t="array" ref="D12">IF(
    VLOOKUP(
        $A12,
        _xlfn._xlws.FILTER(
            INDIRECT("'"&amp;D$14&amp;"'!A2:E1000"), (INDIRECT("'"&amp;D$14&amp;"'!B2:B1000")=$B12) * (INDIRECT("'"&amp;D$14&amp;"'!C2:C1000")=$C12)
        ),
        5,
        FALSE
    )=0,
    "",
    VLOOKUP(
        $A12,
        _xlfn._xlws.FILTER(
            INDIRECT("'"&amp;D$14&amp;"'!A2:E1000"), (INDIRECT("'"&amp;D$14&amp;"'!B2:B1000")=$B12) * (INDIRECT("'"&amp;D$14&amp;"'!C2:C1000")=$C12)
        ),
        5,
        FALSE
    )
)</f>
        <v/>
      </c>
      <c r="E12" s="103">
        <f t="array" ref="E12">IF(
    VLOOKUP(
        $A12,
        _xlfn._xlws.FILTER(
            INDIRECT("'"&amp;E$14&amp;"'!A2:E1000"), (INDIRECT("'"&amp;E$14&amp;"'!B2:B1000")=$B12) * (INDIRECT("'"&amp;E$14&amp;"'!C2:C1000")=$C12)
        ),
        5,
        FALSE
    )=0,
    "",
    VLOOKUP(
        $A12,
        _xlfn._xlws.FILTER(
            INDIRECT("'"&amp;E$14&amp;"'!A2:E1000"), (INDIRECT("'"&amp;E$14&amp;"'!B2:B1000")=$B12) * (INDIRECT("'"&amp;E$14&amp;"'!C2:C1000")=$C12)
        ),
        5,
        FALSE
    )
)</f>
        <v/>
      </c>
      <c r="F12" s="104">
        <f t="array" ref="F12">IF(
    VLOOKUP(
        $A12,
        _xlfn._xlws.FILTER(
            INDIRECT("'"&amp;F$14&amp;"'!A2:E1000"), (INDIRECT("'"&amp;F$14&amp;"'!B2:B1000")=$B12) * (INDIRECT("'"&amp;F$14&amp;"'!C2:C1000")=$C12)
        ),
        5,
        FALSE
    )=0,
    "",
    VLOOKUP(
        $A12,
        _xlfn._xlws.FILTER(
            INDIRECT("'"&amp;F$14&amp;"'!A2:E1000"), (INDIRECT("'"&amp;F$14&amp;"'!B2:B1000")=$B12) * (INDIRECT("'"&amp;F$14&amp;"'!C2:C1000")=$C12)
        ),
        5,
        FALSE
    )
)</f>
        <v/>
      </c>
      <c r="G12" s="103">
        <f t="array" ref="G12">IF(
    VLOOKUP(
        $A12,
        _xlfn._xlws.FILTER(
            INDIRECT("'"&amp;G$14&amp;"'!A2:E1000"), (INDIRECT("'"&amp;G$14&amp;"'!B2:B1000")=$B12) * (INDIRECT("'"&amp;G$14&amp;"'!C2:C1000")=$C12)
        ),
        5,
        FALSE
    )=0,
    "",
    VLOOKUP(
        $A12,
        _xlfn._xlws.FILTER(
            INDIRECT("'"&amp;G$14&amp;"'!A2:E1000"), (INDIRECT("'"&amp;G$14&amp;"'!B2:B1000")=$B12) * (INDIRECT("'"&amp;G$14&amp;"'!C2:C1000")=$C12)
        ),
        5,
        FALSE
    )
)</f>
        <v/>
      </c>
      <c r="H12" s="103">
        <f t="array" ref="H12">IF(
    VLOOKUP(
        $A12,
        _xlfn._xlws.FILTER(
            INDIRECT("'"&amp;H$14&amp;"'!A2:E1000"), (INDIRECT("'"&amp;H$14&amp;"'!B2:B1000")=$B12) * (INDIRECT("'"&amp;H$14&amp;"'!C2:C1000")=$C12)
        ),
        5,
        FALSE
    )=0,
    "",
    VLOOKUP(
        $A12,
        _xlfn._xlws.FILTER(
            INDIRECT("'"&amp;H$14&amp;"'!A2:E1000"), (INDIRECT("'"&amp;H$14&amp;"'!B2:B1000")=$B12) * (INDIRECT("'"&amp;H$14&amp;"'!C2:C1000")=$C12)
        ),
        5,
        FALSE
    )
)</f>
        <v/>
      </c>
      <c r="I12" s="103">
        <f t="array" ref="I12">IF(
    VLOOKUP(
        $A12,
        _xlfn._xlws.FILTER(
            INDIRECT("'"&amp;I$14&amp;"'!A2:E1000"), (INDIRECT("'"&amp;I$14&amp;"'!B2:B1000")=$B12) * (INDIRECT("'"&amp;I$14&amp;"'!C2:C1000")=$C12)
        ),
        5,
        FALSE
    )=0,
    "",
    VLOOKUP(
        $A12,
        _xlfn._xlws.FILTER(
            INDIRECT("'"&amp;I$14&amp;"'!A2:E1000"), (INDIRECT("'"&amp;I$14&amp;"'!B2:B1000")=$B12) * (INDIRECT("'"&amp;I$14&amp;"'!C2:C1000")=$C12)
        ),
        5,
        FALSE
    )
)</f>
        <v/>
      </c>
      <c r="J12" s="103">
        <f t="array" ref="J12">IF(
    VLOOKUP(
        $A12,
        _xlfn._xlws.FILTER(
            INDIRECT("'"&amp;J$14&amp;"'!A2:E1000"), (INDIRECT("'"&amp;J$14&amp;"'!B2:B1000")=$B12) * (INDIRECT("'"&amp;J$14&amp;"'!C2:C1000")=$C12)
        ),
        5,
        FALSE
    )=0,
    "",
    VLOOKUP(
        $A12,
        _xlfn._xlws.FILTER(
            INDIRECT("'"&amp;J$14&amp;"'!A2:E1000"), (INDIRECT("'"&amp;J$14&amp;"'!B2:B1000")=$B12) * (INDIRECT("'"&amp;J$14&amp;"'!C2:C1000")=$C12)
        ),
        5,
        FALSE
    )
)</f>
        <v/>
      </c>
      <c r="K12" s="103">
        <f t="array" ref="K12">IF(
    VLOOKUP(
        $A12,
        _xlfn._xlws.FILTER(
            INDIRECT("'"&amp;K$14&amp;"'!A2:E1000"), (INDIRECT("'"&amp;K$14&amp;"'!B2:B1000")=$B12) * (INDIRECT("'"&amp;K$14&amp;"'!C2:C1000")=$C12)
        ),
        5,
        FALSE
    )=0,
    "",
    VLOOKUP(
        $A12,
        _xlfn._xlws.FILTER(
            INDIRECT("'"&amp;K$14&amp;"'!A2:E1000"), (INDIRECT("'"&amp;K$14&amp;"'!B2:B1000")=$B12) * (INDIRECT("'"&amp;K$14&amp;"'!C2:C1000")=$C12)
        ),
        5,
        FALSE
    )
)</f>
        <v/>
      </c>
      <c r="L12" s="103">
        <f t="array" ref="L12">IF(
    VLOOKUP(
        $A12,
        _xlfn._xlws.FILTER(
            INDIRECT("'"&amp;L$14&amp;"'!A2:E1000"), (INDIRECT("'"&amp;L$14&amp;"'!B2:B1000")=$B12) * (INDIRECT("'"&amp;L$14&amp;"'!C2:C1000")=$C12)
        ),
        5,
        FALSE
    )=0,
    "",
    VLOOKUP(
        $A12,
        _xlfn._xlws.FILTER(
            INDIRECT("'"&amp;L$14&amp;"'!A2:E1000"), (INDIRECT("'"&amp;L$14&amp;"'!B2:B1000")=$B12) * (INDIRECT("'"&amp;L$14&amp;"'!C2:C1000")=$C12)
        ),
        5,
        FALSE
    )
)</f>
        <v/>
      </c>
      <c r="M12" s="103">
        <f t="array" ref="M12">IF(
    VLOOKUP(
        $A12,
        _xlfn._xlws.FILTER(
            INDIRECT("'"&amp;M$14&amp;"'!A2:E1000"), (INDIRECT("'"&amp;M$14&amp;"'!B2:B1000")=$B12) * (INDIRECT("'"&amp;M$14&amp;"'!C2:C1000")=$C12)
        ),
        5,
        FALSE
    )=0,
    "",
    VLOOKUP(
        $A12,
        _xlfn._xlws.FILTER(
            INDIRECT("'"&amp;M$14&amp;"'!A2:E1000"), (INDIRECT("'"&amp;M$14&amp;"'!B2:B1000")=$B12) * (INDIRECT("'"&amp;M$14&amp;"'!C2:C1000")=$C12)
        ),
        5,
        FALSE
    )
)</f>
        <v/>
      </c>
      <c r="N12" s="103">
        <f t="array" ref="N12">IF(
    VLOOKUP(
        $A12,
        _xlfn._xlws.FILTER(
            INDIRECT("'"&amp;N$14&amp;"'!A2:E1000"), (INDIRECT("'"&amp;N$14&amp;"'!B2:B1000")=$B12) * (INDIRECT("'"&amp;N$14&amp;"'!C2:C1000")=$C12)
        ),
        5,
        FALSE
    )=0,
    "",
    VLOOKUP(
        $A12,
        _xlfn._xlws.FILTER(
            INDIRECT("'"&amp;N$14&amp;"'!A2:E1000"), (INDIRECT("'"&amp;N$14&amp;"'!B2:B1000")=$B12) * (INDIRECT("'"&amp;N$14&amp;"'!C2:C1000")=$C12)
        ),
        5,
        FALSE
    )
)</f>
        <v/>
      </c>
      <c r="O12" s="103">
        <f t="array" ref="O12">IF(
    VLOOKUP(
        $A12,
        _xlfn._xlws.FILTER(
            INDIRECT("'"&amp;O$14&amp;"'!A2:E1000"), (INDIRECT("'"&amp;O$14&amp;"'!B2:B1000")=$B12) * (INDIRECT("'"&amp;O$14&amp;"'!C2:C1000")=$C12)
        ),
        5,
        FALSE
    )=0,
    "",
    VLOOKUP(
        $A12,
        _xlfn._xlws.FILTER(
            INDIRECT("'"&amp;O$14&amp;"'!A2:E1000"), (INDIRECT("'"&amp;O$14&amp;"'!B2:B1000")=$B12) * (INDIRECT("'"&amp;O$14&amp;"'!C2:C1000")=$C12)
        ),
        5,
        FALSE
    )
)</f>
        <v/>
      </c>
      <c r="P12" s="103">
        <f t="array" ref="P12">IF(
    VLOOKUP(
        $A12,
        _xlfn._xlws.FILTER(
            INDIRECT("'"&amp;P$14&amp;"'!A2:E1000"), (INDIRECT("'"&amp;P$14&amp;"'!B2:B1000")=$B12) * (INDIRECT("'"&amp;P$14&amp;"'!C2:C1000")=$C12)
        ),
        5,
        FALSE
    )=0,
    "",
    VLOOKUP(
        $A12,
        _xlfn._xlws.FILTER(
            INDIRECT("'"&amp;P$14&amp;"'!A2:E1000"), (INDIRECT("'"&amp;P$14&amp;"'!B2:B1000")=$B12) * (INDIRECT("'"&amp;P$14&amp;"'!C2:C1000")=$C12)
        ),
        5,
        FALSE
    )
)</f>
        <v/>
      </c>
      <c r="Q12" s="103">
        <f t="array" ref="Q12">IF(
    VLOOKUP(
        $A12,
        _xlfn._xlws.FILTER(
            INDIRECT("'"&amp;Q$14&amp;"'!A2:E1000"), (INDIRECT("'"&amp;Q$14&amp;"'!B2:B1000")=$B12) * (INDIRECT("'"&amp;Q$14&amp;"'!C2:C1000")=$C12)
        ),
        5,
        FALSE
    )=0,
    "",
    VLOOKUP(
        $A12,
        _xlfn._xlws.FILTER(
            INDIRECT("'"&amp;Q$14&amp;"'!A2:E1000"), (INDIRECT("'"&amp;Q$14&amp;"'!B2:B1000")=$B12) * (INDIRECT("'"&amp;Q$14&amp;"'!C2:C1000")=$C12)
        ),
        5,
        FALSE
    )
)</f>
        <v/>
      </c>
    </row>
    <row r="13"/>
    <row r="14" ht="15.75" customHeight="1">
      <c r="A14" s="105" t="inlineStr">
        <is>
          <t>Regional</t>
        </is>
      </c>
      <c r="B14" s="98" t="inlineStr">
        <is>
          <t>Municípios</t>
        </is>
      </c>
      <c r="C14" s="98" t="inlineStr">
        <is>
          <t>UVR</t>
        </is>
      </c>
      <c r="D14" s="99" t="inlineStr">
        <is>
          <t>11.24</t>
        </is>
      </c>
      <c r="E14" s="100" t="inlineStr">
        <is>
          <t>12.24</t>
        </is>
      </c>
      <c r="F14" s="101" t="inlineStr">
        <is>
          <t>01.25</t>
        </is>
      </c>
      <c r="G14" s="101" t="inlineStr">
        <is>
          <t>02.25</t>
        </is>
      </c>
      <c r="H14" s="101" t="inlineStr">
        <is>
          <t>03.25</t>
        </is>
      </c>
      <c r="I14" s="101" t="inlineStr">
        <is>
          <t>04.25</t>
        </is>
      </c>
      <c r="J14" s="101" t="inlineStr">
        <is>
          <t>05.25</t>
        </is>
      </c>
      <c r="K14" s="101" t="inlineStr">
        <is>
          <t>06.25</t>
        </is>
      </c>
      <c r="L14" s="102" t="inlineStr">
        <is>
          <t>07.25</t>
        </is>
      </c>
      <c r="M14" s="102" t="inlineStr">
        <is>
          <t>08.25</t>
        </is>
      </c>
      <c r="N14" s="102" t="inlineStr">
        <is>
          <t>09.25</t>
        </is>
      </c>
      <c r="O14" s="102" t="inlineStr">
        <is>
          <t>10.25</t>
        </is>
      </c>
      <c r="P14" s="102" t="inlineStr">
        <is>
          <t>11.25</t>
        </is>
      </c>
      <c r="Q14" s="102" t="inlineStr">
        <is>
          <t>12.25</t>
        </is>
      </c>
    </row>
    <row r="15" ht="15.75" customHeight="1">
      <c r="A15" s="106" t="inlineStr">
        <is>
          <t>Gabriel</t>
        </is>
      </c>
      <c r="B15" s="50" t="inlineStr">
        <is>
          <t>Altônia</t>
        </is>
      </c>
      <c r="C15" s="50" t="n">
        <v>1</v>
      </c>
      <c r="D15" s="103">
        <f t="array" ref="D15">IF(
    VLOOKUP(
        $A15,
        _xlfn._xlws.FILTER(
            INDIRECT("'"&amp;D$14&amp;"'!A2:E1000"), (INDIRECT("'"&amp;D$14&amp;"'!B2:B1000")=$B15) * (INDIRECT("'"&amp;D$14&amp;"'!C2:C1000")=$C15)
        ),
        5,
        FALSE
    )=0,
    "",
    VLOOKUP(
        $A15,
        _xlfn._xlws.FILTER(
            INDIRECT("'"&amp;D$14&amp;"'!A2:E1000"), (INDIRECT("'"&amp;D$14&amp;"'!B2:B1000")=$B15) * (INDIRECT("'"&amp;D$14&amp;"'!C2:C1000")=$C15)
        ),
        5,
        FALSE
    )
)</f>
        <v/>
      </c>
      <c r="E15" s="103">
        <f t="array" ref="E15">IF(
    VLOOKUP(
        $A15,
        _xlfn._xlws.FILTER(
            INDIRECT("'"&amp;E$14&amp;"'!A2:E1000"), (INDIRECT("'"&amp;E$14&amp;"'!B2:B1000")=$B15) * (INDIRECT("'"&amp;E$14&amp;"'!C2:C1000")=$C15)
        ),
        5,
        FALSE
    )=0,
    "",
    VLOOKUP(
        $A15,
        _xlfn._xlws.FILTER(
            INDIRECT("'"&amp;E$14&amp;"'!A2:E1000"), (INDIRECT("'"&amp;E$14&amp;"'!B2:B1000")=$B15) * (INDIRECT("'"&amp;E$14&amp;"'!C2:C1000")=$C15)
        ),
        5,
        FALSE
    )
)</f>
        <v/>
      </c>
      <c r="F15" s="103">
        <f t="array" ref="F15">IF(
    VLOOKUP(
        $A15,
        _xlfn._xlws.FILTER(
            INDIRECT("'"&amp;F$14&amp;"'!A2:E1000"), (INDIRECT("'"&amp;F$14&amp;"'!B2:B1000")=$B15) * (INDIRECT("'"&amp;F$14&amp;"'!C2:C1000")=$C15)
        ),
        5,
        FALSE
    )=0,
    "",
    VLOOKUP(
        $A15,
        _xlfn._xlws.FILTER(
            INDIRECT("'"&amp;F$14&amp;"'!A2:E1000"), (INDIRECT("'"&amp;F$14&amp;"'!B2:B1000")=$B15) * (INDIRECT("'"&amp;F$14&amp;"'!C2:C1000")=$C15)
        ),
        5,
        FALSE
    )
)</f>
        <v/>
      </c>
      <c r="G15" s="103">
        <f t="array" ref="G15">IF(
    VLOOKUP(
        $A15,
        _xlfn._xlws.FILTER(
            INDIRECT("'"&amp;G$14&amp;"'!A2:E1000"), (INDIRECT("'"&amp;G$14&amp;"'!B2:B1000")=$B15) * (INDIRECT("'"&amp;G$14&amp;"'!C2:C1000")=$C15)
        ),
        5,
        FALSE
    )=0,
    "",
    VLOOKUP(
        $A15,
        _xlfn._xlws.FILTER(
            INDIRECT("'"&amp;G$14&amp;"'!A2:E1000"), (INDIRECT("'"&amp;G$14&amp;"'!B2:B1000")=$B15) * (INDIRECT("'"&amp;G$14&amp;"'!C2:C1000")=$C15)
        ),
        5,
        FALSE
    )
)</f>
        <v/>
      </c>
      <c r="H15" s="103">
        <f t="array" ref="H15">IF(
    VLOOKUP(
        $A15,
        _xlfn._xlws.FILTER(
            INDIRECT("'"&amp;H$14&amp;"'!A2:E1000"), (INDIRECT("'"&amp;H$14&amp;"'!B2:B1000")=$B15) * (INDIRECT("'"&amp;H$14&amp;"'!C2:C1000")=$C15)
        ),
        5,
        FALSE
    )=0,
    "",
    VLOOKUP(
        $A15,
        _xlfn._xlws.FILTER(
            INDIRECT("'"&amp;H$14&amp;"'!A2:E1000"), (INDIRECT("'"&amp;H$14&amp;"'!B2:B1000")=$B15) * (INDIRECT("'"&amp;H$14&amp;"'!C2:C1000")=$C15)
        ),
        5,
        FALSE
    )
)</f>
        <v/>
      </c>
      <c r="I15" s="103">
        <f t="array" ref="I15">IF(
    VLOOKUP(
        $A15,
        _xlfn._xlws.FILTER(
            INDIRECT("'"&amp;I$14&amp;"'!A2:E1000"), (INDIRECT("'"&amp;I$14&amp;"'!B2:B1000")=$B15) * (INDIRECT("'"&amp;I$14&amp;"'!C2:C1000")=$C15)
        ),
        5,
        FALSE
    )=0,
    "",
    VLOOKUP(
        $A15,
        _xlfn._xlws.FILTER(
            INDIRECT("'"&amp;I$14&amp;"'!A2:E1000"), (INDIRECT("'"&amp;I$14&amp;"'!B2:B1000")=$B15) * (INDIRECT("'"&amp;I$14&amp;"'!C2:C1000")=$C15)
        ),
        5,
        FALSE
    )
)</f>
        <v/>
      </c>
      <c r="J15" s="103">
        <f t="array" ref="J15">IF(
    VLOOKUP(
        $A15,
        _xlfn._xlws.FILTER(
            INDIRECT("'"&amp;J$14&amp;"'!A2:E1000"), (INDIRECT("'"&amp;J$14&amp;"'!B2:B1000")=$B15) * (INDIRECT("'"&amp;J$14&amp;"'!C2:C1000")=$C15)
        ),
        5,
        FALSE
    )=0,
    "",
    VLOOKUP(
        $A15,
        _xlfn._xlws.FILTER(
            INDIRECT("'"&amp;J$14&amp;"'!A2:E1000"), (INDIRECT("'"&amp;J$14&amp;"'!B2:B1000")=$B15) * (INDIRECT("'"&amp;J$14&amp;"'!C2:C1000")=$C15)
        ),
        5,
        FALSE
    )
)</f>
        <v/>
      </c>
      <c r="K15" s="103">
        <f t="array" ref="K15">IF(
    VLOOKUP(
        $A15,
        _xlfn._xlws.FILTER(
            INDIRECT("'"&amp;K$14&amp;"'!A2:E1000"), (INDIRECT("'"&amp;K$14&amp;"'!B2:B1000")=$B15) * (INDIRECT("'"&amp;K$14&amp;"'!C2:C1000")=$C15)
        ),
        5,
        FALSE
    )=0,
    "",
    VLOOKUP(
        $A15,
        _xlfn._xlws.FILTER(
            INDIRECT("'"&amp;K$14&amp;"'!A2:E1000"), (INDIRECT("'"&amp;K$14&amp;"'!B2:B1000")=$B15) * (INDIRECT("'"&amp;K$14&amp;"'!C2:C1000")=$C15)
        ),
        5,
        FALSE
    )
)</f>
        <v/>
      </c>
      <c r="L15" s="103">
        <f t="array" ref="L15">IF(
    VLOOKUP(
        $A15,
        _xlfn._xlws.FILTER(
            INDIRECT("'"&amp;L$14&amp;"'!A2:E1000"), (INDIRECT("'"&amp;L$14&amp;"'!B2:B1000")=$B15) * (INDIRECT("'"&amp;L$14&amp;"'!C2:C1000")=$C15)
        ),
        5,
        FALSE
    )=0,
    "",
    VLOOKUP(
        $A15,
        _xlfn._xlws.FILTER(
            INDIRECT("'"&amp;L$14&amp;"'!A2:E1000"), (INDIRECT("'"&amp;L$14&amp;"'!B2:B1000")=$B15) * (INDIRECT("'"&amp;L$14&amp;"'!C2:C1000")=$C15)
        ),
        5,
        FALSE
    )
)</f>
        <v/>
      </c>
      <c r="M15" s="103">
        <f t="array" ref="M15">IF(
    VLOOKUP(
        $A15,
        _xlfn._xlws.FILTER(
            INDIRECT("'"&amp;M$14&amp;"'!A2:E1000"), (INDIRECT("'"&amp;M$14&amp;"'!B2:B1000")=$B15) * (INDIRECT("'"&amp;M$14&amp;"'!C2:C1000")=$C15)
        ),
        5,
        FALSE
    )=0,
    "",
    VLOOKUP(
        $A15,
        _xlfn._xlws.FILTER(
            INDIRECT("'"&amp;M$14&amp;"'!A2:E1000"), (INDIRECT("'"&amp;M$14&amp;"'!B2:B1000")=$B15) * (INDIRECT("'"&amp;M$14&amp;"'!C2:C1000")=$C15)
        ),
        5,
        FALSE
    )
)</f>
        <v/>
      </c>
      <c r="N15" s="103">
        <f t="array" ref="N15">IF(
    VLOOKUP(
        $A15,
        _xlfn._xlws.FILTER(
            INDIRECT("'"&amp;N$14&amp;"'!A2:E1000"), (INDIRECT("'"&amp;N$14&amp;"'!B2:B1000")=$B15) * (INDIRECT("'"&amp;N$14&amp;"'!C2:C1000")=$C15)
        ),
        5,
        FALSE
    )=0,
    "",
    VLOOKUP(
        $A15,
        _xlfn._xlws.FILTER(
            INDIRECT("'"&amp;N$14&amp;"'!A2:E1000"), (INDIRECT("'"&amp;N$14&amp;"'!B2:B1000")=$B15) * (INDIRECT("'"&amp;N$14&amp;"'!C2:C1000")=$C15)
        ),
        5,
        FALSE
    )
)</f>
        <v/>
      </c>
      <c r="O15" s="103">
        <f t="array" ref="O15">IF(
    VLOOKUP(
        $A15,
        _xlfn._xlws.FILTER(
            INDIRECT("'"&amp;O$14&amp;"'!A2:E1000"), (INDIRECT("'"&amp;O$14&amp;"'!B2:B1000")=$B15) * (INDIRECT("'"&amp;O$14&amp;"'!C2:C1000")=$C15)
        ),
        5,
        FALSE
    )=0,
    "",
    VLOOKUP(
        $A15,
        _xlfn._xlws.FILTER(
            INDIRECT("'"&amp;O$14&amp;"'!A2:E1000"), (INDIRECT("'"&amp;O$14&amp;"'!B2:B1000")=$B15) * (INDIRECT("'"&amp;O$14&amp;"'!C2:C1000")=$C15)
        ),
        5,
        FALSE
    )
)</f>
        <v/>
      </c>
      <c r="P15" s="103">
        <f t="array" ref="P15">IF(
    VLOOKUP(
        $A15,
        _xlfn._xlws.FILTER(
            INDIRECT("'"&amp;P$14&amp;"'!A2:E1000"), (INDIRECT("'"&amp;P$14&amp;"'!B2:B1000")=$B15) * (INDIRECT("'"&amp;P$14&amp;"'!C2:C1000")=$C15)
        ),
        5,
        FALSE
    )=0,
    "",
    VLOOKUP(
        $A15,
        _xlfn._xlws.FILTER(
            INDIRECT("'"&amp;P$14&amp;"'!A2:E1000"), (INDIRECT("'"&amp;P$14&amp;"'!B2:B1000")=$B15) * (INDIRECT("'"&amp;P$14&amp;"'!C2:C1000")=$C15)
        ),
        5,
        FALSE
    )
)</f>
        <v/>
      </c>
      <c r="Q15" s="103">
        <f t="array" ref="Q15">IF(
    VLOOKUP(
        $A15,
        _xlfn._xlws.FILTER(
            INDIRECT("'"&amp;Q$14&amp;"'!A2:E1000"), (INDIRECT("'"&amp;Q$14&amp;"'!B2:B1000")=$B15) * (INDIRECT("'"&amp;Q$14&amp;"'!C2:C1000")=$C15)
        ),
        5,
        FALSE
    )=0,
    "",
    VLOOKUP(
        $A15,
        _xlfn._xlws.FILTER(
            INDIRECT("'"&amp;Q$14&amp;"'!A2:E1000"), (INDIRECT("'"&amp;Q$14&amp;"'!B2:B1000")=$B15) * (INDIRECT("'"&amp;Q$14&amp;"'!C2:C1000")=$C15)
        ),
        5,
        FALSE
    )
)</f>
        <v/>
      </c>
    </row>
    <row r="16" ht="15.75" customHeight="1">
      <c r="A16" s="106" t="inlineStr">
        <is>
          <t>Gabriel</t>
        </is>
      </c>
      <c r="B16" s="50" t="inlineStr">
        <is>
          <t>Francisco Alves</t>
        </is>
      </c>
      <c r="C16" s="50" t="n">
        <v>1</v>
      </c>
      <c r="D16" s="103">
        <f t="array" ref="D16">IF(
    VLOOKUP(
        $A16,
        _xlfn._xlws.FILTER(
            INDIRECT("'"&amp;D$14&amp;"'!A2:E1000"), (INDIRECT("'"&amp;D$14&amp;"'!B2:B1000")=$B16) * (INDIRECT("'"&amp;D$14&amp;"'!C2:C1000")=$C16)
        ),
        5,
        FALSE
    )=0,
    "",
    VLOOKUP(
        $A16,
        _xlfn._xlws.FILTER(
            INDIRECT("'"&amp;D$14&amp;"'!A2:E1000"), (INDIRECT("'"&amp;D$14&amp;"'!B2:B1000")=$B16) * (INDIRECT("'"&amp;D$14&amp;"'!C2:C1000")=$C16)
        ),
        5,
        FALSE
    )
)</f>
        <v/>
      </c>
      <c r="E16" s="103">
        <f t="array" ref="E16">IF(
    VLOOKUP(
        $A16,
        _xlfn._xlws.FILTER(
            INDIRECT("'"&amp;E$14&amp;"'!A2:E1000"), (INDIRECT("'"&amp;E$14&amp;"'!B2:B1000")=$B16) * (INDIRECT("'"&amp;E$14&amp;"'!C2:C1000")=$C16)
        ),
        5,
        FALSE
    )=0,
    "",
    VLOOKUP(
        $A16,
        _xlfn._xlws.FILTER(
            INDIRECT("'"&amp;E$14&amp;"'!A2:E1000"), (INDIRECT("'"&amp;E$14&amp;"'!B2:B1000")=$B16) * (INDIRECT("'"&amp;E$14&amp;"'!C2:C1000")=$C16)
        ),
        5,
        FALSE
    )
)</f>
        <v/>
      </c>
      <c r="F16" s="103">
        <f t="array" ref="F16">IF(
    VLOOKUP(
        $A16,
        _xlfn._xlws.FILTER(
            INDIRECT("'"&amp;F$14&amp;"'!A2:E1000"), (INDIRECT("'"&amp;F$14&amp;"'!B2:B1000")=$B16) * (INDIRECT("'"&amp;F$14&amp;"'!C2:C1000")=$C16)
        ),
        5,
        FALSE
    )=0,
    "",
    VLOOKUP(
        $A16,
        _xlfn._xlws.FILTER(
            INDIRECT("'"&amp;F$14&amp;"'!A2:E1000"), (INDIRECT("'"&amp;F$14&amp;"'!B2:B1000")=$B16) * (INDIRECT("'"&amp;F$14&amp;"'!C2:C1000")=$C16)
        ),
        5,
        FALSE
    )
)</f>
        <v/>
      </c>
      <c r="G16" s="103">
        <f t="array" ref="G16">IF(
    VLOOKUP(
        $A16,
        _xlfn._xlws.FILTER(
            INDIRECT("'"&amp;G$14&amp;"'!A2:E1000"), (INDIRECT("'"&amp;G$14&amp;"'!B2:B1000")=$B16) * (INDIRECT("'"&amp;G$14&amp;"'!C2:C1000")=$C16)
        ),
        5,
        FALSE
    )=0,
    "",
    VLOOKUP(
        $A16,
        _xlfn._xlws.FILTER(
            INDIRECT("'"&amp;G$14&amp;"'!A2:E1000"), (INDIRECT("'"&amp;G$14&amp;"'!B2:B1000")=$B16) * (INDIRECT("'"&amp;G$14&amp;"'!C2:C1000")=$C16)
        ),
        5,
        FALSE
    )
)</f>
        <v/>
      </c>
      <c r="H16" s="103">
        <f t="array" ref="H16">IF(
    VLOOKUP(
        $A16,
        _xlfn._xlws.FILTER(
            INDIRECT("'"&amp;H$14&amp;"'!A2:E1000"), (INDIRECT("'"&amp;H$14&amp;"'!B2:B1000")=$B16) * (INDIRECT("'"&amp;H$14&amp;"'!C2:C1000")=$C16)
        ),
        5,
        FALSE
    )=0,
    "",
    VLOOKUP(
        $A16,
        _xlfn._xlws.FILTER(
            INDIRECT("'"&amp;H$14&amp;"'!A2:E1000"), (INDIRECT("'"&amp;H$14&amp;"'!B2:B1000")=$B16) * (INDIRECT("'"&amp;H$14&amp;"'!C2:C1000")=$C16)
        ),
        5,
        FALSE
    )
)</f>
        <v/>
      </c>
      <c r="I16" s="103">
        <f t="array" ref="I16">IF(
    VLOOKUP(
        $A16,
        _xlfn._xlws.FILTER(
            INDIRECT("'"&amp;I$14&amp;"'!A2:E1000"), (INDIRECT("'"&amp;I$14&amp;"'!B2:B1000")=$B16) * (INDIRECT("'"&amp;I$14&amp;"'!C2:C1000")=$C16)
        ),
        5,
        FALSE
    )=0,
    "",
    VLOOKUP(
        $A16,
        _xlfn._xlws.FILTER(
            INDIRECT("'"&amp;I$14&amp;"'!A2:E1000"), (INDIRECT("'"&amp;I$14&amp;"'!B2:B1000")=$B16) * (INDIRECT("'"&amp;I$14&amp;"'!C2:C1000")=$C16)
        ),
        5,
        FALSE
    )
)</f>
        <v/>
      </c>
      <c r="J16" s="103">
        <f t="array" ref="J16">IF(
    VLOOKUP(
        $A16,
        _xlfn._xlws.FILTER(
            INDIRECT("'"&amp;J$14&amp;"'!A2:E1000"), (INDIRECT("'"&amp;J$14&amp;"'!B2:B1000")=$B16) * (INDIRECT("'"&amp;J$14&amp;"'!C2:C1000")=$C16)
        ),
        5,
        FALSE
    )=0,
    "",
    VLOOKUP(
        $A16,
        _xlfn._xlws.FILTER(
            INDIRECT("'"&amp;J$14&amp;"'!A2:E1000"), (INDIRECT("'"&amp;J$14&amp;"'!B2:B1000")=$B16) * (INDIRECT("'"&amp;J$14&amp;"'!C2:C1000")=$C16)
        ),
        5,
        FALSE
    )
)</f>
        <v/>
      </c>
      <c r="K16" s="103">
        <f t="array" ref="K16">IF(
    VLOOKUP(
        $A16,
        _xlfn._xlws.FILTER(
            INDIRECT("'"&amp;K$14&amp;"'!A2:E1000"), (INDIRECT("'"&amp;K$14&amp;"'!B2:B1000")=$B16) * (INDIRECT("'"&amp;K$14&amp;"'!C2:C1000")=$C16)
        ),
        5,
        FALSE
    )=0,
    "",
    VLOOKUP(
        $A16,
        _xlfn._xlws.FILTER(
            INDIRECT("'"&amp;K$14&amp;"'!A2:E1000"), (INDIRECT("'"&amp;K$14&amp;"'!B2:B1000")=$B16) * (INDIRECT("'"&amp;K$14&amp;"'!C2:C1000")=$C16)
        ),
        5,
        FALSE
    )
)</f>
        <v/>
      </c>
      <c r="L16" s="103">
        <f t="array" ref="L16">IF(
    VLOOKUP(
        $A16,
        _xlfn._xlws.FILTER(
            INDIRECT("'"&amp;L$14&amp;"'!A2:E1000"), (INDIRECT("'"&amp;L$14&amp;"'!B2:B1000")=$B16) * (INDIRECT("'"&amp;L$14&amp;"'!C2:C1000")=$C16)
        ),
        5,
        FALSE
    )=0,
    "",
    VLOOKUP(
        $A16,
        _xlfn._xlws.FILTER(
            INDIRECT("'"&amp;L$14&amp;"'!A2:E1000"), (INDIRECT("'"&amp;L$14&amp;"'!B2:B1000")=$B16) * (INDIRECT("'"&amp;L$14&amp;"'!C2:C1000")=$C16)
        ),
        5,
        FALSE
    )
)</f>
        <v/>
      </c>
      <c r="M16" s="103">
        <f t="array" ref="M16">IF(
    VLOOKUP(
        $A16,
        _xlfn._xlws.FILTER(
            INDIRECT("'"&amp;M$14&amp;"'!A2:E1000"), (INDIRECT("'"&amp;M$14&amp;"'!B2:B1000")=$B16) * (INDIRECT("'"&amp;M$14&amp;"'!C2:C1000")=$C16)
        ),
        5,
        FALSE
    )=0,
    "",
    VLOOKUP(
        $A16,
        _xlfn._xlws.FILTER(
            INDIRECT("'"&amp;M$14&amp;"'!A2:E1000"), (INDIRECT("'"&amp;M$14&amp;"'!B2:B1000")=$B16) * (INDIRECT("'"&amp;M$14&amp;"'!C2:C1000")=$C16)
        ),
        5,
        FALSE
    )
)</f>
        <v/>
      </c>
      <c r="N16" s="103">
        <f t="array" ref="N16">IF(
    VLOOKUP(
        $A16,
        _xlfn._xlws.FILTER(
            INDIRECT("'"&amp;N$14&amp;"'!A2:E1000"), (INDIRECT("'"&amp;N$14&amp;"'!B2:B1000")=$B16) * (INDIRECT("'"&amp;N$14&amp;"'!C2:C1000")=$C16)
        ),
        5,
        FALSE
    )=0,
    "",
    VLOOKUP(
        $A16,
        _xlfn._xlws.FILTER(
            INDIRECT("'"&amp;N$14&amp;"'!A2:E1000"), (INDIRECT("'"&amp;N$14&amp;"'!B2:B1000")=$B16) * (INDIRECT("'"&amp;N$14&amp;"'!C2:C1000")=$C16)
        ),
        5,
        FALSE
    )
)</f>
        <v/>
      </c>
      <c r="O16" s="103">
        <f t="array" ref="O16">IF(
    VLOOKUP(
        $A16,
        _xlfn._xlws.FILTER(
            INDIRECT("'"&amp;O$14&amp;"'!A2:E1000"), (INDIRECT("'"&amp;O$14&amp;"'!B2:B1000")=$B16) * (INDIRECT("'"&amp;O$14&amp;"'!C2:C1000")=$C16)
        ),
        5,
        FALSE
    )=0,
    "",
    VLOOKUP(
        $A16,
        _xlfn._xlws.FILTER(
            INDIRECT("'"&amp;O$14&amp;"'!A2:E1000"), (INDIRECT("'"&amp;O$14&amp;"'!B2:B1000")=$B16) * (INDIRECT("'"&amp;O$14&amp;"'!C2:C1000")=$C16)
        ),
        5,
        FALSE
    )
)</f>
        <v/>
      </c>
      <c r="P16" s="103">
        <f t="array" ref="P16">IF(
    VLOOKUP(
        $A16,
        _xlfn._xlws.FILTER(
            INDIRECT("'"&amp;P$14&amp;"'!A2:E1000"), (INDIRECT("'"&amp;P$14&amp;"'!B2:B1000")=$B16) * (INDIRECT("'"&amp;P$14&amp;"'!C2:C1000")=$C16)
        ),
        5,
        FALSE
    )=0,
    "",
    VLOOKUP(
        $A16,
        _xlfn._xlws.FILTER(
            INDIRECT("'"&amp;P$14&amp;"'!A2:E1000"), (INDIRECT("'"&amp;P$14&amp;"'!B2:B1000")=$B16) * (INDIRECT("'"&amp;P$14&amp;"'!C2:C1000")=$C16)
        ),
        5,
        FALSE
    )
)</f>
        <v/>
      </c>
      <c r="Q16" s="103">
        <f t="array" ref="Q16">IF(
    VLOOKUP(
        $A16,
        _xlfn._xlws.FILTER(
            INDIRECT("'"&amp;Q$14&amp;"'!A2:E1000"), (INDIRECT("'"&amp;Q$14&amp;"'!B2:B1000")=$B16) * (INDIRECT("'"&amp;Q$14&amp;"'!C2:C1000")=$C16)
        ),
        5,
        FALSE
    )=0,
    "",
    VLOOKUP(
        $A16,
        _xlfn._xlws.FILTER(
            INDIRECT("'"&amp;Q$14&amp;"'!A2:E1000"), (INDIRECT("'"&amp;Q$14&amp;"'!B2:B1000")=$B16) * (INDIRECT("'"&amp;Q$14&amp;"'!C2:C1000")=$C16)
        ),
        5,
        FALSE
    )
)</f>
        <v/>
      </c>
    </row>
    <row r="17" ht="15.75" customHeight="1">
      <c r="A17" s="106" t="inlineStr">
        <is>
          <t>Gabriel</t>
        </is>
      </c>
      <c r="B17" s="50" t="inlineStr">
        <is>
          <t>Guaira</t>
        </is>
      </c>
      <c r="C17" s="50" t="n">
        <v>1</v>
      </c>
      <c r="D17" s="103">
        <f t="array" ref="D17">IF(
    VLOOKUP(
        $A17,
        _xlfn._xlws.FILTER(
            INDIRECT("'"&amp;D$14&amp;"'!A2:E1000"), (INDIRECT("'"&amp;D$14&amp;"'!B2:B1000")=$B17) * (INDIRECT("'"&amp;D$14&amp;"'!C2:C1000")=$C17)
        ),
        5,
        FALSE
    )=0,
    "",
    VLOOKUP(
        $A17,
        _xlfn._xlws.FILTER(
            INDIRECT("'"&amp;D$14&amp;"'!A2:E1000"), (INDIRECT("'"&amp;D$14&amp;"'!B2:B1000")=$B17) * (INDIRECT("'"&amp;D$14&amp;"'!C2:C1000")=$C17)
        ),
        5,
        FALSE
    )
)</f>
        <v/>
      </c>
      <c r="E17" s="103">
        <f t="array" ref="E17">IF(
    VLOOKUP(
        $A17,
        _xlfn._xlws.FILTER(
            INDIRECT("'"&amp;E$14&amp;"'!A2:E1000"), (INDIRECT("'"&amp;E$14&amp;"'!B2:B1000")=$B17) * (INDIRECT("'"&amp;E$14&amp;"'!C2:C1000")=$C17)
        ),
        5,
        FALSE
    )=0,
    "",
    VLOOKUP(
        $A17,
        _xlfn._xlws.FILTER(
            INDIRECT("'"&amp;E$14&amp;"'!A2:E1000"), (INDIRECT("'"&amp;E$14&amp;"'!B2:B1000")=$B17) * (INDIRECT("'"&amp;E$14&amp;"'!C2:C1000")=$C17)
        ),
        5,
        FALSE
    )
)</f>
        <v/>
      </c>
      <c r="F17" s="103">
        <f t="array" ref="F17">IF(
    VLOOKUP(
        $A17,
        _xlfn._xlws.FILTER(
            INDIRECT("'"&amp;F$14&amp;"'!A2:E1000"), (INDIRECT("'"&amp;F$14&amp;"'!B2:B1000")=$B17) * (INDIRECT("'"&amp;F$14&amp;"'!C2:C1000")=$C17)
        ),
        5,
        FALSE
    )=0,
    "",
    VLOOKUP(
        $A17,
        _xlfn._xlws.FILTER(
            INDIRECT("'"&amp;F$14&amp;"'!A2:E1000"), (INDIRECT("'"&amp;F$14&amp;"'!B2:B1000")=$B17) * (INDIRECT("'"&amp;F$14&amp;"'!C2:C1000")=$C17)
        ),
        5,
        FALSE
    )
)</f>
        <v/>
      </c>
      <c r="G17" s="103">
        <f t="array" ref="G17">IF(
    VLOOKUP(
        $A17,
        _xlfn._xlws.FILTER(
            INDIRECT("'"&amp;G$14&amp;"'!A2:E1000"), (INDIRECT("'"&amp;G$14&amp;"'!B2:B1000")=$B17) * (INDIRECT("'"&amp;G$14&amp;"'!C2:C1000")=$C17)
        ),
        5,
        FALSE
    )=0,
    "",
    VLOOKUP(
        $A17,
        _xlfn._xlws.FILTER(
            INDIRECT("'"&amp;G$14&amp;"'!A2:E1000"), (INDIRECT("'"&amp;G$14&amp;"'!B2:B1000")=$B17) * (INDIRECT("'"&amp;G$14&amp;"'!C2:C1000")=$C17)
        ),
        5,
        FALSE
    )
)</f>
        <v/>
      </c>
      <c r="H17" s="103">
        <f t="array" ref="H17">IF(
    VLOOKUP(
        $A17,
        _xlfn._xlws.FILTER(
            INDIRECT("'"&amp;H$14&amp;"'!A2:E1000"), (INDIRECT("'"&amp;H$14&amp;"'!B2:B1000")=$B17) * (INDIRECT("'"&amp;H$14&amp;"'!C2:C1000")=$C17)
        ),
        5,
        FALSE
    )=0,
    "",
    VLOOKUP(
        $A17,
        _xlfn._xlws.FILTER(
            INDIRECT("'"&amp;H$14&amp;"'!A2:E1000"), (INDIRECT("'"&amp;H$14&amp;"'!B2:B1000")=$B17) * (INDIRECT("'"&amp;H$14&amp;"'!C2:C1000")=$C17)
        ),
        5,
        FALSE
    )
)</f>
        <v/>
      </c>
      <c r="I17" s="103">
        <f t="array" ref="I17">IF(
    VLOOKUP(
        $A17,
        _xlfn._xlws.FILTER(
            INDIRECT("'"&amp;I$14&amp;"'!A2:E1000"), (INDIRECT("'"&amp;I$14&amp;"'!B2:B1000")=$B17) * (INDIRECT("'"&amp;I$14&amp;"'!C2:C1000")=$C17)
        ),
        5,
        FALSE
    )=0,
    "",
    VLOOKUP(
        $A17,
        _xlfn._xlws.FILTER(
            INDIRECT("'"&amp;I$14&amp;"'!A2:E1000"), (INDIRECT("'"&amp;I$14&amp;"'!B2:B1000")=$B17) * (INDIRECT("'"&amp;I$14&amp;"'!C2:C1000")=$C17)
        ),
        5,
        FALSE
    )
)</f>
        <v/>
      </c>
      <c r="J17" s="103">
        <f t="array" ref="J17">IF(
    VLOOKUP(
        $A17,
        _xlfn._xlws.FILTER(
            INDIRECT("'"&amp;J$14&amp;"'!A2:E1000"), (INDIRECT("'"&amp;J$14&amp;"'!B2:B1000")=$B17) * (INDIRECT("'"&amp;J$14&amp;"'!C2:C1000")=$C17)
        ),
        5,
        FALSE
    )=0,
    "",
    VLOOKUP(
        $A17,
        _xlfn._xlws.FILTER(
            INDIRECT("'"&amp;J$14&amp;"'!A2:E1000"), (INDIRECT("'"&amp;J$14&amp;"'!B2:B1000")=$B17) * (INDIRECT("'"&amp;J$14&amp;"'!C2:C1000")=$C17)
        ),
        5,
        FALSE
    )
)</f>
        <v/>
      </c>
      <c r="K17" s="103">
        <f t="array" ref="K17">IF(
    VLOOKUP(
        $A17,
        _xlfn._xlws.FILTER(
            INDIRECT("'"&amp;K$14&amp;"'!A2:E1000"), (INDIRECT("'"&amp;K$14&amp;"'!B2:B1000")=$B17) * (INDIRECT("'"&amp;K$14&amp;"'!C2:C1000")=$C17)
        ),
        5,
        FALSE
    )=0,
    "",
    VLOOKUP(
        $A17,
        _xlfn._xlws.FILTER(
            INDIRECT("'"&amp;K$14&amp;"'!A2:E1000"), (INDIRECT("'"&amp;K$14&amp;"'!B2:B1000")=$B17) * (INDIRECT("'"&amp;K$14&amp;"'!C2:C1000")=$C17)
        ),
        5,
        FALSE
    )
)</f>
        <v/>
      </c>
      <c r="L17" s="103">
        <f t="array" ref="L17">IF(
    VLOOKUP(
        $A17,
        _xlfn._xlws.FILTER(
            INDIRECT("'"&amp;L$14&amp;"'!A2:E1000"), (INDIRECT("'"&amp;L$14&amp;"'!B2:B1000")=$B17) * (INDIRECT("'"&amp;L$14&amp;"'!C2:C1000")=$C17)
        ),
        5,
        FALSE
    )=0,
    "",
    VLOOKUP(
        $A17,
        _xlfn._xlws.FILTER(
            INDIRECT("'"&amp;L$14&amp;"'!A2:E1000"), (INDIRECT("'"&amp;L$14&amp;"'!B2:B1000")=$B17) * (INDIRECT("'"&amp;L$14&amp;"'!C2:C1000")=$C17)
        ),
        5,
        FALSE
    )
)</f>
        <v/>
      </c>
      <c r="M17" s="103">
        <f t="array" ref="M17">IF(
    VLOOKUP(
        $A17,
        _xlfn._xlws.FILTER(
            INDIRECT("'"&amp;M$14&amp;"'!A2:E1000"), (INDIRECT("'"&amp;M$14&amp;"'!B2:B1000")=$B17) * (INDIRECT("'"&amp;M$14&amp;"'!C2:C1000")=$C17)
        ),
        5,
        FALSE
    )=0,
    "",
    VLOOKUP(
        $A17,
        _xlfn._xlws.FILTER(
            INDIRECT("'"&amp;M$14&amp;"'!A2:E1000"), (INDIRECT("'"&amp;M$14&amp;"'!B2:B1000")=$B17) * (INDIRECT("'"&amp;M$14&amp;"'!C2:C1000")=$C17)
        ),
        5,
        FALSE
    )
)</f>
        <v/>
      </c>
      <c r="N17" s="103">
        <f t="array" ref="N17">IF(
    VLOOKUP(
        $A17,
        _xlfn._xlws.FILTER(
            INDIRECT("'"&amp;N$14&amp;"'!A2:E1000"), (INDIRECT("'"&amp;N$14&amp;"'!B2:B1000")=$B17) * (INDIRECT("'"&amp;N$14&amp;"'!C2:C1000")=$C17)
        ),
        5,
        FALSE
    )=0,
    "",
    VLOOKUP(
        $A17,
        _xlfn._xlws.FILTER(
            INDIRECT("'"&amp;N$14&amp;"'!A2:E1000"), (INDIRECT("'"&amp;N$14&amp;"'!B2:B1000")=$B17) * (INDIRECT("'"&amp;N$14&amp;"'!C2:C1000")=$C17)
        ),
        5,
        FALSE
    )
)</f>
        <v/>
      </c>
      <c r="O17" s="103">
        <f t="array" ref="O17">IF(
    VLOOKUP(
        $A17,
        _xlfn._xlws.FILTER(
            INDIRECT("'"&amp;O$14&amp;"'!A2:E1000"), (INDIRECT("'"&amp;O$14&amp;"'!B2:B1000")=$B17) * (INDIRECT("'"&amp;O$14&amp;"'!C2:C1000")=$C17)
        ),
        5,
        FALSE
    )=0,
    "",
    VLOOKUP(
        $A17,
        _xlfn._xlws.FILTER(
            INDIRECT("'"&amp;O$14&amp;"'!A2:E1000"), (INDIRECT("'"&amp;O$14&amp;"'!B2:B1000")=$B17) * (INDIRECT("'"&amp;O$14&amp;"'!C2:C1000")=$C17)
        ),
        5,
        FALSE
    )
)</f>
        <v/>
      </c>
      <c r="P17" s="103">
        <f t="array" ref="P17">IF(
    VLOOKUP(
        $A17,
        _xlfn._xlws.FILTER(
            INDIRECT("'"&amp;P$14&amp;"'!A2:E1000"), (INDIRECT("'"&amp;P$14&amp;"'!B2:B1000")=$B17) * (INDIRECT("'"&amp;P$14&amp;"'!C2:C1000")=$C17)
        ),
        5,
        FALSE
    )=0,
    "",
    VLOOKUP(
        $A17,
        _xlfn._xlws.FILTER(
            INDIRECT("'"&amp;P$14&amp;"'!A2:E1000"), (INDIRECT("'"&amp;P$14&amp;"'!B2:B1000")=$B17) * (INDIRECT("'"&amp;P$14&amp;"'!C2:C1000")=$C17)
        ),
        5,
        FALSE
    )
)</f>
        <v/>
      </c>
      <c r="Q17" s="103">
        <f t="array" ref="Q17">IF(
    VLOOKUP(
        $A17,
        _xlfn._xlws.FILTER(
            INDIRECT("'"&amp;Q$14&amp;"'!A2:E1000"), (INDIRECT("'"&amp;Q$14&amp;"'!B2:B1000")=$B17) * (INDIRECT("'"&amp;Q$14&amp;"'!C2:C1000")=$C17)
        ),
        5,
        FALSE
    )=0,
    "",
    VLOOKUP(
        $A17,
        _xlfn._xlws.FILTER(
            INDIRECT("'"&amp;Q$14&amp;"'!A2:E1000"), (INDIRECT("'"&amp;Q$14&amp;"'!B2:B1000")=$B17) * (INDIRECT("'"&amp;Q$14&amp;"'!C2:C1000")=$C17)
        ),
        5,
        FALSE
    )
)</f>
        <v/>
      </c>
    </row>
    <row r="18" ht="15.75" customHeight="1">
      <c r="A18" s="106" t="inlineStr">
        <is>
          <t>Gabriel</t>
        </is>
      </c>
      <c r="B18" s="50" t="inlineStr">
        <is>
          <t>Mercedes</t>
        </is>
      </c>
      <c r="C18" s="50" t="n">
        <v>1</v>
      </c>
      <c r="D18" s="103">
        <f t="array" ref="D18">IF(
    VLOOKUP(
        $A18,
        _xlfn._xlws.FILTER(
            INDIRECT("'"&amp;D$14&amp;"'!A2:E1000"), (INDIRECT("'"&amp;D$14&amp;"'!B2:B1000")=$B18) * (INDIRECT("'"&amp;D$14&amp;"'!C2:C1000")=$C18)
        ),
        5,
        FALSE
    )=0,
    "",
    VLOOKUP(
        $A18,
        _xlfn._xlws.FILTER(
            INDIRECT("'"&amp;D$14&amp;"'!A2:E1000"), (INDIRECT("'"&amp;D$14&amp;"'!B2:B1000")=$B18) * (INDIRECT("'"&amp;D$14&amp;"'!C2:C1000")=$C18)
        ),
        5,
        FALSE
    )
)</f>
        <v/>
      </c>
      <c r="E18" s="103">
        <f t="array" ref="E18">IF(
    VLOOKUP(
        $A18,
        _xlfn._xlws.FILTER(
            INDIRECT("'"&amp;E$14&amp;"'!A2:E1000"), (INDIRECT("'"&amp;E$14&amp;"'!B2:B1000")=$B18) * (INDIRECT("'"&amp;E$14&amp;"'!C2:C1000")=$C18)
        ),
        5,
        FALSE
    )=0,
    "",
    VLOOKUP(
        $A18,
        _xlfn._xlws.FILTER(
            INDIRECT("'"&amp;E$14&amp;"'!A2:E1000"), (INDIRECT("'"&amp;E$14&amp;"'!B2:B1000")=$B18) * (INDIRECT("'"&amp;E$14&amp;"'!C2:C1000")=$C18)
        ),
        5,
        FALSE
    )
)</f>
        <v/>
      </c>
      <c r="F18" s="103">
        <f t="array" ref="F18">IF(
    VLOOKUP(
        $A18,
        _xlfn._xlws.FILTER(
            INDIRECT("'"&amp;F$14&amp;"'!A2:E1000"), (INDIRECT("'"&amp;F$14&amp;"'!B2:B1000")=$B18) * (INDIRECT("'"&amp;F$14&amp;"'!C2:C1000")=$C18)
        ),
        5,
        FALSE
    )=0,
    "",
    VLOOKUP(
        $A18,
        _xlfn._xlws.FILTER(
            INDIRECT("'"&amp;F$14&amp;"'!A2:E1000"), (INDIRECT("'"&amp;F$14&amp;"'!B2:B1000")=$B18) * (INDIRECT("'"&amp;F$14&amp;"'!C2:C1000")=$C18)
        ),
        5,
        FALSE
    )
)</f>
        <v/>
      </c>
      <c r="G18" s="103">
        <f t="array" ref="G18">IF(
    VLOOKUP(
        $A18,
        _xlfn._xlws.FILTER(
            INDIRECT("'"&amp;G$14&amp;"'!A2:E1000"), (INDIRECT("'"&amp;G$14&amp;"'!B2:B1000")=$B18) * (INDIRECT("'"&amp;G$14&amp;"'!C2:C1000")=$C18)
        ),
        5,
        FALSE
    )=0,
    "",
    VLOOKUP(
        $A18,
        _xlfn._xlws.FILTER(
            INDIRECT("'"&amp;G$14&amp;"'!A2:E1000"), (INDIRECT("'"&amp;G$14&amp;"'!B2:B1000")=$B18) * (INDIRECT("'"&amp;G$14&amp;"'!C2:C1000")=$C18)
        ),
        5,
        FALSE
    )
)</f>
        <v/>
      </c>
      <c r="H18" s="103">
        <f t="array" ref="H18">IF(
    VLOOKUP(
        $A18,
        _xlfn._xlws.FILTER(
            INDIRECT("'"&amp;H$14&amp;"'!A2:E1000"), (INDIRECT("'"&amp;H$14&amp;"'!B2:B1000")=$B18) * (INDIRECT("'"&amp;H$14&amp;"'!C2:C1000")=$C18)
        ),
        5,
        FALSE
    )=0,
    "",
    VLOOKUP(
        $A18,
        _xlfn._xlws.FILTER(
            INDIRECT("'"&amp;H$14&amp;"'!A2:E1000"), (INDIRECT("'"&amp;H$14&amp;"'!B2:B1000")=$B18) * (INDIRECT("'"&amp;H$14&amp;"'!C2:C1000")=$C18)
        ),
        5,
        FALSE
    )
)</f>
        <v/>
      </c>
      <c r="I18" s="103">
        <f t="array" ref="I18">IF(
    VLOOKUP(
        $A18,
        _xlfn._xlws.FILTER(
            INDIRECT("'"&amp;I$14&amp;"'!A2:E1000"), (INDIRECT("'"&amp;I$14&amp;"'!B2:B1000")=$B18) * (INDIRECT("'"&amp;I$14&amp;"'!C2:C1000")=$C18)
        ),
        5,
        FALSE
    )=0,
    "",
    VLOOKUP(
        $A18,
        _xlfn._xlws.FILTER(
            INDIRECT("'"&amp;I$14&amp;"'!A2:E1000"), (INDIRECT("'"&amp;I$14&amp;"'!B2:B1000")=$B18) * (INDIRECT("'"&amp;I$14&amp;"'!C2:C1000")=$C18)
        ),
        5,
        FALSE
    )
)</f>
        <v/>
      </c>
      <c r="J18" s="103">
        <f t="array" ref="J18">IF(
    VLOOKUP(
        $A18,
        _xlfn._xlws.FILTER(
            INDIRECT("'"&amp;J$14&amp;"'!A2:E1000"), (INDIRECT("'"&amp;J$14&amp;"'!B2:B1000")=$B18) * (INDIRECT("'"&amp;J$14&amp;"'!C2:C1000")=$C18)
        ),
        5,
        FALSE
    )=0,
    "",
    VLOOKUP(
        $A18,
        _xlfn._xlws.FILTER(
            INDIRECT("'"&amp;J$14&amp;"'!A2:E1000"), (INDIRECT("'"&amp;J$14&amp;"'!B2:B1000")=$B18) * (INDIRECT("'"&amp;J$14&amp;"'!C2:C1000")=$C18)
        ),
        5,
        FALSE
    )
)</f>
        <v/>
      </c>
      <c r="K18" s="103">
        <f t="array" ref="K18">IF(
    VLOOKUP(
        $A18,
        _xlfn._xlws.FILTER(
            INDIRECT("'"&amp;K$14&amp;"'!A2:E1000"), (INDIRECT("'"&amp;K$14&amp;"'!B2:B1000")=$B18) * (INDIRECT("'"&amp;K$14&amp;"'!C2:C1000")=$C18)
        ),
        5,
        FALSE
    )=0,
    "",
    VLOOKUP(
        $A18,
        _xlfn._xlws.FILTER(
            INDIRECT("'"&amp;K$14&amp;"'!A2:E1000"), (INDIRECT("'"&amp;K$14&amp;"'!B2:B1000")=$B18) * (INDIRECT("'"&amp;K$14&amp;"'!C2:C1000")=$C18)
        ),
        5,
        FALSE
    )
)</f>
        <v/>
      </c>
      <c r="L18" s="103">
        <f t="array" ref="L18">IF(
    VLOOKUP(
        $A18,
        _xlfn._xlws.FILTER(
            INDIRECT("'"&amp;L$14&amp;"'!A2:E1000"), (INDIRECT("'"&amp;L$14&amp;"'!B2:B1000")=$B18) * (INDIRECT("'"&amp;L$14&amp;"'!C2:C1000")=$C18)
        ),
        5,
        FALSE
    )=0,
    "",
    VLOOKUP(
        $A18,
        _xlfn._xlws.FILTER(
            INDIRECT("'"&amp;L$14&amp;"'!A2:E1000"), (INDIRECT("'"&amp;L$14&amp;"'!B2:B1000")=$B18) * (INDIRECT("'"&amp;L$14&amp;"'!C2:C1000")=$C18)
        ),
        5,
        FALSE
    )
)</f>
        <v/>
      </c>
      <c r="M18" s="103">
        <f t="array" ref="M18">IF(
    VLOOKUP(
        $A18,
        _xlfn._xlws.FILTER(
            INDIRECT("'"&amp;M$14&amp;"'!A2:E1000"), (INDIRECT("'"&amp;M$14&amp;"'!B2:B1000")=$B18) * (INDIRECT("'"&amp;M$14&amp;"'!C2:C1000")=$C18)
        ),
        5,
        FALSE
    )=0,
    "",
    VLOOKUP(
        $A18,
        _xlfn._xlws.FILTER(
            INDIRECT("'"&amp;M$14&amp;"'!A2:E1000"), (INDIRECT("'"&amp;M$14&amp;"'!B2:B1000")=$B18) * (INDIRECT("'"&amp;M$14&amp;"'!C2:C1000")=$C18)
        ),
        5,
        FALSE
    )
)</f>
        <v/>
      </c>
      <c r="N18" s="103">
        <f t="array" ref="N18">IF(
    VLOOKUP(
        $A18,
        _xlfn._xlws.FILTER(
            INDIRECT("'"&amp;N$14&amp;"'!A2:E1000"), (INDIRECT("'"&amp;N$14&amp;"'!B2:B1000")=$B18) * (INDIRECT("'"&amp;N$14&amp;"'!C2:C1000")=$C18)
        ),
        5,
        FALSE
    )=0,
    "",
    VLOOKUP(
        $A18,
        _xlfn._xlws.FILTER(
            INDIRECT("'"&amp;N$14&amp;"'!A2:E1000"), (INDIRECT("'"&amp;N$14&amp;"'!B2:B1000")=$B18) * (INDIRECT("'"&amp;N$14&amp;"'!C2:C1000")=$C18)
        ),
        5,
        FALSE
    )
)</f>
        <v/>
      </c>
      <c r="O18" s="103">
        <f t="array" ref="O18">IF(
    VLOOKUP(
        $A18,
        _xlfn._xlws.FILTER(
            INDIRECT("'"&amp;O$14&amp;"'!A2:E1000"), (INDIRECT("'"&amp;O$14&amp;"'!B2:B1000")=$B18) * (INDIRECT("'"&amp;O$14&amp;"'!C2:C1000")=$C18)
        ),
        5,
        FALSE
    )=0,
    "",
    VLOOKUP(
        $A18,
        _xlfn._xlws.FILTER(
            INDIRECT("'"&amp;O$14&amp;"'!A2:E1000"), (INDIRECT("'"&amp;O$14&amp;"'!B2:B1000")=$B18) * (INDIRECT("'"&amp;O$14&amp;"'!C2:C1000")=$C18)
        ),
        5,
        FALSE
    )
)</f>
        <v/>
      </c>
      <c r="P18" s="103">
        <f t="array" ref="P18">IF(
    VLOOKUP(
        $A18,
        _xlfn._xlws.FILTER(
            INDIRECT("'"&amp;P$14&amp;"'!A2:E1000"), (INDIRECT("'"&amp;P$14&amp;"'!B2:B1000")=$B18) * (INDIRECT("'"&amp;P$14&amp;"'!C2:C1000")=$C18)
        ),
        5,
        FALSE
    )=0,
    "",
    VLOOKUP(
        $A18,
        _xlfn._xlws.FILTER(
            INDIRECT("'"&amp;P$14&amp;"'!A2:E1000"), (INDIRECT("'"&amp;P$14&amp;"'!B2:B1000")=$B18) * (INDIRECT("'"&amp;P$14&amp;"'!C2:C1000")=$C18)
        ),
        5,
        FALSE
    )
)</f>
        <v/>
      </c>
      <c r="Q18" s="103">
        <f t="array" ref="Q18">IF(
    VLOOKUP(
        $A18,
        _xlfn._xlws.FILTER(
            INDIRECT("'"&amp;Q$14&amp;"'!A2:E1000"), (INDIRECT("'"&amp;Q$14&amp;"'!B2:B1000")=$B18) * (INDIRECT("'"&amp;Q$14&amp;"'!C2:C1000")=$C18)
        ),
        5,
        FALSE
    )=0,
    "",
    VLOOKUP(
        $A18,
        _xlfn._xlws.FILTER(
            INDIRECT("'"&amp;Q$14&amp;"'!A2:E1000"), (INDIRECT("'"&amp;Q$14&amp;"'!B2:B1000")=$B18) * (INDIRECT("'"&amp;Q$14&amp;"'!C2:C1000")=$C18)
        ),
        5,
        FALSE
    )
)</f>
        <v/>
      </c>
    </row>
    <row r="19" ht="15.75" customHeight="1">
      <c r="A19" s="106" t="inlineStr">
        <is>
          <t>Gabriel</t>
        </is>
      </c>
      <c r="B19" s="50" t="inlineStr">
        <is>
          <t>Mundo Novo</t>
        </is>
      </c>
      <c r="C19" s="50" t="n">
        <v>1</v>
      </c>
      <c r="D19" s="103">
        <f t="array" ref="D19">IF(
    VLOOKUP(
        $A19,
        _xlfn._xlws.FILTER(
            INDIRECT("'"&amp;D$14&amp;"'!A2:E1000"), (INDIRECT("'"&amp;D$14&amp;"'!B2:B1000")=$B19) * (INDIRECT("'"&amp;D$14&amp;"'!C2:C1000")=$C19)
        ),
        5,
        FALSE
    )=0,
    "",
    VLOOKUP(
        $A19,
        _xlfn._xlws.FILTER(
            INDIRECT("'"&amp;D$14&amp;"'!A2:E1000"), (INDIRECT("'"&amp;D$14&amp;"'!B2:B1000")=$B19) * (INDIRECT("'"&amp;D$14&amp;"'!C2:C1000")=$C19)
        ),
        5,
        FALSE
    )
)</f>
        <v/>
      </c>
      <c r="E19" s="103">
        <f t="array" ref="E19">IF(
    VLOOKUP(
        $A19,
        _xlfn._xlws.FILTER(
            INDIRECT("'"&amp;E$14&amp;"'!A2:E1000"), (INDIRECT("'"&amp;E$14&amp;"'!B2:B1000")=$B19) * (INDIRECT("'"&amp;E$14&amp;"'!C2:C1000")=$C19)
        ),
        5,
        FALSE
    )=0,
    "",
    VLOOKUP(
        $A19,
        _xlfn._xlws.FILTER(
            INDIRECT("'"&amp;E$14&amp;"'!A2:E1000"), (INDIRECT("'"&amp;E$14&amp;"'!B2:B1000")=$B19) * (INDIRECT("'"&amp;E$14&amp;"'!C2:C1000")=$C19)
        ),
        5,
        FALSE
    )
)</f>
        <v/>
      </c>
      <c r="F19" s="103">
        <f t="array" ref="F19">IF(
    VLOOKUP(
        $A19,
        _xlfn._xlws.FILTER(
            INDIRECT("'"&amp;F$14&amp;"'!A2:E1000"), (INDIRECT("'"&amp;F$14&amp;"'!B2:B1000")=$B19) * (INDIRECT("'"&amp;F$14&amp;"'!C2:C1000")=$C19)
        ),
        5,
        FALSE
    )=0,
    "",
    VLOOKUP(
        $A19,
        _xlfn._xlws.FILTER(
            INDIRECT("'"&amp;F$14&amp;"'!A2:E1000"), (INDIRECT("'"&amp;F$14&amp;"'!B2:B1000")=$B19) * (INDIRECT("'"&amp;F$14&amp;"'!C2:C1000")=$C19)
        ),
        5,
        FALSE
    )
)</f>
        <v/>
      </c>
      <c r="G19" s="103">
        <f t="array" ref="G19">IF(
    VLOOKUP(
        $A19,
        _xlfn._xlws.FILTER(
            INDIRECT("'"&amp;G$14&amp;"'!A2:E1000"), (INDIRECT("'"&amp;G$14&amp;"'!B2:B1000")=$B19) * (INDIRECT("'"&amp;G$14&amp;"'!C2:C1000")=$C19)
        ),
        5,
        FALSE
    )=0,
    "",
    VLOOKUP(
        $A19,
        _xlfn._xlws.FILTER(
            INDIRECT("'"&amp;G$14&amp;"'!A2:E1000"), (INDIRECT("'"&amp;G$14&amp;"'!B2:B1000")=$B19) * (INDIRECT("'"&amp;G$14&amp;"'!C2:C1000")=$C19)
        ),
        5,
        FALSE
    )
)</f>
        <v/>
      </c>
      <c r="H19" s="103">
        <f t="array" ref="H19">IF(
    VLOOKUP(
        $A19,
        _xlfn._xlws.FILTER(
            INDIRECT("'"&amp;H$14&amp;"'!A2:E1000"), (INDIRECT("'"&amp;H$14&amp;"'!B2:B1000")=$B19) * (INDIRECT("'"&amp;H$14&amp;"'!C2:C1000")=$C19)
        ),
        5,
        FALSE
    )=0,
    "",
    VLOOKUP(
        $A19,
        _xlfn._xlws.FILTER(
            INDIRECT("'"&amp;H$14&amp;"'!A2:E1000"), (INDIRECT("'"&amp;H$14&amp;"'!B2:B1000")=$B19) * (INDIRECT("'"&amp;H$14&amp;"'!C2:C1000")=$C19)
        ),
        5,
        FALSE
    )
)</f>
        <v/>
      </c>
      <c r="I19" s="103">
        <f t="array" ref="I19">IF(
    VLOOKUP(
        $A19,
        _xlfn._xlws.FILTER(
            INDIRECT("'"&amp;I$14&amp;"'!A2:E1000"), (INDIRECT("'"&amp;I$14&amp;"'!B2:B1000")=$B19) * (INDIRECT("'"&amp;I$14&amp;"'!C2:C1000")=$C19)
        ),
        5,
        FALSE
    )=0,
    "",
    VLOOKUP(
        $A19,
        _xlfn._xlws.FILTER(
            INDIRECT("'"&amp;I$14&amp;"'!A2:E1000"), (INDIRECT("'"&amp;I$14&amp;"'!B2:B1000")=$B19) * (INDIRECT("'"&amp;I$14&amp;"'!C2:C1000")=$C19)
        ),
        5,
        FALSE
    )
)</f>
        <v/>
      </c>
      <c r="J19" s="103">
        <f t="array" ref="J19">IF(
    VLOOKUP(
        $A19,
        _xlfn._xlws.FILTER(
            INDIRECT("'"&amp;J$14&amp;"'!A2:E1000"), (INDIRECT("'"&amp;J$14&amp;"'!B2:B1000")=$B19) * (INDIRECT("'"&amp;J$14&amp;"'!C2:C1000")=$C19)
        ),
        5,
        FALSE
    )=0,
    "",
    VLOOKUP(
        $A19,
        _xlfn._xlws.FILTER(
            INDIRECT("'"&amp;J$14&amp;"'!A2:E1000"), (INDIRECT("'"&amp;J$14&amp;"'!B2:B1000")=$B19) * (INDIRECT("'"&amp;J$14&amp;"'!C2:C1000")=$C19)
        ),
        5,
        FALSE
    )
)</f>
        <v/>
      </c>
      <c r="K19" s="103">
        <f t="array" ref="K19">IF(
    VLOOKUP(
        $A19,
        _xlfn._xlws.FILTER(
            INDIRECT("'"&amp;K$14&amp;"'!A2:E1000"), (INDIRECT("'"&amp;K$14&amp;"'!B2:B1000")=$B19) * (INDIRECT("'"&amp;K$14&amp;"'!C2:C1000")=$C19)
        ),
        5,
        FALSE
    )=0,
    "",
    VLOOKUP(
        $A19,
        _xlfn._xlws.FILTER(
            INDIRECT("'"&amp;K$14&amp;"'!A2:E1000"), (INDIRECT("'"&amp;K$14&amp;"'!B2:B1000")=$B19) * (INDIRECT("'"&amp;K$14&amp;"'!C2:C1000")=$C19)
        ),
        5,
        FALSE
    )
)</f>
        <v/>
      </c>
      <c r="L19" s="103">
        <f t="array" ref="L19">IF(
    VLOOKUP(
        $A19,
        _xlfn._xlws.FILTER(
            INDIRECT("'"&amp;L$14&amp;"'!A2:E1000"), (INDIRECT("'"&amp;L$14&amp;"'!B2:B1000")=$B19) * (INDIRECT("'"&amp;L$14&amp;"'!C2:C1000")=$C19)
        ),
        5,
        FALSE
    )=0,
    "",
    VLOOKUP(
        $A19,
        _xlfn._xlws.FILTER(
            INDIRECT("'"&amp;L$14&amp;"'!A2:E1000"), (INDIRECT("'"&amp;L$14&amp;"'!B2:B1000")=$B19) * (INDIRECT("'"&amp;L$14&amp;"'!C2:C1000")=$C19)
        ),
        5,
        FALSE
    )
)</f>
        <v/>
      </c>
      <c r="M19" s="103">
        <f t="array" ref="M19">IF(
    VLOOKUP(
        $A19,
        _xlfn._xlws.FILTER(
            INDIRECT("'"&amp;M$14&amp;"'!A2:E1000"), (INDIRECT("'"&amp;M$14&amp;"'!B2:B1000")=$B19) * (INDIRECT("'"&amp;M$14&amp;"'!C2:C1000")=$C19)
        ),
        5,
        FALSE
    )=0,
    "",
    VLOOKUP(
        $A19,
        _xlfn._xlws.FILTER(
            INDIRECT("'"&amp;M$14&amp;"'!A2:E1000"), (INDIRECT("'"&amp;M$14&amp;"'!B2:B1000")=$B19) * (INDIRECT("'"&amp;M$14&amp;"'!C2:C1000")=$C19)
        ),
        5,
        FALSE
    )
)</f>
        <v/>
      </c>
      <c r="N19" s="103">
        <f t="array" ref="N19">IF(
    VLOOKUP(
        $A19,
        _xlfn._xlws.FILTER(
            INDIRECT("'"&amp;N$14&amp;"'!A2:E1000"), (INDIRECT("'"&amp;N$14&amp;"'!B2:B1000")=$B19) * (INDIRECT("'"&amp;N$14&amp;"'!C2:C1000")=$C19)
        ),
        5,
        FALSE
    )=0,
    "",
    VLOOKUP(
        $A19,
        _xlfn._xlws.FILTER(
            INDIRECT("'"&amp;N$14&amp;"'!A2:E1000"), (INDIRECT("'"&amp;N$14&amp;"'!B2:B1000")=$B19) * (INDIRECT("'"&amp;N$14&amp;"'!C2:C1000")=$C19)
        ),
        5,
        FALSE
    )
)</f>
        <v/>
      </c>
      <c r="O19" s="103">
        <f t="array" ref="O19">IF(
    VLOOKUP(
        $A19,
        _xlfn._xlws.FILTER(
            INDIRECT("'"&amp;O$14&amp;"'!A2:E1000"), (INDIRECT("'"&amp;O$14&amp;"'!B2:B1000")=$B19) * (INDIRECT("'"&amp;O$14&amp;"'!C2:C1000")=$C19)
        ),
        5,
        FALSE
    )=0,
    "",
    VLOOKUP(
        $A19,
        _xlfn._xlws.FILTER(
            INDIRECT("'"&amp;O$14&amp;"'!A2:E1000"), (INDIRECT("'"&amp;O$14&amp;"'!B2:B1000")=$B19) * (INDIRECT("'"&amp;O$14&amp;"'!C2:C1000")=$C19)
        ),
        5,
        FALSE
    )
)</f>
        <v/>
      </c>
      <c r="P19" s="103">
        <f t="array" ref="P19">IF(
    VLOOKUP(
        $A19,
        _xlfn._xlws.FILTER(
            INDIRECT("'"&amp;P$14&amp;"'!A2:E1000"), (INDIRECT("'"&amp;P$14&amp;"'!B2:B1000")=$B19) * (INDIRECT("'"&amp;P$14&amp;"'!C2:C1000")=$C19)
        ),
        5,
        FALSE
    )=0,
    "",
    VLOOKUP(
        $A19,
        _xlfn._xlws.FILTER(
            INDIRECT("'"&amp;P$14&amp;"'!A2:E1000"), (INDIRECT("'"&amp;P$14&amp;"'!B2:B1000")=$B19) * (INDIRECT("'"&amp;P$14&amp;"'!C2:C1000")=$C19)
        ),
        5,
        FALSE
    )
)</f>
        <v/>
      </c>
      <c r="Q19" s="103">
        <f t="array" ref="Q19">IF(
    VLOOKUP(
        $A19,
        _xlfn._xlws.FILTER(
            INDIRECT("'"&amp;Q$14&amp;"'!A2:E1000"), (INDIRECT("'"&amp;Q$14&amp;"'!B2:B1000")=$B19) * (INDIRECT("'"&amp;Q$14&amp;"'!C2:C1000")=$C19)
        ),
        5,
        FALSE
    )=0,
    "",
    VLOOKUP(
        $A19,
        _xlfn._xlws.FILTER(
            INDIRECT("'"&amp;Q$14&amp;"'!A2:E1000"), (INDIRECT("'"&amp;Q$14&amp;"'!B2:B1000")=$B19) * (INDIRECT("'"&amp;Q$14&amp;"'!C2:C1000")=$C19)
        ),
        5,
        FALSE
    )
)</f>
        <v/>
      </c>
    </row>
    <row r="20" ht="15.75" customHeight="1">
      <c r="A20" s="106" t="inlineStr">
        <is>
          <t>Gabriel</t>
        </is>
      </c>
      <c r="B20" s="50" t="inlineStr">
        <is>
          <t>Nova Santa Rosa</t>
        </is>
      </c>
      <c r="C20" s="50" t="n">
        <v>1</v>
      </c>
      <c r="D20" s="103">
        <f t="array" ref="D20">IF(
    VLOOKUP(
        $A20,
        _xlfn._xlws.FILTER(
            INDIRECT("'"&amp;D$14&amp;"'!A2:E1000"), (INDIRECT("'"&amp;D$14&amp;"'!B2:B1000")=$B20) * (INDIRECT("'"&amp;D$14&amp;"'!C2:C1000")=$C20)
        ),
        5,
        FALSE
    )=0,
    "",
    VLOOKUP(
        $A20,
        _xlfn._xlws.FILTER(
            INDIRECT("'"&amp;D$14&amp;"'!A2:E1000"), (INDIRECT("'"&amp;D$14&amp;"'!B2:B1000")=$B20) * (INDIRECT("'"&amp;D$14&amp;"'!C2:C1000")=$C20)
        ),
        5,
        FALSE
    )
)</f>
        <v/>
      </c>
      <c r="E20" s="103">
        <f t="array" ref="E20">IF(
    VLOOKUP(
        $A20,
        _xlfn._xlws.FILTER(
            INDIRECT("'"&amp;E$14&amp;"'!A2:E1000"), (INDIRECT("'"&amp;E$14&amp;"'!B2:B1000")=$B20) * (INDIRECT("'"&amp;E$14&amp;"'!C2:C1000")=$C20)
        ),
        5,
        FALSE
    )=0,
    "",
    VLOOKUP(
        $A20,
        _xlfn._xlws.FILTER(
            INDIRECT("'"&amp;E$14&amp;"'!A2:E1000"), (INDIRECT("'"&amp;E$14&amp;"'!B2:B1000")=$B20) * (INDIRECT("'"&amp;E$14&amp;"'!C2:C1000")=$C20)
        ),
        5,
        FALSE
    )
)</f>
        <v/>
      </c>
      <c r="F20" s="103">
        <f t="array" ref="F20">IF(
    VLOOKUP(
        $A20,
        _xlfn._xlws.FILTER(
            INDIRECT("'"&amp;F$14&amp;"'!A2:E1000"), (INDIRECT("'"&amp;F$14&amp;"'!B2:B1000")=$B20) * (INDIRECT("'"&amp;F$14&amp;"'!C2:C1000")=$C20)
        ),
        5,
        FALSE
    )=0,
    "",
    VLOOKUP(
        $A20,
        _xlfn._xlws.FILTER(
            INDIRECT("'"&amp;F$14&amp;"'!A2:E1000"), (INDIRECT("'"&amp;F$14&amp;"'!B2:B1000")=$B20) * (INDIRECT("'"&amp;F$14&amp;"'!C2:C1000")=$C20)
        ),
        5,
        FALSE
    )
)</f>
        <v/>
      </c>
      <c r="G20" s="103">
        <f t="array" ref="G20">IF(
    VLOOKUP(
        $A20,
        _xlfn._xlws.FILTER(
            INDIRECT("'"&amp;G$14&amp;"'!A2:E1000"), (INDIRECT("'"&amp;G$14&amp;"'!B2:B1000")=$B20) * (INDIRECT("'"&amp;G$14&amp;"'!C2:C1000")=$C20)
        ),
        5,
        FALSE
    )=0,
    "",
    VLOOKUP(
        $A20,
        _xlfn._xlws.FILTER(
            INDIRECT("'"&amp;G$14&amp;"'!A2:E1000"), (INDIRECT("'"&amp;G$14&amp;"'!B2:B1000")=$B20) * (INDIRECT("'"&amp;G$14&amp;"'!C2:C1000")=$C20)
        ),
        5,
        FALSE
    )
)</f>
        <v/>
      </c>
      <c r="H20" s="103">
        <f t="array" ref="H20">IF(
    VLOOKUP(
        $A20,
        _xlfn._xlws.FILTER(
            INDIRECT("'"&amp;H$14&amp;"'!A2:E1000"), (INDIRECT("'"&amp;H$14&amp;"'!B2:B1000")=$B20) * (INDIRECT("'"&amp;H$14&amp;"'!C2:C1000")=$C20)
        ),
        5,
        FALSE
    )=0,
    "",
    VLOOKUP(
        $A20,
        _xlfn._xlws.FILTER(
            INDIRECT("'"&amp;H$14&amp;"'!A2:E1000"), (INDIRECT("'"&amp;H$14&amp;"'!B2:B1000")=$B20) * (INDIRECT("'"&amp;H$14&amp;"'!C2:C1000")=$C20)
        ),
        5,
        FALSE
    )
)</f>
        <v/>
      </c>
      <c r="I20" s="103">
        <f t="array" ref="I20">IF(
    VLOOKUP(
        $A20,
        _xlfn._xlws.FILTER(
            INDIRECT("'"&amp;I$14&amp;"'!A2:E1000"), (INDIRECT("'"&amp;I$14&amp;"'!B2:B1000")=$B20) * (INDIRECT("'"&amp;I$14&amp;"'!C2:C1000")=$C20)
        ),
        5,
        FALSE
    )=0,
    "",
    VLOOKUP(
        $A20,
        _xlfn._xlws.FILTER(
            INDIRECT("'"&amp;I$14&amp;"'!A2:E1000"), (INDIRECT("'"&amp;I$14&amp;"'!B2:B1000")=$B20) * (INDIRECT("'"&amp;I$14&amp;"'!C2:C1000")=$C20)
        ),
        5,
        FALSE
    )
)</f>
        <v/>
      </c>
      <c r="J20" s="103">
        <f t="array" ref="J20">IF(
    VLOOKUP(
        $A20,
        _xlfn._xlws.FILTER(
            INDIRECT("'"&amp;J$14&amp;"'!A2:E1000"), (INDIRECT("'"&amp;J$14&amp;"'!B2:B1000")=$B20) * (INDIRECT("'"&amp;J$14&amp;"'!C2:C1000")=$C20)
        ),
        5,
        FALSE
    )=0,
    "",
    VLOOKUP(
        $A20,
        _xlfn._xlws.FILTER(
            INDIRECT("'"&amp;J$14&amp;"'!A2:E1000"), (INDIRECT("'"&amp;J$14&amp;"'!B2:B1000")=$B20) * (INDIRECT("'"&amp;J$14&amp;"'!C2:C1000")=$C20)
        ),
        5,
        FALSE
    )
)</f>
        <v/>
      </c>
      <c r="K20" s="103">
        <f t="array" ref="K20">IF(
    VLOOKUP(
        $A20,
        _xlfn._xlws.FILTER(
            INDIRECT("'"&amp;K$14&amp;"'!A2:E1000"), (INDIRECT("'"&amp;K$14&amp;"'!B2:B1000")=$B20) * (INDIRECT("'"&amp;K$14&amp;"'!C2:C1000")=$C20)
        ),
        5,
        FALSE
    )=0,
    "",
    VLOOKUP(
        $A20,
        _xlfn._xlws.FILTER(
            INDIRECT("'"&amp;K$14&amp;"'!A2:E1000"), (INDIRECT("'"&amp;K$14&amp;"'!B2:B1000")=$B20) * (INDIRECT("'"&amp;K$14&amp;"'!C2:C1000")=$C20)
        ),
        5,
        FALSE
    )
)</f>
        <v/>
      </c>
      <c r="L20" s="103">
        <f t="array" ref="L20">IF(
    VLOOKUP(
        $A20,
        _xlfn._xlws.FILTER(
            INDIRECT("'"&amp;L$14&amp;"'!A2:E1000"), (INDIRECT("'"&amp;L$14&amp;"'!B2:B1000")=$B20) * (INDIRECT("'"&amp;L$14&amp;"'!C2:C1000")=$C20)
        ),
        5,
        FALSE
    )=0,
    "",
    VLOOKUP(
        $A20,
        _xlfn._xlws.FILTER(
            INDIRECT("'"&amp;L$14&amp;"'!A2:E1000"), (INDIRECT("'"&amp;L$14&amp;"'!B2:B1000")=$B20) * (INDIRECT("'"&amp;L$14&amp;"'!C2:C1000")=$C20)
        ),
        5,
        FALSE
    )
)</f>
        <v/>
      </c>
      <c r="M20" s="103">
        <f t="array" ref="M20">IF(
    VLOOKUP(
        $A20,
        _xlfn._xlws.FILTER(
            INDIRECT("'"&amp;M$14&amp;"'!A2:E1000"), (INDIRECT("'"&amp;M$14&amp;"'!B2:B1000")=$B20) * (INDIRECT("'"&amp;M$14&amp;"'!C2:C1000")=$C20)
        ),
        5,
        FALSE
    )=0,
    "",
    VLOOKUP(
        $A20,
        _xlfn._xlws.FILTER(
            INDIRECT("'"&amp;M$14&amp;"'!A2:E1000"), (INDIRECT("'"&amp;M$14&amp;"'!B2:B1000")=$B20) * (INDIRECT("'"&amp;M$14&amp;"'!C2:C1000")=$C20)
        ),
        5,
        FALSE
    )
)</f>
        <v/>
      </c>
      <c r="N20" s="103">
        <f t="array" ref="N20">IF(
    VLOOKUP(
        $A20,
        _xlfn._xlws.FILTER(
            INDIRECT("'"&amp;N$14&amp;"'!A2:E1000"), (INDIRECT("'"&amp;N$14&amp;"'!B2:B1000")=$B20) * (INDIRECT("'"&amp;N$14&amp;"'!C2:C1000")=$C20)
        ),
        5,
        FALSE
    )=0,
    "",
    VLOOKUP(
        $A20,
        _xlfn._xlws.FILTER(
            INDIRECT("'"&amp;N$14&amp;"'!A2:E1000"), (INDIRECT("'"&amp;N$14&amp;"'!B2:B1000")=$B20) * (INDIRECT("'"&amp;N$14&amp;"'!C2:C1000")=$C20)
        ),
        5,
        FALSE
    )
)</f>
        <v/>
      </c>
      <c r="O20" s="103">
        <f t="array" ref="O20">IF(
    VLOOKUP(
        $A20,
        _xlfn._xlws.FILTER(
            INDIRECT("'"&amp;O$14&amp;"'!A2:E1000"), (INDIRECT("'"&amp;O$14&amp;"'!B2:B1000")=$B20) * (INDIRECT("'"&amp;O$14&amp;"'!C2:C1000")=$C20)
        ),
        5,
        FALSE
    )=0,
    "",
    VLOOKUP(
        $A20,
        _xlfn._xlws.FILTER(
            INDIRECT("'"&amp;O$14&amp;"'!A2:E1000"), (INDIRECT("'"&amp;O$14&amp;"'!B2:B1000")=$B20) * (INDIRECT("'"&amp;O$14&amp;"'!C2:C1000")=$C20)
        ),
        5,
        FALSE
    )
)</f>
        <v/>
      </c>
      <c r="P20" s="103">
        <f t="array" ref="P20">IF(
    VLOOKUP(
        $A20,
        _xlfn._xlws.FILTER(
            INDIRECT("'"&amp;P$14&amp;"'!A2:E1000"), (INDIRECT("'"&amp;P$14&amp;"'!B2:B1000")=$B20) * (INDIRECT("'"&amp;P$14&amp;"'!C2:C1000")=$C20)
        ),
        5,
        FALSE
    )=0,
    "",
    VLOOKUP(
        $A20,
        _xlfn._xlws.FILTER(
            INDIRECT("'"&amp;P$14&amp;"'!A2:E1000"), (INDIRECT("'"&amp;P$14&amp;"'!B2:B1000")=$B20) * (INDIRECT("'"&amp;P$14&amp;"'!C2:C1000")=$C20)
        ),
        5,
        FALSE
    )
)</f>
        <v/>
      </c>
      <c r="Q20" s="103">
        <f t="array" ref="Q20">IF(
    VLOOKUP(
        $A20,
        _xlfn._xlws.FILTER(
            INDIRECT("'"&amp;Q$14&amp;"'!A2:E1000"), (INDIRECT("'"&amp;Q$14&amp;"'!B2:B1000")=$B20) * (INDIRECT("'"&amp;Q$14&amp;"'!C2:C1000")=$C20)
        ),
        5,
        FALSE
    )=0,
    "",
    VLOOKUP(
        $A20,
        _xlfn._xlws.FILTER(
            INDIRECT("'"&amp;Q$14&amp;"'!A2:E1000"), (INDIRECT("'"&amp;Q$14&amp;"'!B2:B1000")=$B20) * (INDIRECT("'"&amp;Q$14&amp;"'!C2:C1000")=$C20)
        ),
        5,
        FALSE
    )
)</f>
        <v/>
      </c>
    </row>
    <row r="21" ht="15.75" customHeight="1">
      <c r="A21" s="106" t="inlineStr">
        <is>
          <t>Gabriel</t>
        </is>
      </c>
      <c r="B21" s="50" t="inlineStr">
        <is>
          <t>Ouro Verde do Oeste</t>
        </is>
      </c>
      <c r="C21" s="50" t="n">
        <v>1</v>
      </c>
      <c r="D21" s="103">
        <f t="array" ref="D21">IF(
    VLOOKUP(
        $A21,
        _xlfn._xlws.FILTER(
            INDIRECT("'"&amp;D$14&amp;"'!A2:E1000"), (INDIRECT("'"&amp;D$14&amp;"'!B2:B1000")=$B21) * (INDIRECT("'"&amp;D$14&amp;"'!C2:C1000")=$C21)
        ),
        5,
        FALSE
    )=0,
    "",
    VLOOKUP(
        $A21,
        _xlfn._xlws.FILTER(
            INDIRECT("'"&amp;D$14&amp;"'!A2:E1000"), (INDIRECT("'"&amp;D$14&amp;"'!B2:B1000")=$B21) * (INDIRECT("'"&amp;D$14&amp;"'!C2:C1000")=$C21)
        ),
        5,
        FALSE
    )
)</f>
        <v/>
      </c>
      <c r="E21" s="103">
        <f t="array" ref="E21">IF(
    VLOOKUP(
        $A21,
        _xlfn._xlws.FILTER(
            INDIRECT("'"&amp;E$14&amp;"'!A2:E1000"), (INDIRECT("'"&amp;E$14&amp;"'!B2:B1000")=$B21) * (INDIRECT("'"&amp;E$14&amp;"'!C2:C1000")=$C21)
        ),
        5,
        FALSE
    )=0,
    "",
    VLOOKUP(
        $A21,
        _xlfn._xlws.FILTER(
            INDIRECT("'"&amp;E$14&amp;"'!A2:E1000"), (INDIRECT("'"&amp;E$14&amp;"'!B2:B1000")=$B21) * (INDIRECT("'"&amp;E$14&amp;"'!C2:C1000")=$C21)
        ),
        5,
        FALSE
    )
)</f>
        <v/>
      </c>
      <c r="F21" s="103">
        <f t="array" ref="F21">IF(
    VLOOKUP(
        $A21,
        _xlfn._xlws.FILTER(
            INDIRECT("'"&amp;F$14&amp;"'!A2:E1000"), (INDIRECT("'"&amp;F$14&amp;"'!B2:B1000")=$B21) * (INDIRECT("'"&amp;F$14&amp;"'!C2:C1000")=$C21)
        ),
        5,
        FALSE
    )=0,
    "",
    VLOOKUP(
        $A21,
        _xlfn._xlws.FILTER(
            INDIRECT("'"&amp;F$14&amp;"'!A2:E1000"), (INDIRECT("'"&amp;F$14&amp;"'!B2:B1000")=$B21) * (INDIRECT("'"&amp;F$14&amp;"'!C2:C1000")=$C21)
        ),
        5,
        FALSE
    )
)</f>
        <v/>
      </c>
      <c r="G21" s="103">
        <f t="array" ref="G21">IF(
    VLOOKUP(
        $A21,
        _xlfn._xlws.FILTER(
            INDIRECT("'"&amp;G$14&amp;"'!A2:E1000"), (INDIRECT("'"&amp;G$14&amp;"'!B2:B1000")=$B21) * (INDIRECT("'"&amp;G$14&amp;"'!C2:C1000")=$C21)
        ),
        5,
        FALSE
    )=0,
    "",
    VLOOKUP(
        $A21,
        _xlfn._xlws.FILTER(
            INDIRECT("'"&amp;G$14&amp;"'!A2:E1000"), (INDIRECT("'"&amp;G$14&amp;"'!B2:B1000")=$B21) * (INDIRECT("'"&amp;G$14&amp;"'!C2:C1000")=$C21)
        ),
        5,
        FALSE
    )
)</f>
        <v/>
      </c>
      <c r="H21" s="103">
        <f t="array" ref="H21">IF(
    VLOOKUP(
        $A21,
        _xlfn._xlws.FILTER(
            INDIRECT("'"&amp;H$14&amp;"'!A2:E1000"), (INDIRECT("'"&amp;H$14&amp;"'!B2:B1000")=$B21) * (INDIRECT("'"&amp;H$14&amp;"'!C2:C1000")=$C21)
        ),
        5,
        FALSE
    )=0,
    "",
    VLOOKUP(
        $A21,
        _xlfn._xlws.FILTER(
            INDIRECT("'"&amp;H$14&amp;"'!A2:E1000"), (INDIRECT("'"&amp;H$14&amp;"'!B2:B1000")=$B21) * (INDIRECT("'"&amp;H$14&amp;"'!C2:C1000")=$C21)
        ),
        5,
        FALSE
    )
)</f>
        <v/>
      </c>
      <c r="I21" s="103">
        <f t="array" ref="I21">IF(
    VLOOKUP(
        $A21,
        _xlfn._xlws.FILTER(
            INDIRECT("'"&amp;I$14&amp;"'!A2:E1000"), (INDIRECT("'"&amp;I$14&amp;"'!B2:B1000")=$B21) * (INDIRECT("'"&amp;I$14&amp;"'!C2:C1000")=$C21)
        ),
        5,
        FALSE
    )=0,
    "",
    VLOOKUP(
        $A21,
        _xlfn._xlws.FILTER(
            INDIRECT("'"&amp;I$14&amp;"'!A2:E1000"), (INDIRECT("'"&amp;I$14&amp;"'!B2:B1000")=$B21) * (INDIRECT("'"&amp;I$14&amp;"'!C2:C1000")=$C21)
        ),
        5,
        FALSE
    )
)</f>
        <v/>
      </c>
      <c r="J21" s="103">
        <f t="array" ref="J21">IF(
    VLOOKUP(
        $A21,
        _xlfn._xlws.FILTER(
            INDIRECT("'"&amp;J$14&amp;"'!A2:E1000"), (INDIRECT("'"&amp;J$14&amp;"'!B2:B1000")=$B21) * (INDIRECT("'"&amp;J$14&amp;"'!C2:C1000")=$C21)
        ),
        5,
        FALSE
    )=0,
    "",
    VLOOKUP(
        $A21,
        _xlfn._xlws.FILTER(
            INDIRECT("'"&amp;J$14&amp;"'!A2:E1000"), (INDIRECT("'"&amp;J$14&amp;"'!B2:B1000")=$B21) * (INDIRECT("'"&amp;J$14&amp;"'!C2:C1000")=$C21)
        ),
        5,
        FALSE
    )
)</f>
        <v/>
      </c>
      <c r="K21" s="103">
        <f t="array" ref="K21">IF(
    VLOOKUP(
        $A21,
        _xlfn._xlws.FILTER(
            INDIRECT("'"&amp;K$14&amp;"'!A2:E1000"), (INDIRECT("'"&amp;K$14&amp;"'!B2:B1000")=$B21) * (INDIRECT("'"&amp;K$14&amp;"'!C2:C1000")=$C21)
        ),
        5,
        FALSE
    )=0,
    "",
    VLOOKUP(
        $A21,
        _xlfn._xlws.FILTER(
            INDIRECT("'"&amp;K$14&amp;"'!A2:E1000"), (INDIRECT("'"&amp;K$14&amp;"'!B2:B1000")=$B21) * (INDIRECT("'"&amp;K$14&amp;"'!C2:C1000")=$C21)
        ),
        5,
        FALSE
    )
)</f>
        <v/>
      </c>
      <c r="L21" s="103">
        <f t="array" ref="L21">IF(
    VLOOKUP(
        $A21,
        _xlfn._xlws.FILTER(
            INDIRECT("'"&amp;L$14&amp;"'!A2:E1000"), (INDIRECT("'"&amp;L$14&amp;"'!B2:B1000")=$B21) * (INDIRECT("'"&amp;L$14&amp;"'!C2:C1000")=$C21)
        ),
        5,
        FALSE
    )=0,
    "",
    VLOOKUP(
        $A21,
        _xlfn._xlws.FILTER(
            INDIRECT("'"&amp;L$14&amp;"'!A2:E1000"), (INDIRECT("'"&amp;L$14&amp;"'!B2:B1000")=$B21) * (INDIRECT("'"&amp;L$14&amp;"'!C2:C1000")=$C21)
        ),
        5,
        FALSE
    )
)</f>
        <v/>
      </c>
      <c r="M21" s="103">
        <f t="array" ref="M21">IF(
    VLOOKUP(
        $A21,
        _xlfn._xlws.FILTER(
            INDIRECT("'"&amp;M$14&amp;"'!A2:E1000"), (INDIRECT("'"&amp;M$14&amp;"'!B2:B1000")=$B21) * (INDIRECT("'"&amp;M$14&amp;"'!C2:C1000")=$C21)
        ),
        5,
        FALSE
    )=0,
    "",
    VLOOKUP(
        $A21,
        _xlfn._xlws.FILTER(
            INDIRECT("'"&amp;M$14&amp;"'!A2:E1000"), (INDIRECT("'"&amp;M$14&amp;"'!B2:B1000")=$B21) * (INDIRECT("'"&amp;M$14&amp;"'!C2:C1000")=$C21)
        ),
        5,
        FALSE
    )
)</f>
        <v/>
      </c>
      <c r="N21" s="103">
        <f t="array" ref="N21">IF(
    VLOOKUP(
        $A21,
        _xlfn._xlws.FILTER(
            INDIRECT("'"&amp;N$14&amp;"'!A2:E1000"), (INDIRECT("'"&amp;N$14&amp;"'!B2:B1000")=$B21) * (INDIRECT("'"&amp;N$14&amp;"'!C2:C1000")=$C21)
        ),
        5,
        FALSE
    )=0,
    "",
    VLOOKUP(
        $A21,
        _xlfn._xlws.FILTER(
            INDIRECT("'"&amp;N$14&amp;"'!A2:E1000"), (INDIRECT("'"&amp;N$14&amp;"'!B2:B1000")=$B21) * (INDIRECT("'"&amp;N$14&amp;"'!C2:C1000")=$C21)
        ),
        5,
        FALSE
    )
)</f>
        <v/>
      </c>
      <c r="O21" s="103">
        <f t="array" ref="O21">IF(
    VLOOKUP(
        $A21,
        _xlfn._xlws.FILTER(
            INDIRECT("'"&amp;O$14&amp;"'!A2:E1000"), (INDIRECT("'"&amp;O$14&amp;"'!B2:B1000")=$B21) * (INDIRECT("'"&amp;O$14&amp;"'!C2:C1000")=$C21)
        ),
        5,
        FALSE
    )=0,
    "",
    VLOOKUP(
        $A21,
        _xlfn._xlws.FILTER(
            INDIRECT("'"&amp;O$14&amp;"'!A2:E1000"), (INDIRECT("'"&amp;O$14&amp;"'!B2:B1000")=$B21) * (INDIRECT("'"&amp;O$14&amp;"'!C2:C1000")=$C21)
        ),
        5,
        FALSE
    )
)</f>
        <v/>
      </c>
      <c r="P21" s="103">
        <f t="array" ref="P21">IF(
    VLOOKUP(
        $A21,
        _xlfn._xlws.FILTER(
            INDIRECT("'"&amp;P$14&amp;"'!A2:E1000"), (INDIRECT("'"&amp;P$14&amp;"'!B2:B1000")=$B21) * (INDIRECT("'"&amp;P$14&amp;"'!C2:C1000")=$C21)
        ),
        5,
        FALSE
    )=0,
    "",
    VLOOKUP(
        $A21,
        _xlfn._xlws.FILTER(
            INDIRECT("'"&amp;P$14&amp;"'!A2:E1000"), (INDIRECT("'"&amp;P$14&amp;"'!B2:B1000")=$B21) * (INDIRECT("'"&amp;P$14&amp;"'!C2:C1000")=$C21)
        ),
        5,
        FALSE
    )
)</f>
        <v/>
      </c>
      <c r="Q21" s="103">
        <f t="array" ref="Q21">IF(
    VLOOKUP(
        $A21,
        _xlfn._xlws.FILTER(
            INDIRECT("'"&amp;Q$14&amp;"'!A2:E1000"), (INDIRECT("'"&amp;Q$14&amp;"'!B2:B1000")=$B21) * (INDIRECT("'"&amp;Q$14&amp;"'!C2:C1000")=$C21)
        ),
        5,
        FALSE
    )=0,
    "",
    VLOOKUP(
        $A21,
        _xlfn._xlws.FILTER(
            INDIRECT("'"&amp;Q$14&amp;"'!A2:E1000"), (INDIRECT("'"&amp;Q$14&amp;"'!B2:B1000")=$B21) * (INDIRECT("'"&amp;Q$14&amp;"'!C2:C1000")=$C21)
        ),
        5,
        FALSE
    )
)</f>
        <v/>
      </c>
    </row>
    <row r="22" ht="15.75" customHeight="1">
      <c r="A22" s="106" t="inlineStr">
        <is>
          <t>Gabriel</t>
        </is>
      </c>
      <c r="B22" s="50" t="inlineStr">
        <is>
          <t>Quatro Pontes</t>
        </is>
      </c>
      <c r="C22" s="50" t="n">
        <v>1</v>
      </c>
      <c r="D22" s="103">
        <f t="array" ref="D22">IF(
    VLOOKUP(
        $A22,
        _xlfn._xlws.FILTER(
            INDIRECT("'"&amp;D$14&amp;"'!A2:E1000"), (INDIRECT("'"&amp;D$14&amp;"'!B2:B1000")=$B22) * (INDIRECT("'"&amp;D$14&amp;"'!C2:C1000")=$C22)
        ),
        5,
        FALSE
    )=0,
    "",
    VLOOKUP(
        $A22,
        _xlfn._xlws.FILTER(
            INDIRECT("'"&amp;D$14&amp;"'!A2:E1000"), (INDIRECT("'"&amp;D$14&amp;"'!B2:B1000")=$B22) * (INDIRECT("'"&amp;D$14&amp;"'!C2:C1000")=$C22)
        ),
        5,
        FALSE
    )
)</f>
        <v/>
      </c>
      <c r="E22" s="103">
        <f t="array" ref="E22">IF(
    VLOOKUP(
        $A22,
        _xlfn._xlws.FILTER(
            INDIRECT("'"&amp;E$14&amp;"'!A2:E1000"), (INDIRECT("'"&amp;E$14&amp;"'!B2:B1000")=$B22) * (INDIRECT("'"&amp;E$14&amp;"'!C2:C1000")=$C22)
        ),
        5,
        FALSE
    )=0,
    "",
    VLOOKUP(
        $A22,
        _xlfn._xlws.FILTER(
            INDIRECT("'"&amp;E$14&amp;"'!A2:E1000"), (INDIRECT("'"&amp;E$14&amp;"'!B2:B1000")=$B22) * (INDIRECT("'"&amp;E$14&amp;"'!C2:C1000")=$C22)
        ),
        5,
        FALSE
    )
)</f>
        <v/>
      </c>
      <c r="F22" s="103">
        <f t="array" ref="F22">IF(
    VLOOKUP(
        $A22,
        _xlfn._xlws.FILTER(
            INDIRECT("'"&amp;F$14&amp;"'!A2:E1000"), (INDIRECT("'"&amp;F$14&amp;"'!B2:B1000")=$B22) * (INDIRECT("'"&amp;F$14&amp;"'!C2:C1000")=$C22)
        ),
        5,
        FALSE
    )=0,
    "",
    VLOOKUP(
        $A22,
        _xlfn._xlws.FILTER(
            INDIRECT("'"&amp;F$14&amp;"'!A2:E1000"), (INDIRECT("'"&amp;F$14&amp;"'!B2:B1000")=$B22) * (INDIRECT("'"&amp;F$14&amp;"'!C2:C1000")=$C22)
        ),
        5,
        FALSE
    )
)</f>
        <v/>
      </c>
      <c r="G22" s="103">
        <f t="array" ref="G22">IF(
    VLOOKUP(
        $A22,
        _xlfn._xlws.FILTER(
            INDIRECT("'"&amp;G$14&amp;"'!A2:E1000"), (INDIRECT("'"&amp;G$14&amp;"'!B2:B1000")=$B22) * (INDIRECT("'"&amp;G$14&amp;"'!C2:C1000")=$C22)
        ),
        5,
        FALSE
    )=0,
    "",
    VLOOKUP(
        $A22,
        _xlfn._xlws.FILTER(
            INDIRECT("'"&amp;G$14&amp;"'!A2:E1000"), (INDIRECT("'"&amp;G$14&amp;"'!B2:B1000")=$B22) * (INDIRECT("'"&amp;G$14&amp;"'!C2:C1000")=$C22)
        ),
        5,
        FALSE
    )
)</f>
        <v/>
      </c>
      <c r="H22" s="103">
        <f t="array" ref="H22">IF(
    VLOOKUP(
        $A22,
        _xlfn._xlws.FILTER(
            INDIRECT("'"&amp;H$14&amp;"'!A2:E1000"), (INDIRECT("'"&amp;H$14&amp;"'!B2:B1000")=$B22) * (INDIRECT("'"&amp;H$14&amp;"'!C2:C1000")=$C22)
        ),
        5,
        FALSE
    )=0,
    "",
    VLOOKUP(
        $A22,
        _xlfn._xlws.FILTER(
            INDIRECT("'"&amp;H$14&amp;"'!A2:E1000"), (INDIRECT("'"&amp;H$14&amp;"'!B2:B1000")=$B22) * (INDIRECT("'"&amp;H$14&amp;"'!C2:C1000")=$C22)
        ),
        5,
        FALSE
    )
)</f>
        <v/>
      </c>
      <c r="I22" s="103">
        <f t="array" ref="I22">IF(
    VLOOKUP(
        $A22,
        _xlfn._xlws.FILTER(
            INDIRECT("'"&amp;I$14&amp;"'!A2:E1000"), (INDIRECT("'"&amp;I$14&amp;"'!B2:B1000")=$B22) * (INDIRECT("'"&amp;I$14&amp;"'!C2:C1000")=$C22)
        ),
        5,
        FALSE
    )=0,
    "",
    VLOOKUP(
        $A22,
        _xlfn._xlws.FILTER(
            INDIRECT("'"&amp;I$14&amp;"'!A2:E1000"), (INDIRECT("'"&amp;I$14&amp;"'!B2:B1000")=$B22) * (INDIRECT("'"&amp;I$14&amp;"'!C2:C1000")=$C22)
        ),
        5,
        FALSE
    )
)</f>
        <v/>
      </c>
      <c r="J22" s="103">
        <f t="array" ref="J22">IF(
    VLOOKUP(
        $A22,
        _xlfn._xlws.FILTER(
            INDIRECT("'"&amp;J$14&amp;"'!A2:E1000"), (INDIRECT("'"&amp;J$14&amp;"'!B2:B1000")=$B22) * (INDIRECT("'"&amp;J$14&amp;"'!C2:C1000")=$C22)
        ),
        5,
        FALSE
    )=0,
    "",
    VLOOKUP(
        $A22,
        _xlfn._xlws.FILTER(
            INDIRECT("'"&amp;J$14&amp;"'!A2:E1000"), (INDIRECT("'"&amp;J$14&amp;"'!B2:B1000")=$B22) * (INDIRECT("'"&amp;J$14&amp;"'!C2:C1000")=$C22)
        ),
        5,
        FALSE
    )
)</f>
        <v/>
      </c>
      <c r="K22" s="103">
        <f t="array" ref="K22">IF(
    VLOOKUP(
        $A22,
        _xlfn._xlws.FILTER(
            INDIRECT("'"&amp;K$14&amp;"'!A2:E1000"), (INDIRECT("'"&amp;K$14&amp;"'!B2:B1000")=$B22) * (INDIRECT("'"&amp;K$14&amp;"'!C2:C1000")=$C22)
        ),
        5,
        FALSE
    )=0,
    "",
    VLOOKUP(
        $A22,
        _xlfn._xlws.FILTER(
            INDIRECT("'"&amp;K$14&amp;"'!A2:E1000"), (INDIRECT("'"&amp;K$14&amp;"'!B2:B1000")=$B22) * (INDIRECT("'"&amp;K$14&amp;"'!C2:C1000")=$C22)
        ),
        5,
        FALSE
    )
)</f>
        <v/>
      </c>
      <c r="L22" s="103">
        <f t="array" ref="L22">IF(
    VLOOKUP(
        $A22,
        _xlfn._xlws.FILTER(
            INDIRECT("'"&amp;L$14&amp;"'!A2:E1000"), (INDIRECT("'"&amp;L$14&amp;"'!B2:B1000")=$B22) * (INDIRECT("'"&amp;L$14&amp;"'!C2:C1000")=$C22)
        ),
        5,
        FALSE
    )=0,
    "",
    VLOOKUP(
        $A22,
        _xlfn._xlws.FILTER(
            INDIRECT("'"&amp;L$14&amp;"'!A2:E1000"), (INDIRECT("'"&amp;L$14&amp;"'!B2:B1000")=$B22) * (INDIRECT("'"&amp;L$14&amp;"'!C2:C1000")=$C22)
        ),
        5,
        FALSE
    )
)</f>
        <v/>
      </c>
      <c r="M22" s="103">
        <f t="array" ref="M22">IF(
    VLOOKUP(
        $A22,
        _xlfn._xlws.FILTER(
            INDIRECT("'"&amp;M$14&amp;"'!A2:E1000"), (INDIRECT("'"&amp;M$14&amp;"'!B2:B1000")=$B22) * (INDIRECT("'"&amp;M$14&amp;"'!C2:C1000")=$C22)
        ),
        5,
        FALSE
    )=0,
    "",
    VLOOKUP(
        $A22,
        _xlfn._xlws.FILTER(
            INDIRECT("'"&amp;M$14&amp;"'!A2:E1000"), (INDIRECT("'"&amp;M$14&amp;"'!B2:B1000")=$B22) * (INDIRECT("'"&amp;M$14&amp;"'!C2:C1000")=$C22)
        ),
        5,
        FALSE
    )
)</f>
        <v/>
      </c>
      <c r="N22" s="103">
        <f t="array" ref="N22">IF(
    VLOOKUP(
        $A22,
        _xlfn._xlws.FILTER(
            INDIRECT("'"&amp;N$14&amp;"'!A2:E1000"), (INDIRECT("'"&amp;N$14&amp;"'!B2:B1000")=$B22) * (INDIRECT("'"&amp;N$14&amp;"'!C2:C1000")=$C22)
        ),
        5,
        FALSE
    )=0,
    "",
    VLOOKUP(
        $A22,
        _xlfn._xlws.FILTER(
            INDIRECT("'"&amp;N$14&amp;"'!A2:E1000"), (INDIRECT("'"&amp;N$14&amp;"'!B2:B1000")=$B22) * (INDIRECT("'"&amp;N$14&amp;"'!C2:C1000")=$C22)
        ),
        5,
        FALSE
    )
)</f>
        <v/>
      </c>
      <c r="O22" s="103">
        <f t="array" ref="O22">IF(
    VLOOKUP(
        $A22,
        _xlfn._xlws.FILTER(
            INDIRECT("'"&amp;O$14&amp;"'!A2:E1000"), (INDIRECT("'"&amp;O$14&amp;"'!B2:B1000")=$B22) * (INDIRECT("'"&amp;O$14&amp;"'!C2:C1000")=$C22)
        ),
        5,
        FALSE
    )=0,
    "",
    VLOOKUP(
        $A22,
        _xlfn._xlws.FILTER(
            INDIRECT("'"&amp;O$14&amp;"'!A2:E1000"), (INDIRECT("'"&amp;O$14&amp;"'!B2:B1000")=$B22) * (INDIRECT("'"&amp;O$14&amp;"'!C2:C1000")=$C22)
        ),
        5,
        FALSE
    )
)</f>
        <v/>
      </c>
      <c r="P22" s="103">
        <f t="array" ref="P22">IF(
    VLOOKUP(
        $A22,
        _xlfn._xlws.FILTER(
            INDIRECT("'"&amp;P$14&amp;"'!A2:E1000"), (INDIRECT("'"&amp;P$14&amp;"'!B2:B1000")=$B22) * (INDIRECT("'"&amp;P$14&amp;"'!C2:C1000")=$C22)
        ),
        5,
        FALSE
    )=0,
    "",
    VLOOKUP(
        $A22,
        _xlfn._xlws.FILTER(
            INDIRECT("'"&amp;P$14&amp;"'!A2:E1000"), (INDIRECT("'"&amp;P$14&amp;"'!B2:B1000")=$B22) * (INDIRECT("'"&amp;P$14&amp;"'!C2:C1000")=$C22)
        ),
        5,
        FALSE
    )
)</f>
        <v/>
      </c>
      <c r="Q22" s="103">
        <f t="array" ref="Q22">IF(
    VLOOKUP(
        $A22,
        _xlfn._xlws.FILTER(
            INDIRECT("'"&amp;Q$14&amp;"'!A2:E1000"), (INDIRECT("'"&amp;Q$14&amp;"'!B2:B1000")=$B22) * (INDIRECT("'"&amp;Q$14&amp;"'!C2:C1000")=$C22)
        ),
        5,
        FALSE
    )=0,
    "",
    VLOOKUP(
        $A22,
        _xlfn._xlws.FILTER(
            INDIRECT("'"&amp;Q$14&amp;"'!A2:E1000"), (INDIRECT("'"&amp;Q$14&amp;"'!B2:B1000")=$B22) * (INDIRECT("'"&amp;Q$14&amp;"'!C2:C1000")=$C22)
        ),
        5,
        FALSE
    )
)</f>
        <v/>
      </c>
    </row>
    <row r="23" ht="15.75" customHeight="1">
      <c r="A23" s="106" t="inlineStr">
        <is>
          <t>Gabriel</t>
        </is>
      </c>
      <c r="B23" s="50" t="inlineStr">
        <is>
          <t>São Jose das Palmeiras</t>
        </is>
      </c>
      <c r="C23" s="50" t="n">
        <v>1</v>
      </c>
      <c r="D23" s="103">
        <f t="array" ref="D23">IF(
    VLOOKUP(
        $A23,
        _xlfn._xlws.FILTER(
            INDIRECT("'"&amp;D$14&amp;"'!A2:E1000"), (INDIRECT("'"&amp;D$14&amp;"'!B2:B1000")=$B23) * (INDIRECT("'"&amp;D$14&amp;"'!C2:C1000")=$C23)
        ),
        5,
        FALSE
    )=0,
    "",
    VLOOKUP(
        $A23,
        _xlfn._xlws.FILTER(
            INDIRECT("'"&amp;D$14&amp;"'!A2:E1000"), (INDIRECT("'"&amp;D$14&amp;"'!B2:B1000")=$B23) * (INDIRECT("'"&amp;D$14&amp;"'!C2:C1000")=$C23)
        ),
        5,
        FALSE
    )
)</f>
        <v/>
      </c>
      <c r="E23" s="103">
        <f t="array" ref="E23">IF(
    VLOOKUP(
        $A23,
        _xlfn._xlws.FILTER(
            INDIRECT("'"&amp;E$14&amp;"'!A2:E1000"), (INDIRECT("'"&amp;E$14&amp;"'!B2:B1000")=$B23) * (INDIRECT("'"&amp;E$14&amp;"'!C2:C1000")=$C23)
        ),
        5,
        FALSE
    )=0,
    "",
    VLOOKUP(
        $A23,
        _xlfn._xlws.FILTER(
            INDIRECT("'"&amp;E$14&amp;"'!A2:E1000"), (INDIRECT("'"&amp;E$14&amp;"'!B2:B1000")=$B23) * (INDIRECT("'"&amp;E$14&amp;"'!C2:C1000")=$C23)
        ),
        5,
        FALSE
    )
)</f>
        <v/>
      </c>
      <c r="F23" s="103">
        <f t="array" ref="F23">IF(
    VLOOKUP(
        $A23,
        _xlfn._xlws.FILTER(
            INDIRECT("'"&amp;F$14&amp;"'!A2:E1000"), (INDIRECT("'"&amp;F$14&amp;"'!B2:B1000")=$B23) * (INDIRECT("'"&amp;F$14&amp;"'!C2:C1000")=$C23)
        ),
        5,
        FALSE
    )=0,
    "",
    VLOOKUP(
        $A23,
        _xlfn._xlws.FILTER(
            INDIRECT("'"&amp;F$14&amp;"'!A2:E1000"), (INDIRECT("'"&amp;F$14&amp;"'!B2:B1000")=$B23) * (INDIRECT("'"&amp;F$14&amp;"'!C2:C1000")=$C23)
        ),
        5,
        FALSE
    )
)</f>
        <v/>
      </c>
      <c r="G23" s="103">
        <f t="array" ref="G23">IF(
    VLOOKUP(
        $A23,
        _xlfn._xlws.FILTER(
            INDIRECT("'"&amp;G$14&amp;"'!A2:E1000"), (INDIRECT("'"&amp;G$14&amp;"'!B2:B1000")=$B23) * (INDIRECT("'"&amp;G$14&amp;"'!C2:C1000")=$C23)
        ),
        5,
        FALSE
    )=0,
    "",
    VLOOKUP(
        $A23,
        _xlfn._xlws.FILTER(
            INDIRECT("'"&amp;G$14&amp;"'!A2:E1000"), (INDIRECT("'"&amp;G$14&amp;"'!B2:B1000")=$B23) * (INDIRECT("'"&amp;G$14&amp;"'!C2:C1000")=$C23)
        ),
        5,
        FALSE
    )
)</f>
        <v/>
      </c>
      <c r="H23" s="103">
        <f t="array" ref="H23">IF(
    VLOOKUP(
        $A23,
        _xlfn._xlws.FILTER(
            INDIRECT("'"&amp;H$14&amp;"'!A2:E1000"), (INDIRECT("'"&amp;H$14&amp;"'!B2:B1000")=$B23) * (INDIRECT("'"&amp;H$14&amp;"'!C2:C1000")=$C23)
        ),
        5,
        FALSE
    )=0,
    "",
    VLOOKUP(
        $A23,
        _xlfn._xlws.FILTER(
            INDIRECT("'"&amp;H$14&amp;"'!A2:E1000"), (INDIRECT("'"&amp;H$14&amp;"'!B2:B1000")=$B23) * (INDIRECT("'"&amp;H$14&amp;"'!C2:C1000")=$C23)
        ),
        5,
        FALSE
    )
)</f>
        <v/>
      </c>
      <c r="I23" s="103">
        <f t="array" ref="I23">IF(
    VLOOKUP(
        $A23,
        _xlfn._xlws.FILTER(
            INDIRECT("'"&amp;I$14&amp;"'!A2:E1000"), (INDIRECT("'"&amp;I$14&amp;"'!B2:B1000")=$B23) * (INDIRECT("'"&amp;I$14&amp;"'!C2:C1000")=$C23)
        ),
        5,
        FALSE
    )=0,
    "",
    VLOOKUP(
        $A23,
        _xlfn._xlws.FILTER(
            INDIRECT("'"&amp;I$14&amp;"'!A2:E1000"), (INDIRECT("'"&amp;I$14&amp;"'!B2:B1000")=$B23) * (INDIRECT("'"&amp;I$14&amp;"'!C2:C1000")=$C23)
        ),
        5,
        FALSE
    )
)</f>
        <v/>
      </c>
      <c r="J23" s="103">
        <f t="array" ref="J23">IF(
    VLOOKUP(
        $A23,
        _xlfn._xlws.FILTER(
            INDIRECT("'"&amp;J$14&amp;"'!A2:E1000"), (INDIRECT("'"&amp;J$14&amp;"'!B2:B1000")=$B23) * (INDIRECT("'"&amp;J$14&amp;"'!C2:C1000")=$C23)
        ),
        5,
        FALSE
    )=0,
    "",
    VLOOKUP(
        $A23,
        _xlfn._xlws.FILTER(
            INDIRECT("'"&amp;J$14&amp;"'!A2:E1000"), (INDIRECT("'"&amp;J$14&amp;"'!B2:B1000")=$B23) * (INDIRECT("'"&amp;J$14&amp;"'!C2:C1000")=$C23)
        ),
        5,
        FALSE
    )
)</f>
        <v/>
      </c>
      <c r="K23" s="103">
        <f t="array" ref="K23">IF(
    VLOOKUP(
        $A23,
        _xlfn._xlws.FILTER(
            INDIRECT("'"&amp;K$14&amp;"'!A2:E1000"), (INDIRECT("'"&amp;K$14&amp;"'!B2:B1000")=$B23) * (INDIRECT("'"&amp;K$14&amp;"'!C2:C1000")=$C23)
        ),
        5,
        FALSE
    )=0,
    "",
    VLOOKUP(
        $A23,
        _xlfn._xlws.FILTER(
            INDIRECT("'"&amp;K$14&amp;"'!A2:E1000"), (INDIRECT("'"&amp;K$14&amp;"'!B2:B1000")=$B23) * (INDIRECT("'"&amp;K$14&amp;"'!C2:C1000")=$C23)
        ),
        5,
        FALSE
    )
)</f>
        <v/>
      </c>
      <c r="L23" s="103">
        <f t="array" ref="L23">IF(
    VLOOKUP(
        $A23,
        _xlfn._xlws.FILTER(
            INDIRECT("'"&amp;L$14&amp;"'!A2:E1000"), (INDIRECT("'"&amp;L$14&amp;"'!B2:B1000")=$B23) * (INDIRECT("'"&amp;L$14&amp;"'!C2:C1000")=$C23)
        ),
        5,
        FALSE
    )=0,
    "",
    VLOOKUP(
        $A23,
        _xlfn._xlws.FILTER(
            INDIRECT("'"&amp;L$14&amp;"'!A2:E1000"), (INDIRECT("'"&amp;L$14&amp;"'!B2:B1000")=$B23) * (INDIRECT("'"&amp;L$14&amp;"'!C2:C1000")=$C23)
        ),
        5,
        FALSE
    )
)</f>
        <v/>
      </c>
      <c r="M23" s="103">
        <f t="array" ref="M23">IF(
    VLOOKUP(
        $A23,
        _xlfn._xlws.FILTER(
            INDIRECT("'"&amp;M$14&amp;"'!A2:E1000"), (INDIRECT("'"&amp;M$14&amp;"'!B2:B1000")=$B23) * (INDIRECT("'"&amp;M$14&amp;"'!C2:C1000")=$C23)
        ),
        5,
        FALSE
    )=0,
    "",
    VLOOKUP(
        $A23,
        _xlfn._xlws.FILTER(
            INDIRECT("'"&amp;M$14&amp;"'!A2:E1000"), (INDIRECT("'"&amp;M$14&amp;"'!B2:B1000")=$B23) * (INDIRECT("'"&amp;M$14&amp;"'!C2:C1000")=$C23)
        ),
        5,
        FALSE
    )
)</f>
        <v/>
      </c>
      <c r="N23" s="103">
        <f t="array" ref="N23">IF(
    VLOOKUP(
        $A23,
        _xlfn._xlws.FILTER(
            INDIRECT("'"&amp;N$14&amp;"'!A2:E1000"), (INDIRECT("'"&amp;N$14&amp;"'!B2:B1000")=$B23) * (INDIRECT("'"&amp;N$14&amp;"'!C2:C1000")=$C23)
        ),
        5,
        FALSE
    )=0,
    "",
    VLOOKUP(
        $A23,
        _xlfn._xlws.FILTER(
            INDIRECT("'"&amp;N$14&amp;"'!A2:E1000"), (INDIRECT("'"&amp;N$14&amp;"'!B2:B1000")=$B23) * (INDIRECT("'"&amp;N$14&amp;"'!C2:C1000")=$C23)
        ),
        5,
        FALSE
    )
)</f>
        <v/>
      </c>
      <c r="O23" s="103">
        <f t="array" ref="O23">IF(
    VLOOKUP(
        $A23,
        _xlfn._xlws.FILTER(
            INDIRECT("'"&amp;O$14&amp;"'!A2:E1000"), (INDIRECT("'"&amp;O$14&amp;"'!B2:B1000")=$B23) * (INDIRECT("'"&amp;O$14&amp;"'!C2:C1000")=$C23)
        ),
        5,
        FALSE
    )=0,
    "",
    VLOOKUP(
        $A23,
        _xlfn._xlws.FILTER(
            INDIRECT("'"&amp;O$14&amp;"'!A2:E1000"), (INDIRECT("'"&amp;O$14&amp;"'!B2:B1000")=$B23) * (INDIRECT("'"&amp;O$14&amp;"'!C2:C1000")=$C23)
        ),
        5,
        FALSE
    )
)</f>
        <v/>
      </c>
      <c r="P23" s="103">
        <f t="array" ref="P23">IF(
    VLOOKUP(
        $A23,
        _xlfn._xlws.FILTER(
            INDIRECT("'"&amp;P$14&amp;"'!A2:E1000"), (INDIRECT("'"&amp;P$14&amp;"'!B2:B1000")=$B23) * (INDIRECT("'"&amp;P$14&amp;"'!C2:C1000")=$C23)
        ),
        5,
        FALSE
    )=0,
    "",
    VLOOKUP(
        $A23,
        _xlfn._xlws.FILTER(
            INDIRECT("'"&amp;P$14&amp;"'!A2:E1000"), (INDIRECT("'"&amp;P$14&amp;"'!B2:B1000")=$B23) * (INDIRECT("'"&amp;P$14&amp;"'!C2:C1000")=$C23)
        ),
        5,
        FALSE
    )
)</f>
        <v/>
      </c>
      <c r="Q23" s="103">
        <f t="array" ref="Q23">IF(
    VLOOKUP(
        $A23,
        _xlfn._xlws.FILTER(
            INDIRECT("'"&amp;Q$14&amp;"'!A2:E1000"), (INDIRECT("'"&amp;Q$14&amp;"'!B2:B1000")=$B23) * (INDIRECT("'"&amp;Q$14&amp;"'!C2:C1000")=$C23)
        ),
        5,
        FALSE
    )=0,
    "",
    VLOOKUP(
        $A23,
        _xlfn._xlws.FILTER(
            INDIRECT("'"&amp;Q$14&amp;"'!A2:E1000"), (INDIRECT("'"&amp;Q$14&amp;"'!B2:B1000")=$B23) * (INDIRECT("'"&amp;Q$14&amp;"'!C2:C1000")=$C23)
        ),
        5,
        FALSE
    )
)</f>
        <v/>
      </c>
    </row>
    <row r="24" ht="15.75" customHeight="1">
      <c r="A24" s="106" t="inlineStr">
        <is>
          <t>Gabriel</t>
        </is>
      </c>
      <c r="B24" s="50" t="inlineStr">
        <is>
          <t>Terra Roxa</t>
        </is>
      </c>
      <c r="C24" s="50" t="n">
        <v>1</v>
      </c>
      <c r="D24" s="103">
        <f t="array" ref="D24">IF(
    VLOOKUP(
        $A24,
        _xlfn._xlws.FILTER(
            INDIRECT("'"&amp;D$14&amp;"'!A2:E1000"), (INDIRECT("'"&amp;D$14&amp;"'!B2:B1000")=$B24) * (INDIRECT("'"&amp;D$14&amp;"'!C2:C1000")=$C24)
        ),
        5,
        FALSE
    )=0,
    "",
    VLOOKUP(
        $A24,
        _xlfn._xlws.FILTER(
            INDIRECT("'"&amp;D$14&amp;"'!A2:E1000"), (INDIRECT("'"&amp;D$14&amp;"'!B2:B1000")=$B24) * (INDIRECT("'"&amp;D$14&amp;"'!C2:C1000")=$C24)
        ),
        5,
        FALSE
    )
)</f>
        <v/>
      </c>
      <c r="E24" s="103">
        <f t="array" ref="E24">IF(
    VLOOKUP(
        $A24,
        _xlfn._xlws.FILTER(
            INDIRECT("'"&amp;E$14&amp;"'!A2:E1000"), (INDIRECT("'"&amp;E$14&amp;"'!B2:B1000")=$B24) * (INDIRECT("'"&amp;E$14&amp;"'!C2:C1000")=$C24)
        ),
        5,
        FALSE
    )=0,
    "",
    VLOOKUP(
        $A24,
        _xlfn._xlws.FILTER(
            INDIRECT("'"&amp;E$14&amp;"'!A2:E1000"), (INDIRECT("'"&amp;E$14&amp;"'!B2:B1000")=$B24) * (INDIRECT("'"&amp;E$14&amp;"'!C2:C1000")=$C24)
        ),
        5,
        FALSE
    )
)</f>
        <v/>
      </c>
      <c r="F24" s="103">
        <f t="array" ref="F24">IF(
    VLOOKUP(
        $A24,
        _xlfn._xlws.FILTER(
            INDIRECT("'"&amp;F$14&amp;"'!A2:E1000"), (INDIRECT("'"&amp;F$14&amp;"'!B2:B1000")=$B24) * (INDIRECT("'"&amp;F$14&amp;"'!C2:C1000")=$C24)
        ),
        5,
        FALSE
    )=0,
    "",
    VLOOKUP(
        $A24,
        _xlfn._xlws.FILTER(
            INDIRECT("'"&amp;F$14&amp;"'!A2:E1000"), (INDIRECT("'"&amp;F$14&amp;"'!B2:B1000")=$B24) * (INDIRECT("'"&amp;F$14&amp;"'!C2:C1000")=$C24)
        ),
        5,
        FALSE
    )
)</f>
        <v/>
      </c>
      <c r="G24" s="103">
        <f t="array" ref="G24">IF(
    VLOOKUP(
        $A24,
        _xlfn._xlws.FILTER(
            INDIRECT("'"&amp;G$14&amp;"'!A2:E1000"), (INDIRECT("'"&amp;G$14&amp;"'!B2:B1000")=$B24) * (INDIRECT("'"&amp;G$14&amp;"'!C2:C1000")=$C24)
        ),
        5,
        FALSE
    )=0,
    "",
    VLOOKUP(
        $A24,
        _xlfn._xlws.FILTER(
            INDIRECT("'"&amp;G$14&amp;"'!A2:E1000"), (INDIRECT("'"&amp;G$14&amp;"'!B2:B1000")=$B24) * (INDIRECT("'"&amp;G$14&amp;"'!C2:C1000")=$C24)
        ),
        5,
        FALSE
    )
)</f>
        <v/>
      </c>
      <c r="H24" s="103">
        <f t="array" ref="H24">IF(
    VLOOKUP(
        $A24,
        _xlfn._xlws.FILTER(
            INDIRECT("'"&amp;H$14&amp;"'!A2:E1000"), (INDIRECT("'"&amp;H$14&amp;"'!B2:B1000")=$B24) * (INDIRECT("'"&amp;H$14&amp;"'!C2:C1000")=$C24)
        ),
        5,
        FALSE
    )=0,
    "",
    VLOOKUP(
        $A24,
        _xlfn._xlws.FILTER(
            INDIRECT("'"&amp;H$14&amp;"'!A2:E1000"), (INDIRECT("'"&amp;H$14&amp;"'!B2:B1000")=$B24) * (INDIRECT("'"&amp;H$14&amp;"'!C2:C1000")=$C24)
        ),
        5,
        FALSE
    )
)</f>
        <v/>
      </c>
      <c r="I24" s="103">
        <f t="array" ref="I24">IF(
    VLOOKUP(
        $A24,
        _xlfn._xlws.FILTER(
            INDIRECT("'"&amp;I$14&amp;"'!A2:E1000"), (INDIRECT("'"&amp;I$14&amp;"'!B2:B1000")=$B24) * (INDIRECT("'"&amp;I$14&amp;"'!C2:C1000")=$C24)
        ),
        5,
        FALSE
    )=0,
    "",
    VLOOKUP(
        $A24,
        _xlfn._xlws.FILTER(
            INDIRECT("'"&amp;I$14&amp;"'!A2:E1000"), (INDIRECT("'"&amp;I$14&amp;"'!B2:B1000")=$B24) * (INDIRECT("'"&amp;I$14&amp;"'!C2:C1000")=$C24)
        ),
        5,
        FALSE
    )
)</f>
        <v/>
      </c>
      <c r="J24" s="103">
        <f t="array" ref="J24">IF(
    VLOOKUP(
        $A24,
        _xlfn._xlws.FILTER(
            INDIRECT("'"&amp;J$14&amp;"'!A2:E1000"), (INDIRECT("'"&amp;J$14&amp;"'!B2:B1000")=$B24) * (INDIRECT("'"&amp;J$14&amp;"'!C2:C1000")=$C24)
        ),
        5,
        FALSE
    )=0,
    "",
    VLOOKUP(
        $A24,
        _xlfn._xlws.FILTER(
            INDIRECT("'"&amp;J$14&amp;"'!A2:E1000"), (INDIRECT("'"&amp;J$14&amp;"'!B2:B1000")=$B24) * (INDIRECT("'"&amp;J$14&amp;"'!C2:C1000")=$C24)
        ),
        5,
        FALSE
    )
)</f>
        <v/>
      </c>
      <c r="K24" s="103">
        <f t="array" ref="K24">IF(
    VLOOKUP(
        $A24,
        _xlfn._xlws.FILTER(
            INDIRECT("'"&amp;K$14&amp;"'!A2:E1000"), (INDIRECT("'"&amp;K$14&amp;"'!B2:B1000")=$B24) * (INDIRECT("'"&amp;K$14&amp;"'!C2:C1000")=$C24)
        ),
        5,
        FALSE
    )=0,
    "",
    VLOOKUP(
        $A24,
        _xlfn._xlws.FILTER(
            INDIRECT("'"&amp;K$14&amp;"'!A2:E1000"), (INDIRECT("'"&amp;K$14&amp;"'!B2:B1000")=$B24) * (INDIRECT("'"&amp;K$14&amp;"'!C2:C1000")=$C24)
        ),
        5,
        FALSE
    )
)</f>
        <v/>
      </c>
      <c r="L24" s="103">
        <f t="array" ref="L24">IF(
    VLOOKUP(
        $A24,
        _xlfn._xlws.FILTER(
            INDIRECT("'"&amp;L$14&amp;"'!A2:E1000"), (INDIRECT("'"&amp;L$14&amp;"'!B2:B1000")=$B24) * (INDIRECT("'"&amp;L$14&amp;"'!C2:C1000")=$C24)
        ),
        5,
        FALSE
    )=0,
    "",
    VLOOKUP(
        $A24,
        _xlfn._xlws.FILTER(
            INDIRECT("'"&amp;L$14&amp;"'!A2:E1000"), (INDIRECT("'"&amp;L$14&amp;"'!B2:B1000")=$B24) * (INDIRECT("'"&amp;L$14&amp;"'!C2:C1000")=$C24)
        ),
        5,
        FALSE
    )
)</f>
        <v/>
      </c>
      <c r="M24" s="103">
        <f t="array" ref="M24">IF(
    VLOOKUP(
        $A24,
        _xlfn._xlws.FILTER(
            INDIRECT("'"&amp;M$14&amp;"'!A2:E1000"), (INDIRECT("'"&amp;M$14&amp;"'!B2:B1000")=$B24) * (INDIRECT("'"&amp;M$14&amp;"'!C2:C1000")=$C24)
        ),
        5,
        FALSE
    )=0,
    "",
    VLOOKUP(
        $A24,
        _xlfn._xlws.FILTER(
            INDIRECT("'"&amp;M$14&amp;"'!A2:E1000"), (INDIRECT("'"&amp;M$14&amp;"'!B2:B1000")=$B24) * (INDIRECT("'"&amp;M$14&amp;"'!C2:C1000")=$C24)
        ),
        5,
        FALSE
    )
)</f>
        <v/>
      </c>
      <c r="N24" s="103">
        <f t="array" ref="N24">IF(
    VLOOKUP(
        $A24,
        _xlfn._xlws.FILTER(
            INDIRECT("'"&amp;N$14&amp;"'!A2:E1000"), (INDIRECT("'"&amp;N$14&amp;"'!B2:B1000")=$B24) * (INDIRECT("'"&amp;N$14&amp;"'!C2:C1000")=$C24)
        ),
        5,
        FALSE
    )=0,
    "",
    VLOOKUP(
        $A24,
        _xlfn._xlws.FILTER(
            INDIRECT("'"&amp;N$14&amp;"'!A2:E1000"), (INDIRECT("'"&amp;N$14&amp;"'!B2:B1000")=$B24) * (INDIRECT("'"&amp;N$14&amp;"'!C2:C1000")=$C24)
        ),
        5,
        FALSE
    )
)</f>
        <v/>
      </c>
      <c r="O24" s="103">
        <f t="array" ref="O24">IF(
    VLOOKUP(
        $A24,
        _xlfn._xlws.FILTER(
            INDIRECT("'"&amp;O$14&amp;"'!A2:E1000"), (INDIRECT("'"&amp;O$14&amp;"'!B2:B1000")=$B24) * (INDIRECT("'"&amp;O$14&amp;"'!C2:C1000")=$C24)
        ),
        5,
        FALSE
    )=0,
    "",
    VLOOKUP(
        $A24,
        _xlfn._xlws.FILTER(
            INDIRECT("'"&amp;O$14&amp;"'!A2:E1000"), (INDIRECT("'"&amp;O$14&amp;"'!B2:B1000")=$B24) * (INDIRECT("'"&amp;O$14&amp;"'!C2:C1000")=$C24)
        ),
        5,
        FALSE
    )
)</f>
        <v/>
      </c>
      <c r="P24" s="103">
        <f t="array" ref="P24">IF(
    VLOOKUP(
        $A24,
        _xlfn._xlws.FILTER(
            INDIRECT("'"&amp;P$14&amp;"'!A2:E1000"), (INDIRECT("'"&amp;P$14&amp;"'!B2:B1000")=$B24) * (INDIRECT("'"&amp;P$14&amp;"'!C2:C1000")=$C24)
        ),
        5,
        FALSE
    )=0,
    "",
    VLOOKUP(
        $A24,
        _xlfn._xlws.FILTER(
            INDIRECT("'"&amp;P$14&amp;"'!A2:E1000"), (INDIRECT("'"&amp;P$14&amp;"'!B2:B1000")=$B24) * (INDIRECT("'"&amp;P$14&amp;"'!C2:C1000")=$C24)
        ),
        5,
        FALSE
    )
)</f>
        <v/>
      </c>
      <c r="Q24" s="103">
        <f t="array" ref="Q24">IF(
    VLOOKUP(
        $A24,
        _xlfn._xlws.FILTER(
            INDIRECT("'"&amp;Q$14&amp;"'!A2:E1000"), (INDIRECT("'"&amp;Q$14&amp;"'!B2:B1000")=$B24) * (INDIRECT("'"&amp;Q$14&amp;"'!C2:C1000")=$C24)
        ),
        5,
        FALSE
    )=0,
    "",
    VLOOKUP(
        $A24,
        _xlfn._xlws.FILTER(
            INDIRECT("'"&amp;Q$14&amp;"'!A2:E1000"), (INDIRECT("'"&amp;Q$14&amp;"'!B2:B1000")=$B24) * (INDIRECT("'"&amp;Q$14&amp;"'!C2:C1000")=$C24)
        ),
        5,
        FALSE
    )
)</f>
        <v/>
      </c>
    </row>
    <row r="25" ht="15.75" customHeight="1">
      <c r="A25" s="106" t="inlineStr">
        <is>
          <t>Gabriel</t>
        </is>
      </c>
      <c r="B25" s="50" t="inlineStr">
        <is>
          <t>Toledo</t>
        </is>
      </c>
      <c r="C25" s="50" t="n">
        <v>1</v>
      </c>
      <c r="D25" s="103">
        <f t="array" ref="D25">IF(
    VLOOKUP(
        $A25,
        _xlfn._xlws.FILTER(
            INDIRECT("'"&amp;D$14&amp;"'!A2:E1000"), (INDIRECT("'"&amp;D$14&amp;"'!B2:B1000")=$B25) * (INDIRECT("'"&amp;D$14&amp;"'!C2:C1000")=$C25)
        ),
        5,
        FALSE
    )=0,
    "",
    VLOOKUP(
        $A25,
        _xlfn._xlws.FILTER(
            INDIRECT("'"&amp;D$14&amp;"'!A2:E1000"), (INDIRECT("'"&amp;D$14&amp;"'!B2:B1000")=$B25) * (INDIRECT("'"&amp;D$14&amp;"'!C2:C1000")=$C25)
        ),
        5,
        FALSE
    )
)</f>
        <v/>
      </c>
      <c r="E25" s="103">
        <f t="array" ref="E25">IF(
    VLOOKUP(
        $A25,
        _xlfn._xlws.FILTER(
            INDIRECT("'"&amp;E$14&amp;"'!A2:E1000"), (INDIRECT("'"&amp;E$14&amp;"'!B2:B1000")=$B25) * (INDIRECT("'"&amp;E$14&amp;"'!C2:C1000")=$C25)
        ),
        5,
        FALSE
    )=0,
    "",
    VLOOKUP(
        $A25,
        _xlfn._xlws.FILTER(
            INDIRECT("'"&amp;E$14&amp;"'!A2:E1000"), (INDIRECT("'"&amp;E$14&amp;"'!B2:B1000")=$B25) * (INDIRECT("'"&amp;E$14&amp;"'!C2:C1000")=$C25)
        ),
        5,
        FALSE
    )
)</f>
        <v/>
      </c>
      <c r="F25" s="103">
        <f t="array" ref="F25">IF(
    VLOOKUP(
        $A25,
        _xlfn._xlws.FILTER(
            INDIRECT("'"&amp;F$14&amp;"'!A2:E1000"), (INDIRECT("'"&amp;F$14&amp;"'!B2:B1000")=$B25) * (INDIRECT("'"&amp;F$14&amp;"'!C2:C1000")=$C25)
        ),
        5,
        FALSE
    )=0,
    "",
    VLOOKUP(
        $A25,
        _xlfn._xlws.FILTER(
            INDIRECT("'"&amp;F$14&amp;"'!A2:E1000"), (INDIRECT("'"&amp;F$14&amp;"'!B2:B1000")=$B25) * (INDIRECT("'"&amp;F$14&amp;"'!C2:C1000")=$C25)
        ),
        5,
        FALSE
    )
)</f>
        <v/>
      </c>
      <c r="G25" s="103">
        <f t="array" ref="G25">IF(
    VLOOKUP(
        $A25,
        _xlfn._xlws.FILTER(
            INDIRECT("'"&amp;G$14&amp;"'!A2:E1000"), (INDIRECT("'"&amp;G$14&amp;"'!B2:B1000")=$B25) * (INDIRECT("'"&amp;G$14&amp;"'!C2:C1000")=$C25)
        ),
        5,
        FALSE
    )=0,
    "",
    VLOOKUP(
        $A25,
        _xlfn._xlws.FILTER(
            INDIRECT("'"&amp;G$14&amp;"'!A2:E1000"), (INDIRECT("'"&amp;G$14&amp;"'!B2:B1000")=$B25) * (INDIRECT("'"&amp;G$14&amp;"'!C2:C1000")=$C25)
        ),
        5,
        FALSE
    )
)</f>
        <v/>
      </c>
      <c r="H25" s="103">
        <f t="array" ref="H25">IF(
    VLOOKUP(
        $A25,
        _xlfn._xlws.FILTER(
            INDIRECT("'"&amp;H$14&amp;"'!A2:E1000"), (INDIRECT("'"&amp;H$14&amp;"'!B2:B1000")=$B25) * (INDIRECT("'"&amp;H$14&amp;"'!C2:C1000")=$C25)
        ),
        5,
        FALSE
    )=0,
    "",
    VLOOKUP(
        $A25,
        _xlfn._xlws.FILTER(
            INDIRECT("'"&amp;H$14&amp;"'!A2:E1000"), (INDIRECT("'"&amp;H$14&amp;"'!B2:B1000")=$B25) * (INDIRECT("'"&amp;H$14&amp;"'!C2:C1000")=$C25)
        ),
        5,
        FALSE
    )
)</f>
        <v/>
      </c>
      <c r="I25" s="103">
        <f t="array" ref="I25">IF(
    VLOOKUP(
        $A25,
        _xlfn._xlws.FILTER(
            INDIRECT("'"&amp;I$14&amp;"'!A2:E1000"), (INDIRECT("'"&amp;I$14&amp;"'!B2:B1000")=$B25) * (INDIRECT("'"&amp;I$14&amp;"'!C2:C1000")=$C25)
        ),
        5,
        FALSE
    )=0,
    "",
    VLOOKUP(
        $A25,
        _xlfn._xlws.FILTER(
            INDIRECT("'"&amp;I$14&amp;"'!A2:E1000"), (INDIRECT("'"&amp;I$14&amp;"'!B2:B1000")=$B25) * (INDIRECT("'"&amp;I$14&amp;"'!C2:C1000")=$C25)
        ),
        5,
        FALSE
    )
)</f>
        <v/>
      </c>
      <c r="J25" s="103">
        <f t="array" ref="J25">IF(
    VLOOKUP(
        $A25,
        _xlfn._xlws.FILTER(
            INDIRECT("'"&amp;J$14&amp;"'!A2:E1000"), (INDIRECT("'"&amp;J$14&amp;"'!B2:B1000")=$B25) * (INDIRECT("'"&amp;J$14&amp;"'!C2:C1000")=$C25)
        ),
        5,
        FALSE
    )=0,
    "",
    VLOOKUP(
        $A25,
        _xlfn._xlws.FILTER(
            INDIRECT("'"&amp;J$14&amp;"'!A2:E1000"), (INDIRECT("'"&amp;J$14&amp;"'!B2:B1000")=$B25) * (INDIRECT("'"&amp;J$14&amp;"'!C2:C1000")=$C25)
        ),
        5,
        FALSE
    )
)</f>
        <v/>
      </c>
      <c r="K25" s="103">
        <f t="array" ref="K25">IF(
    VLOOKUP(
        $A25,
        _xlfn._xlws.FILTER(
            INDIRECT("'"&amp;K$14&amp;"'!A2:E1000"), (INDIRECT("'"&amp;K$14&amp;"'!B2:B1000")=$B25) * (INDIRECT("'"&amp;K$14&amp;"'!C2:C1000")=$C25)
        ),
        5,
        FALSE
    )=0,
    "",
    VLOOKUP(
        $A25,
        _xlfn._xlws.FILTER(
            INDIRECT("'"&amp;K$14&amp;"'!A2:E1000"), (INDIRECT("'"&amp;K$14&amp;"'!B2:B1000")=$B25) * (INDIRECT("'"&amp;K$14&amp;"'!C2:C1000")=$C25)
        ),
        5,
        FALSE
    )
)</f>
        <v/>
      </c>
      <c r="L25" s="103">
        <f t="array" ref="L25">IF(
    VLOOKUP(
        $A25,
        _xlfn._xlws.FILTER(
            INDIRECT("'"&amp;L$14&amp;"'!A2:E1000"), (INDIRECT("'"&amp;L$14&amp;"'!B2:B1000")=$B25) * (INDIRECT("'"&amp;L$14&amp;"'!C2:C1000")=$C25)
        ),
        5,
        FALSE
    )=0,
    "",
    VLOOKUP(
        $A25,
        _xlfn._xlws.FILTER(
            INDIRECT("'"&amp;L$14&amp;"'!A2:E1000"), (INDIRECT("'"&amp;L$14&amp;"'!B2:B1000")=$B25) * (INDIRECT("'"&amp;L$14&amp;"'!C2:C1000")=$C25)
        ),
        5,
        FALSE
    )
)</f>
        <v/>
      </c>
      <c r="M25" s="103">
        <f t="array" ref="M25">IF(
    VLOOKUP(
        $A25,
        _xlfn._xlws.FILTER(
            INDIRECT("'"&amp;M$14&amp;"'!A2:E1000"), (INDIRECT("'"&amp;M$14&amp;"'!B2:B1000")=$B25) * (INDIRECT("'"&amp;M$14&amp;"'!C2:C1000")=$C25)
        ),
        5,
        FALSE
    )=0,
    "",
    VLOOKUP(
        $A25,
        _xlfn._xlws.FILTER(
            INDIRECT("'"&amp;M$14&amp;"'!A2:E1000"), (INDIRECT("'"&amp;M$14&amp;"'!B2:B1000")=$B25) * (INDIRECT("'"&amp;M$14&amp;"'!C2:C1000")=$C25)
        ),
        5,
        FALSE
    )
)</f>
        <v/>
      </c>
      <c r="N25" s="103">
        <f t="array" ref="N25">IF(
    VLOOKUP(
        $A25,
        _xlfn._xlws.FILTER(
            INDIRECT("'"&amp;N$14&amp;"'!A2:E1000"), (INDIRECT("'"&amp;N$14&amp;"'!B2:B1000")=$B25) * (INDIRECT("'"&amp;N$14&amp;"'!C2:C1000")=$C25)
        ),
        5,
        FALSE
    )=0,
    "",
    VLOOKUP(
        $A25,
        _xlfn._xlws.FILTER(
            INDIRECT("'"&amp;N$14&amp;"'!A2:E1000"), (INDIRECT("'"&amp;N$14&amp;"'!B2:B1000")=$B25) * (INDIRECT("'"&amp;N$14&amp;"'!C2:C1000")=$C25)
        ),
        5,
        FALSE
    )
)</f>
        <v/>
      </c>
      <c r="O25" s="103">
        <f t="array" ref="O25">IF(
    VLOOKUP(
        $A25,
        _xlfn._xlws.FILTER(
            INDIRECT("'"&amp;O$14&amp;"'!A2:E1000"), (INDIRECT("'"&amp;O$14&amp;"'!B2:B1000")=$B25) * (INDIRECT("'"&amp;O$14&amp;"'!C2:C1000")=$C25)
        ),
        5,
        FALSE
    )=0,
    "",
    VLOOKUP(
        $A25,
        _xlfn._xlws.FILTER(
            INDIRECT("'"&amp;O$14&amp;"'!A2:E1000"), (INDIRECT("'"&amp;O$14&amp;"'!B2:B1000")=$B25) * (INDIRECT("'"&amp;O$14&amp;"'!C2:C1000")=$C25)
        ),
        5,
        FALSE
    )
)</f>
        <v/>
      </c>
      <c r="P25" s="103">
        <f t="array" ref="P25">IF(
    VLOOKUP(
        $A25,
        _xlfn._xlws.FILTER(
            INDIRECT("'"&amp;P$14&amp;"'!A2:E1000"), (INDIRECT("'"&amp;P$14&amp;"'!B2:B1000")=$B25) * (INDIRECT("'"&amp;P$14&amp;"'!C2:C1000")=$C25)
        ),
        5,
        FALSE
    )=0,
    "",
    VLOOKUP(
        $A25,
        _xlfn._xlws.FILTER(
            INDIRECT("'"&amp;P$14&amp;"'!A2:E1000"), (INDIRECT("'"&amp;P$14&amp;"'!B2:B1000")=$B25) * (INDIRECT("'"&amp;P$14&amp;"'!C2:C1000")=$C25)
        ),
        5,
        FALSE
    )
)</f>
        <v/>
      </c>
      <c r="Q25" s="103">
        <f t="array" ref="Q25">IF(
    VLOOKUP(
        $A25,
        _xlfn._xlws.FILTER(
            INDIRECT("'"&amp;Q$14&amp;"'!A2:E1000"), (INDIRECT("'"&amp;Q$14&amp;"'!B2:B1000")=$B25) * (INDIRECT("'"&amp;Q$14&amp;"'!C2:C1000")=$C25)
        ),
        5,
        FALSE
    )=0,
    "",
    VLOOKUP(
        $A25,
        _xlfn._xlws.FILTER(
            INDIRECT("'"&amp;Q$14&amp;"'!A2:E1000"), (INDIRECT("'"&amp;Q$14&amp;"'!B2:B1000")=$B25) * (INDIRECT("'"&amp;Q$14&amp;"'!C2:C1000")=$C25)
        ),
        5,
        FALSE
    )
)</f>
        <v/>
      </c>
    </row>
    <row r="26" ht="15.75" customHeight="1">
      <c r="A26" s="87" t="n"/>
      <c r="B26" s="87" t="n"/>
      <c r="C26" s="87" t="n"/>
    </row>
    <row r="27" ht="15.75" customHeight="1">
      <c r="A27" s="107" t="inlineStr">
        <is>
          <t>Regional</t>
        </is>
      </c>
      <c r="B27" s="98" t="inlineStr">
        <is>
          <t>Municípios</t>
        </is>
      </c>
      <c r="C27" s="98" t="inlineStr">
        <is>
          <t>UVR</t>
        </is>
      </c>
      <c r="D27" s="99" t="inlineStr">
        <is>
          <t>11.24</t>
        </is>
      </c>
      <c r="E27" s="100" t="inlineStr">
        <is>
          <t>12.24</t>
        </is>
      </c>
      <c r="F27" s="101" t="inlineStr">
        <is>
          <t>01.25</t>
        </is>
      </c>
      <c r="G27" s="101" t="inlineStr">
        <is>
          <t>02.25</t>
        </is>
      </c>
      <c r="H27" s="101" t="inlineStr">
        <is>
          <t>03.25</t>
        </is>
      </c>
      <c r="I27" s="101" t="inlineStr">
        <is>
          <t>04.25</t>
        </is>
      </c>
      <c r="J27" s="101" t="inlineStr">
        <is>
          <t>05.25</t>
        </is>
      </c>
      <c r="K27" s="101" t="inlineStr">
        <is>
          <t>06.25</t>
        </is>
      </c>
      <c r="L27" s="102" t="inlineStr">
        <is>
          <t>07.25</t>
        </is>
      </c>
      <c r="M27" s="102" t="inlineStr">
        <is>
          <t>08.25</t>
        </is>
      </c>
      <c r="N27" s="102" t="inlineStr">
        <is>
          <t>09.25</t>
        </is>
      </c>
      <c r="O27" s="102" t="inlineStr">
        <is>
          <t>10.25</t>
        </is>
      </c>
      <c r="P27" s="102" t="inlineStr">
        <is>
          <t>11.25</t>
        </is>
      </c>
      <c r="Q27" s="102" t="inlineStr">
        <is>
          <t>12.25</t>
        </is>
      </c>
    </row>
    <row r="28">
      <c r="A28" s="52" t="inlineStr">
        <is>
          <t>Gustavo</t>
        </is>
      </c>
      <c r="B28" s="50" t="inlineStr">
        <is>
          <t>Assis Chateaubriand</t>
        </is>
      </c>
      <c r="C28" s="50" t="n">
        <v>1</v>
      </c>
      <c r="D28" s="103">
        <f t="array" ref="D28">IF(
    VLOOKUP(
        $A28,
        _xlfn._xlws.FILTER(
            INDIRECT("'"&amp;D$14&amp;"'!A2:E1000"), (INDIRECT("'"&amp;D$14&amp;"'!B2:B1000")=$B28) * (INDIRECT("'"&amp;D$14&amp;"'!C2:C1000")=$C28)
        ),
        5,
        FALSE
    )=0,
    "",
    VLOOKUP(
        $A28,
        _xlfn._xlws.FILTER(
            INDIRECT("'"&amp;D$14&amp;"'!A2:E1000"), (INDIRECT("'"&amp;D$14&amp;"'!B2:B1000")=$B28) * (INDIRECT("'"&amp;D$14&amp;"'!C2:C1000")=$C28)
        ),
        5,
        FALSE
    )
)</f>
        <v/>
      </c>
      <c r="E28" s="103">
        <f t="array" ref="E28">IF(
    VLOOKUP(
        $A28,
        _xlfn._xlws.FILTER(
            INDIRECT("'"&amp;E$14&amp;"'!A2:E1000"), (INDIRECT("'"&amp;E$14&amp;"'!B2:B1000")=$B28) * (INDIRECT("'"&amp;E$14&amp;"'!C2:C1000")=$C28)
        ),
        5,
        FALSE
    )=0,
    "",
    VLOOKUP(
        $A28,
        _xlfn._xlws.FILTER(
            INDIRECT("'"&amp;E$14&amp;"'!A2:E1000"), (INDIRECT("'"&amp;E$14&amp;"'!B2:B1000")=$B28) * (INDIRECT("'"&amp;E$14&amp;"'!C2:C1000")=$C28)
        ),
        5,
        FALSE
    )
)</f>
        <v/>
      </c>
      <c r="F28" s="103">
        <f t="array" ref="F28">IF(
    VLOOKUP(
        $A28,
        _xlfn._xlws.FILTER(
            INDIRECT("'"&amp;F$14&amp;"'!A2:E1000"), (INDIRECT("'"&amp;F$14&amp;"'!B2:B1000")=$B28) * (INDIRECT("'"&amp;F$14&amp;"'!C2:C1000")=$C28)
        ),
        5,
        FALSE
    )=0,
    "",
    VLOOKUP(
        $A28,
        _xlfn._xlws.FILTER(
            INDIRECT("'"&amp;F$14&amp;"'!A2:E1000"), (INDIRECT("'"&amp;F$14&amp;"'!B2:B1000")=$B28) * (INDIRECT("'"&amp;F$14&amp;"'!C2:C1000")=$C28)
        ),
        5,
        FALSE
    )
)</f>
        <v/>
      </c>
      <c r="G28" s="103">
        <f t="array" ref="G28">IF(
    VLOOKUP(
        $A28,
        _xlfn._xlws.FILTER(
            INDIRECT("'"&amp;G$14&amp;"'!A2:E1000"), (INDIRECT("'"&amp;G$14&amp;"'!B2:B1000")=$B28) * (INDIRECT("'"&amp;G$14&amp;"'!C2:C1000")=$C28)
        ),
        5,
        FALSE
    )=0,
    "",
    VLOOKUP(
        $A28,
        _xlfn._xlws.FILTER(
            INDIRECT("'"&amp;G$14&amp;"'!A2:E1000"), (INDIRECT("'"&amp;G$14&amp;"'!B2:B1000")=$B28) * (INDIRECT("'"&amp;G$14&amp;"'!C2:C1000")=$C28)
        ),
        5,
        FALSE
    )
)</f>
        <v/>
      </c>
      <c r="H28" s="103">
        <f t="array" ref="H28">IF(
    VLOOKUP(
        $A28,
        _xlfn._xlws.FILTER(
            INDIRECT("'"&amp;H$14&amp;"'!A2:E1000"), (INDIRECT("'"&amp;H$14&amp;"'!B2:B1000")=$B28) * (INDIRECT("'"&amp;H$14&amp;"'!C2:C1000")=$C28)
        ),
        5,
        FALSE
    )=0,
    "",
    VLOOKUP(
        $A28,
        _xlfn._xlws.FILTER(
            INDIRECT("'"&amp;H$14&amp;"'!A2:E1000"), (INDIRECT("'"&amp;H$14&amp;"'!B2:B1000")=$B28) * (INDIRECT("'"&amp;H$14&amp;"'!C2:C1000")=$C28)
        ),
        5,
        FALSE
    )
)</f>
        <v/>
      </c>
      <c r="I28" s="103">
        <f t="array" ref="I28">IF(
    VLOOKUP(
        $A28,
        _xlfn._xlws.FILTER(
            INDIRECT("'"&amp;I$14&amp;"'!A2:E1000"), (INDIRECT("'"&amp;I$14&amp;"'!B2:B1000")=$B28) * (INDIRECT("'"&amp;I$14&amp;"'!C2:C1000")=$C28)
        ),
        5,
        FALSE
    )=0,
    "",
    VLOOKUP(
        $A28,
        _xlfn._xlws.FILTER(
            INDIRECT("'"&amp;I$14&amp;"'!A2:E1000"), (INDIRECT("'"&amp;I$14&amp;"'!B2:B1000")=$B28) * (INDIRECT("'"&amp;I$14&amp;"'!C2:C1000")=$C28)
        ),
        5,
        FALSE
    )
)</f>
        <v/>
      </c>
      <c r="J28" s="103">
        <f t="array" ref="J28">IF(
    VLOOKUP(
        $A28,
        _xlfn._xlws.FILTER(
            INDIRECT("'"&amp;J$14&amp;"'!A2:E1000"), (INDIRECT("'"&amp;J$14&amp;"'!B2:B1000")=$B28) * (INDIRECT("'"&amp;J$14&amp;"'!C2:C1000")=$C28)
        ),
        5,
        FALSE
    )=0,
    "",
    VLOOKUP(
        $A28,
        _xlfn._xlws.FILTER(
            INDIRECT("'"&amp;J$14&amp;"'!A2:E1000"), (INDIRECT("'"&amp;J$14&amp;"'!B2:B1000")=$B28) * (INDIRECT("'"&amp;J$14&amp;"'!C2:C1000")=$C28)
        ),
        5,
        FALSE
    )
)</f>
        <v/>
      </c>
      <c r="K28" s="103">
        <f t="array" ref="K28">IF(
    VLOOKUP(
        $A28,
        _xlfn._xlws.FILTER(
            INDIRECT("'"&amp;K$14&amp;"'!A2:E1000"), (INDIRECT("'"&amp;K$14&amp;"'!B2:B1000")=$B28) * (INDIRECT("'"&amp;K$14&amp;"'!C2:C1000")=$C28)
        ),
        5,
        FALSE
    )=0,
    "",
    VLOOKUP(
        $A28,
        _xlfn._xlws.FILTER(
            INDIRECT("'"&amp;K$14&amp;"'!A2:E1000"), (INDIRECT("'"&amp;K$14&amp;"'!B2:B1000")=$B28) * (INDIRECT("'"&amp;K$14&amp;"'!C2:C1000")=$C28)
        ),
        5,
        FALSE
    )
)</f>
        <v/>
      </c>
      <c r="L28" s="103">
        <f t="array" ref="L28">IF(
    VLOOKUP(
        $A28,
        _xlfn._xlws.FILTER(
            INDIRECT("'"&amp;L$14&amp;"'!A2:E1000"), (INDIRECT("'"&amp;L$14&amp;"'!B2:B1000")=$B28) * (INDIRECT("'"&amp;L$14&amp;"'!C2:C1000")=$C28)
        ),
        5,
        FALSE
    )=0,
    "",
    VLOOKUP(
        $A28,
        _xlfn._xlws.FILTER(
            INDIRECT("'"&amp;L$14&amp;"'!A2:E1000"), (INDIRECT("'"&amp;L$14&amp;"'!B2:B1000")=$B28) * (INDIRECT("'"&amp;L$14&amp;"'!C2:C1000")=$C28)
        ),
        5,
        FALSE
    )
)</f>
        <v/>
      </c>
      <c r="M28" s="103">
        <f t="array" ref="M28">IF(
    VLOOKUP(
        $A28,
        _xlfn._xlws.FILTER(
            INDIRECT("'"&amp;M$14&amp;"'!A2:E1000"), (INDIRECT("'"&amp;M$14&amp;"'!B2:B1000")=$B28) * (INDIRECT("'"&amp;M$14&amp;"'!C2:C1000")=$C28)
        ),
        5,
        FALSE
    )=0,
    "",
    VLOOKUP(
        $A28,
        _xlfn._xlws.FILTER(
            INDIRECT("'"&amp;M$14&amp;"'!A2:E1000"), (INDIRECT("'"&amp;M$14&amp;"'!B2:B1000")=$B28) * (INDIRECT("'"&amp;M$14&amp;"'!C2:C1000")=$C28)
        ),
        5,
        FALSE
    )
)</f>
        <v/>
      </c>
      <c r="N28" s="103">
        <f t="array" ref="N28">IF(
    VLOOKUP(
        $A28,
        _xlfn._xlws.FILTER(
            INDIRECT("'"&amp;N$14&amp;"'!A2:E1000"), (INDIRECT("'"&amp;N$14&amp;"'!B2:B1000")=$B28) * (INDIRECT("'"&amp;N$14&amp;"'!C2:C1000")=$C28)
        ),
        5,
        FALSE
    )=0,
    "",
    VLOOKUP(
        $A28,
        _xlfn._xlws.FILTER(
            INDIRECT("'"&amp;N$14&amp;"'!A2:E1000"), (INDIRECT("'"&amp;N$14&amp;"'!B2:B1000")=$B28) * (INDIRECT("'"&amp;N$14&amp;"'!C2:C1000")=$C28)
        ),
        5,
        FALSE
    )
)</f>
        <v/>
      </c>
      <c r="O28" s="103">
        <f t="array" ref="O28">IF(
    VLOOKUP(
        $A28,
        _xlfn._xlws.FILTER(
            INDIRECT("'"&amp;O$14&amp;"'!A2:E1000"), (INDIRECT("'"&amp;O$14&amp;"'!B2:B1000")=$B28) * (INDIRECT("'"&amp;O$14&amp;"'!C2:C1000")=$C28)
        ),
        5,
        FALSE
    )=0,
    "",
    VLOOKUP(
        $A28,
        _xlfn._xlws.FILTER(
            INDIRECT("'"&amp;O$14&amp;"'!A2:E1000"), (INDIRECT("'"&amp;O$14&amp;"'!B2:B1000")=$B28) * (INDIRECT("'"&amp;O$14&amp;"'!C2:C1000")=$C28)
        ),
        5,
        FALSE
    )
)</f>
        <v/>
      </c>
      <c r="P28" s="103">
        <f t="array" ref="P28">IF(
    VLOOKUP(
        $A28,
        _xlfn._xlws.FILTER(
            INDIRECT("'"&amp;P$14&amp;"'!A2:E1000"), (INDIRECT("'"&amp;P$14&amp;"'!B2:B1000")=$B28) * (INDIRECT("'"&amp;P$14&amp;"'!C2:C1000")=$C28)
        ),
        5,
        FALSE
    )=0,
    "",
    VLOOKUP(
        $A28,
        _xlfn._xlws.FILTER(
            INDIRECT("'"&amp;P$14&amp;"'!A2:E1000"), (INDIRECT("'"&amp;P$14&amp;"'!B2:B1000")=$B28) * (INDIRECT("'"&amp;P$14&amp;"'!C2:C1000")=$C28)
        ),
        5,
        FALSE
    )
)</f>
        <v/>
      </c>
      <c r="Q28" s="103">
        <f t="array" ref="Q28">IF(
    VLOOKUP(
        $A28,
        _xlfn._xlws.FILTER(
            INDIRECT("'"&amp;Q$14&amp;"'!A2:E1000"), (INDIRECT("'"&amp;Q$14&amp;"'!B2:B1000")=$B28) * (INDIRECT("'"&amp;Q$14&amp;"'!C2:C1000")=$C28)
        ),
        5,
        FALSE
    )=0,
    "",
    VLOOKUP(
        $A28,
        _xlfn._xlws.FILTER(
            INDIRECT("'"&amp;Q$14&amp;"'!A2:E1000"), (INDIRECT("'"&amp;Q$14&amp;"'!B2:B1000")=$B28) * (INDIRECT("'"&amp;Q$14&amp;"'!C2:C1000")=$C28)
        ),
        5,
        FALSE
    )
)</f>
        <v/>
      </c>
    </row>
    <row r="29">
      <c r="A29" s="52" t="inlineStr">
        <is>
          <t>Gustavo</t>
        </is>
      </c>
      <c r="B29" s="50" t="inlineStr">
        <is>
          <t>Brasilândia do Sul</t>
        </is>
      </c>
      <c r="C29" s="50" t="n">
        <v>1</v>
      </c>
      <c r="D29" s="103">
        <f t="array" ref="D29">IF(
    VLOOKUP(
        $A29,
        _xlfn._xlws.FILTER(
            INDIRECT("'"&amp;D$14&amp;"'!A2:E1000"), (INDIRECT("'"&amp;D$14&amp;"'!B2:B1000")=$B29) * (INDIRECT("'"&amp;D$14&amp;"'!C2:C1000")=$C29)
        ),
        5,
        FALSE
    )=0,
    "",
    VLOOKUP(
        $A29,
        _xlfn._xlws.FILTER(
            INDIRECT("'"&amp;D$14&amp;"'!A2:E1000"), (INDIRECT("'"&amp;D$14&amp;"'!B2:B1000")=$B29) * (INDIRECT("'"&amp;D$14&amp;"'!C2:C1000")=$C29)
        ),
        5,
        FALSE
    )
)</f>
        <v/>
      </c>
      <c r="E29" s="103">
        <f t="array" ref="E29">IF(
    VLOOKUP(
        $A29,
        _xlfn._xlws.FILTER(
            INDIRECT("'"&amp;E$14&amp;"'!A2:E1000"), (INDIRECT("'"&amp;E$14&amp;"'!B2:B1000")=$B29) * (INDIRECT("'"&amp;E$14&amp;"'!C2:C1000")=$C29)
        ),
        5,
        FALSE
    )=0,
    "",
    VLOOKUP(
        $A29,
        _xlfn._xlws.FILTER(
            INDIRECT("'"&amp;E$14&amp;"'!A2:E1000"), (INDIRECT("'"&amp;E$14&amp;"'!B2:B1000")=$B29) * (INDIRECT("'"&amp;E$14&amp;"'!C2:C1000")=$C29)
        ),
        5,
        FALSE
    )
)</f>
        <v/>
      </c>
      <c r="F29" s="103">
        <f t="array" ref="F29">IF(
    VLOOKUP(
        $A29,
        _xlfn._xlws.FILTER(
            INDIRECT("'"&amp;F$14&amp;"'!A2:E1000"), (INDIRECT("'"&amp;F$14&amp;"'!B2:B1000")=$B29) * (INDIRECT("'"&amp;F$14&amp;"'!C2:C1000")=$C29)
        ),
        5,
        FALSE
    )=0,
    "",
    VLOOKUP(
        $A29,
        _xlfn._xlws.FILTER(
            INDIRECT("'"&amp;F$14&amp;"'!A2:E1000"), (INDIRECT("'"&amp;F$14&amp;"'!B2:B1000")=$B29) * (INDIRECT("'"&amp;F$14&amp;"'!C2:C1000")=$C29)
        ),
        5,
        FALSE
    )
)</f>
        <v/>
      </c>
      <c r="G29" s="103">
        <f t="array" ref="G29">IF(
    VLOOKUP(
        $A29,
        _xlfn._xlws.FILTER(
            INDIRECT("'"&amp;G$14&amp;"'!A2:E1000"), (INDIRECT("'"&amp;G$14&amp;"'!B2:B1000")=$B29) * (INDIRECT("'"&amp;G$14&amp;"'!C2:C1000")=$C29)
        ),
        5,
        FALSE
    )=0,
    "",
    VLOOKUP(
        $A29,
        _xlfn._xlws.FILTER(
            INDIRECT("'"&amp;G$14&amp;"'!A2:E1000"), (INDIRECT("'"&amp;G$14&amp;"'!B2:B1000")=$B29) * (INDIRECT("'"&amp;G$14&amp;"'!C2:C1000")=$C29)
        ),
        5,
        FALSE
    )
)</f>
        <v/>
      </c>
      <c r="H29" s="103">
        <f t="array" ref="H29">IF(
    VLOOKUP(
        $A29,
        _xlfn._xlws.FILTER(
            INDIRECT("'"&amp;H$14&amp;"'!A2:E1000"), (INDIRECT("'"&amp;H$14&amp;"'!B2:B1000")=$B29) * (INDIRECT("'"&amp;H$14&amp;"'!C2:C1000")=$C29)
        ),
        5,
        FALSE
    )=0,
    "",
    VLOOKUP(
        $A29,
        _xlfn._xlws.FILTER(
            INDIRECT("'"&amp;H$14&amp;"'!A2:E1000"), (INDIRECT("'"&amp;H$14&amp;"'!B2:B1000")=$B29) * (INDIRECT("'"&amp;H$14&amp;"'!C2:C1000")=$C29)
        ),
        5,
        FALSE
    )
)</f>
        <v/>
      </c>
      <c r="I29" s="103">
        <f t="array" ref="I29">IF(
    VLOOKUP(
        $A29,
        _xlfn._xlws.FILTER(
            INDIRECT("'"&amp;I$14&amp;"'!A2:E1000"), (INDIRECT("'"&amp;I$14&amp;"'!B2:B1000")=$B29) * (INDIRECT("'"&amp;I$14&amp;"'!C2:C1000")=$C29)
        ),
        5,
        FALSE
    )=0,
    "",
    VLOOKUP(
        $A29,
        _xlfn._xlws.FILTER(
            INDIRECT("'"&amp;I$14&amp;"'!A2:E1000"), (INDIRECT("'"&amp;I$14&amp;"'!B2:B1000")=$B29) * (INDIRECT("'"&amp;I$14&amp;"'!C2:C1000")=$C29)
        ),
        5,
        FALSE
    )
)</f>
        <v/>
      </c>
      <c r="J29" s="103">
        <f t="array" ref="J29">IF(
    VLOOKUP(
        $A29,
        _xlfn._xlws.FILTER(
            INDIRECT("'"&amp;J$14&amp;"'!A2:E1000"), (INDIRECT("'"&amp;J$14&amp;"'!B2:B1000")=$B29) * (INDIRECT("'"&amp;J$14&amp;"'!C2:C1000")=$C29)
        ),
        5,
        FALSE
    )=0,
    "",
    VLOOKUP(
        $A29,
        _xlfn._xlws.FILTER(
            INDIRECT("'"&amp;J$14&amp;"'!A2:E1000"), (INDIRECT("'"&amp;J$14&amp;"'!B2:B1000")=$B29) * (INDIRECT("'"&amp;J$14&amp;"'!C2:C1000")=$C29)
        ),
        5,
        FALSE
    )
)</f>
        <v/>
      </c>
      <c r="K29" s="103">
        <f t="array" ref="K29">IF(
    VLOOKUP(
        $A29,
        _xlfn._xlws.FILTER(
            INDIRECT("'"&amp;K$14&amp;"'!A2:E1000"), (INDIRECT("'"&amp;K$14&amp;"'!B2:B1000")=$B29) * (INDIRECT("'"&amp;K$14&amp;"'!C2:C1000")=$C29)
        ),
        5,
        FALSE
    )=0,
    "",
    VLOOKUP(
        $A29,
        _xlfn._xlws.FILTER(
            INDIRECT("'"&amp;K$14&amp;"'!A2:E1000"), (INDIRECT("'"&amp;K$14&amp;"'!B2:B1000")=$B29) * (INDIRECT("'"&amp;K$14&amp;"'!C2:C1000")=$C29)
        ),
        5,
        FALSE
    )
)</f>
        <v/>
      </c>
      <c r="L29" s="103">
        <f t="array" ref="L29">IF(
    VLOOKUP(
        $A29,
        _xlfn._xlws.FILTER(
            INDIRECT("'"&amp;L$14&amp;"'!A2:E1000"), (INDIRECT("'"&amp;L$14&amp;"'!B2:B1000")=$B29) * (INDIRECT("'"&amp;L$14&amp;"'!C2:C1000")=$C29)
        ),
        5,
        FALSE
    )=0,
    "",
    VLOOKUP(
        $A29,
        _xlfn._xlws.FILTER(
            INDIRECT("'"&amp;L$14&amp;"'!A2:E1000"), (INDIRECT("'"&amp;L$14&amp;"'!B2:B1000")=$B29) * (INDIRECT("'"&amp;L$14&amp;"'!C2:C1000")=$C29)
        ),
        5,
        FALSE
    )
)</f>
        <v/>
      </c>
      <c r="M29" s="103">
        <f t="array" ref="M29">IF(
    VLOOKUP(
        $A29,
        _xlfn._xlws.FILTER(
            INDIRECT("'"&amp;M$14&amp;"'!A2:E1000"), (INDIRECT("'"&amp;M$14&amp;"'!B2:B1000")=$B29) * (INDIRECT("'"&amp;M$14&amp;"'!C2:C1000")=$C29)
        ),
        5,
        FALSE
    )=0,
    "",
    VLOOKUP(
        $A29,
        _xlfn._xlws.FILTER(
            INDIRECT("'"&amp;M$14&amp;"'!A2:E1000"), (INDIRECT("'"&amp;M$14&amp;"'!B2:B1000")=$B29) * (INDIRECT("'"&amp;M$14&amp;"'!C2:C1000")=$C29)
        ),
        5,
        FALSE
    )
)</f>
        <v/>
      </c>
      <c r="N29" s="103">
        <f t="array" ref="N29">IF(
    VLOOKUP(
        $A29,
        _xlfn._xlws.FILTER(
            INDIRECT("'"&amp;N$14&amp;"'!A2:E1000"), (INDIRECT("'"&amp;N$14&amp;"'!B2:B1000")=$B29) * (INDIRECT("'"&amp;N$14&amp;"'!C2:C1000")=$C29)
        ),
        5,
        FALSE
    )=0,
    "",
    VLOOKUP(
        $A29,
        _xlfn._xlws.FILTER(
            INDIRECT("'"&amp;N$14&amp;"'!A2:E1000"), (INDIRECT("'"&amp;N$14&amp;"'!B2:B1000")=$B29) * (INDIRECT("'"&amp;N$14&amp;"'!C2:C1000")=$C29)
        ),
        5,
        FALSE
    )
)</f>
        <v/>
      </c>
      <c r="O29" s="103">
        <f t="array" ref="O29">IF(
    VLOOKUP(
        $A29,
        _xlfn._xlws.FILTER(
            INDIRECT("'"&amp;O$14&amp;"'!A2:E1000"), (INDIRECT("'"&amp;O$14&amp;"'!B2:B1000")=$B29) * (INDIRECT("'"&amp;O$14&amp;"'!C2:C1000")=$C29)
        ),
        5,
        FALSE
    )=0,
    "",
    VLOOKUP(
        $A29,
        _xlfn._xlws.FILTER(
            INDIRECT("'"&amp;O$14&amp;"'!A2:E1000"), (INDIRECT("'"&amp;O$14&amp;"'!B2:B1000")=$B29) * (INDIRECT("'"&amp;O$14&amp;"'!C2:C1000")=$C29)
        ),
        5,
        FALSE
    )
)</f>
        <v/>
      </c>
      <c r="P29" s="103">
        <f t="array" ref="P29">IF(
    VLOOKUP(
        $A29,
        _xlfn._xlws.FILTER(
            INDIRECT("'"&amp;P$14&amp;"'!A2:E1000"), (INDIRECT("'"&amp;P$14&amp;"'!B2:B1000")=$B29) * (INDIRECT("'"&amp;P$14&amp;"'!C2:C1000")=$C29)
        ),
        5,
        FALSE
    )=0,
    "",
    VLOOKUP(
        $A29,
        _xlfn._xlws.FILTER(
            INDIRECT("'"&amp;P$14&amp;"'!A2:E1000"), (INDIRECT("'"&amp;P$14&amp;"'!B2:B1000")=$B29) * (INDIRECT("'"&amp;P$14&amp;"'!C2:C1000")=$C29)
        ),
        5,
        FALSE
    )
)</f>
        <v/>
      </c>
      <c r="Q29" s="103">
        <f t="array" ref="Q29">IF(
    VLOOKUP(
        $A29,
        _xlfn._xlws.FILTER(
            INDIRECT("'"&amp;Q$14&amp;"'!A2:E1000"), (INDIRECT("'"&amp;Q$14&amp;"'!B2:B1000")=$B29) * (INDIRECT("'"&amp;Q$14&amp;"'!C2:C1000")=$C29)
        ),
        5,
        FALSE
    )=0,
    "",
    VLOOKUP(
        $A29,
        _xlfn._xlws.FILTER(
            INDIRECT("'"&amp;Q$14&amp;"'!A2:E1000"), (INDIRECT("'"&amp;Q$14&amp;"'!B2:B1000")=$B29) * (INDIRECT("'"&amp;Q$14&amp;"'!C2:C1000")=$C29)
        ),
        5,
        FALSE
    )
)</f>
        <v/>
      </c>
    </row>
    <row r="30">
      <c r="A30" s="52" t="inlineStr">
        <is>
          <t>Gustavo</t>
        </is>
      </c>
      <c r="B30" s="50" t="inlineStr">
        <is>
          <t>Cafelândia</t>
        </is>
      </c>
      <c r="C30" s="50" t="n">
        <v>1</v>
      </c>
      <c r="D30" s="103">
        <f t="array" ref="D30">IF(
    VLOOKUP(
        $A30,
        _xlfn._xlws.FILTER(
            INDIRECT("'"&amp;D$14&amp;"'!A2:E1000"), (INDIRECT("'"&amp;D$14&amp;"'!B2:B1000")=$B30) * (INDIRECT("'"&amp;D$14&amp;"'!C2:C1000")=$C30)
        ),
        5,
        FALSE
    )=0,
    "",
    VLOOKUP(
        $A30,
        _xlfn._xlws.FILTER(
            INDIRECT("'"&amp;D$14&amp;"'!A2:E1000"), (INDIRECT("'"&amp;D$14&amp;"'!B2:B1000")=$B30) * (INDIRECT("'"&amp;D$14&amp;"'!C2:C1000")=$C30)
        ),
        5,
        FALSE
    )
)</f>
        <v/>
      </c>
      <c r="E30" s="103">
        <f t="array" ref="E30">IF(
    VLOOKUP(
        $A30,
        _xlfn._xlws.FILTER(
            INDIRECT("'"&amp;E$14&amp;"'!A2:E1000"), (INDIRECT("'"&amp;E$14&amp;"'!B2:B1000")=$B30) * (INDIRECT("'"&amp;E$14&amp;"'!C2:C1000")=$C30)
        ),
        5,
        FALSE
    )=0,
    "",
    VLOOKUP(
        $A30,
        _xlfn._xlws.FILTER(
            INDIRECT("'"&amp;E$14&amp;"'!A2:E1000"), (INDIRECT("'"&amp;E$14&amp;"'!B2:B1000")=$B30) * (INDIRECT("'"&amp;E$14&amp;"'!C2:C1000")=$C30)
        ),
        5,
        FALSE
    )
)</f>
        <v/>
      </c>
      <c r="F30" s="103">
        <f t="array" ref="F30">IF(
    VLOOKUP(
        $A30,
        _xlfn._xlws.FILTER(
            INDIRECT("'"&amp;F$14&amp;"'!A2:E1000"), (INDIRECT("'"&amp;F$14&amp;"'!B2:B1000")=$B30) * (INDIRECT("'"&amp;F$14&amp;"'!C2:C1000")=$C30)
        ),
        5,
        FALSE
    )=0,
    "",
    VLOOKUP(
        $A30,
        _xlfn._xlws.FILTER(
            INDIRECT("'"&amp;F$14&amp;"'!A2:E1000"), (INDIRECT("'"&amp;F$14&amp;"'!B2:B1000")=$B30) * (INDIRECT("'"&amp;F$14&amp;"'!C2:C1000")=$C30)
        ),
        5,
        FALSE
    )
)</f>
        <v/>
      </c>
      <c r="G30" s="103">
        <f t="array" ref="G30">IF(
    VLOOKUP(
        $A30,
        _xlfn._xlws.FILTER(
            INDIRECT("'"&amp;G$14&amp;"'!A2:E1000"), (INDIRECT("'"&amp;G$14&amp;"'!B2:B1000")=$B30) * (INDIRECT("'"&amp;G$14&amp;"'!C2:C1000")=$C30)
        ),
        5,
        FALSE
    )=0,
    "",
    VLOOKUP(
        $A30,
        _xlfn._xlws.FILTER(
            INDIRECT("'"&amp;G$14&amp;"'!A2:E1000"), (INDIRECT("'"&amp;G$14&amp;"'!B2:B1000")=$B30) * (INDIRECT("'"&amp;G$14&amp;"'!C2:C1000")=$C30)
        ),
        5,
        FALSE
    )
)</f>
        <v/>
      </c>
      <c r="H30" s="103">
        <f t="array" ref="H30">IF(
    VLOOKUP(
        $A30,
        _xlfn._xlws.FILTER(
            INDIRECT("'"&amp;H$14&amp;"'!A2:E1000"), (INDIRECT("'"&amp;H$14&amp;"'!B2:B1000")=$B30) * (INDIRECT("'"&amp;H$14&amp;"'!C2:C1000")=$C30)
        ),
        5,
        FALSE
    )=0,
    "",
    VLOOKUP(
        $A30,
        _xlfn._xlws.FILTER(
            INDIRECT("'"&amp;H$14&amp;"'!A2:E1000"), (INDIRECT("'"&amp;H$14&amp;"'!B2:B1000")=$B30) * (INDIRECT("'"&amp;H$14&amp;"'!C2:C1000")=$C30)
        ),
        5,
        FALSE
    )
)</f>
        <v/>
      </c>
      <c r="I30" s="103">
        <f t="array" ref="I30">IF(
    VLOOKUP(
        $A30,
        _xlfn._xlws.FILTER(
            INDIRECT("'"&amp;I$14&amp;"'!A2:E1000"), (INDIRECT("'"&amp;I$14&amp;"'!B2:B1000")=$B30) * (INDIRECT("'"&amp;I$14&amp;"'!C2:C1000")=$C30)
        ),
        5,
        FALSE
    )=0,
    "",
    VLOOKUP(
        $A30,
        _xlfn._xlws.FILTER(
            INDIRECT("'"&amp;I$14&amp;"'!A2:E1000"), (INDIRECT("'"&amp;I$14&amp;"'!B2:B1000")=$B30) * (INDIRECT("'"&amp;I$14&amp;"'!C2:C1000")=$C30)
        ),
        5,
        FALSE
    )
)</f>
        <v/>
      </c>
      <c r="J30" s="103">
        <f t="array" ref="J30">IF(
    VLOOKUP(
        $A30,
        _xlfn._xlws.FILTER(
            INDIRECT("'"&amp;J$14&amp;"'!A2:E1000"), (INDIRECT("'"&amp;J$14&amp;"'!B2:B1000")=$B30) * (INDIRECT("'"&amp;J$14&amp;"'!C2:C1000")=$C30)
        ),
        5,
        FALSE
    )=0,
    "",
    VLOOKUP(
        $A30,
        _xlfn._xlws.FILTER(
            INDIRECT("'"&amp;J$14&amp;"'!A2:E1000"), (INDIRECT("'"&amp;J$14&amp;"'!B2:B1000")=$B30) * (INDIRECT("'"&amp;J$14&amp;"'!C2:C1000")=$C30)
        ),
        5,
        FALSE
    )
)</f>
        <v/>
      </c>
      <c r="K30" s="103">
        <f t="array" ref="K30">IF(
    VLOOKUP(
        $A30,
        _xlfn._xlws.FILTER(
            INDIRECT("'"&amp;K$14&amp;"'!A2:E1000"), (INDIRECT("'"&amp;K$14&amp;"'!B2:B1000")=$B30) * (INDIRECT("'"&amp;K$14&amp;"'!C2:C1000")=$C30)
        ),
        5,
        FALSE
    )=0,
    "",
    VLOOKUP(
        $A30,
        _xlfn._xlws.FILTER(
            INDIRECT("'"&amp;K$14&amp;"'!A2:E1000"), (INDIRECT("'"&amp;K$14&amp;"'!B2:B1000")=$B30) * (INDIRECT("'"&amp;K$14&amp;"'!C2:C1000")=$C30)
        ),
        5,
        FALSE
    )
)</f>
        <v/>
      </c>
      <c r="L30" s="103">
        <f t="array" ref="L30">IF(
    VLOOKUP(
        $A30,
        _xlfn._xlws.FILTER(
            INDIRECT("'"&amp;L$14&amp;"'!A2:E1000"), (INDIRECT("'"&amp;L$14&amp;"'!B2:B1000")=$B30) * (INDIRECT("'"&amp;L$14&amp;"'!C2:C1000")=$C30)
        ),
        5,
        FALSE
    )=0,
    "",
    VLOOKUP(
        $A30,
        _xlfn._xlws.FILTER(
            INDIRECT("'"&amp;L$14&amp;"'!A2:E1000"), (INDIRECT("'"&amp;L$14&amp;"'!B2:B1000")=$B30) * (INDIRECT("'"&amp;L$14&amp;"'!C2:C1000")=$C30)
        ),
        5,
        FALSE
    )
)</f>
        <v/>
      </c>
      <c r="M30" s="103">
        <f t="array" ref="M30">IF(
    VLOOKUP(
        $A30,
        _xlfn._xlws.FILTER(
            INDIRECT("'"&amp;M$14&amp;"'!A2:E1000"), (INDIRECT("'"&amp;M$14&amp;"'!B2:B1000")=$B30) * (INDIRECT("'"&amp;M$14&amp;"'!C2:C1000")=$C30)
        ),
        5,
        FALSE
    )=0,
    "",
    VLOOKUP(
        $A30,
        _xlfn._xlws.FILTER(
            INDIRECT("'"&amp;M$14&amp;"'!A2:E1000"), (INDIRECT("'"&amp;M$14&amp;"'!B2:B1000")=$B30) * (INDIRECT("'"&amp;M$14&amp;"'!C2:C1000")=$C30)
        ),
        5,
        FALSE
    )
)</f>
        <v/>
      </c>
      <c r="N30" s="103">
        <f t="array" ref="N30">IF(
    VLOOKUP(
        $A30,
        _xlfn._xlws.FILTER(
            INDIRECT("'"&amp;N$14&amp;"'!A2:E1000"), (INDIRECT("'"&amp;N$14&amp;"'!B2:B1000")=$B30) * (INDIRECT("'"&amp;N$14&amp;"'!C2:C1000")=$C30)
        ),
        5,
        FALSE
    )=0,
    "",
    VLOOKUP(
        $A30,
        _xlfn._xlws.FILTER(
            INDIRECT("'"&amp;N$14&amp;"'!A2:E1000"), (INDIRECT("'"&amp;N$14&amp;"'!B2:B1000")=$B30) * (INDIRECT("'"&amp;N$14&amp;"'!C2:C1000")=$C30)
        ),
        5,
        FALSE
    )
)</f>
        <v/>
      </c>
      <c r="O30" s="103">
        <f t="array" ref="O30">IF(
    VLOOKUP(
        $A30,
        _xlfn._xlws.FILTER(
            INDIRECT("'"&amp;O$14&amp;"'!A2:E1000"), (INDIRECT("'"&amp;O$14&amp;"'!B2:B1000")=$B30) * (INDIRECT("'"&amp;O$14&amp;"'!C2:C1000")=$C30)
        ),
        5,
        FALSE
    )=0,
    "",
    VLOOKUP(
        $A30,
        _xlfn._xlws.FILTER(
            INDIRECT("'"&amp;O$14&amp;"'!A2:E1000"), (INDIRECT("'"&amp;O$14&amp;"'!B2:B1000")=$B30) * (INDIRECT("'"&amp;O$14&amp;"'!C2:C1000")=$C30)
        ),
        5,
        FALSE
    )
)</f>
        <v/>
      </c>
      <c r="P30" s="103">
        <f t="array" ref="P30">IF(
    VLOOKUP(
        $A30,
        _xlfn._xlws.FILTER(
            INDIRECT("'"&amp;P$14&amp;"'!A2:E1000"), (INDIRECT("'"&amp;P$14&amp;"'!B2:B1000")=$B30) * (INDIRECT("'"&amp;P$14&amp;"'!C2:C1000")=$C30)
        ),
        5,
        FALSE
    )=0,
    "",
    VLOOKUP(
        $A30,
        _xlfn._xlws.FILTER(
            INDIRECT("'"&amp;P$14&amp;"'!A2:E1000"), (INDIRECT("'"&amp;P$14&amp;"'!B2:B1000")=$B30) * (INDIRECT("'"&amp;P$14&amp;"'!C2:C1000")=$C30)
        ),
        5,
        FALSE
    )
)</f>
        <v/>
      </c>
      <c r="Q30" s="103">
        <f t="array" ref="Q30">IF(
    VLOOKUP(
        $A30,
        _xlfn._xlws.FILTER(
            INDIRECT("'"&amp;Q$14&amp;"'!A2:E1000"), (INDIRECT("'"&amp;Q$14&amp;"'!B2:B1000")=$B30) * (INDIRECT("'"&amp;Q$14&amp;"'!C2:C1000")=$C30)
        ),
        5,
        FALSE
    )=0,
    "",
    VLOOKUP(
        $A30,
        _xlfn._xlws.FILTER(
            INDIRECT("'"&amp;Q$14&amp;"'!A2:E1000"), (INDIRECT("'"&amp;Q$14&amp;"'!B2:B1000")=$B30) * (INDIRECT("'"&amp;Q$14&amp;"'!C2:C1000")=$C30)
        ),
        5,
        FALSE
    )
)</f>
        <v/>
      </c>
    </row>
    <row r="31">
      <c r="A31" s="52" t="inlineStr">
        <is>
          <t>Gustavo</t>
        </is>
      </c>
      <c r="B31" s="50" t="inlineStr">
        <is>
          <t>Formosa do Oeste</t>
        </is>
      </c>
      <c r="C31" s="50" t="n">
        <v>1</v>
      </c>
      <c r="D31" s="103">
        <f t="array" ref="D31">IF(
    VLOOKUP(
        $A31,
        _xlfn._xlws.FILTER(
            INDIRECT("'"&amp;D$14&amp;"'!A2:E1000"), (INDIRECT("'"&amp;D$14&amp;"'!B2:B1000")=$B31) * (INDIRECT("'"&amp;D$14&amp;"'!C2:C1000")=$C31)
        ),
        5,
        FALSE
    )=0,
    "",
    VLOOKUP(
        $A31,
        _xlfn._xlws.FILTER(
            INDIRECT("'"&amp;D$14&amp;"'!A2:E1000"), (INDIRECT("'"&amp;D$14&amp;"'!B2:B1000")=$B31) * (INDIRECT("'"&amp;D$14&amp;"'!C2:C1000")=$C31)
        ),
        5,
        FALSE
    )
)</f>
        <v/>
      </c>
      <c r="E31" s="103">
        <f t="array" ref="E31">IF(
    VLOOKUP(
        $A31,
        _xlfn._xlws.FILTER(
            INDIRECT("'"&amp;E$14&amp;"'!A2:E1000"), (INDIRECT("'"&amp;E$14&amp;"'!B2:B1000")=$B31) * (INDIRECT("'"&amp;E$14&amp;"'!C2:C1000")=$C31)
        ),
        5,
        FALSE
    )=0,
    "",
    VLOOKUP(
        $A31,
        _xlfn._xlws.FILTER(
            INDIRECT("'"&amp;E$14&amp;"'!A2:E1000"), (INDIRECT("'"&amp;E$14&amp;"'!B2:B1000")=$B31) * (INDIRECT("'"&amp;E$14&amp;"'!C2:C1000")=$C31)
        ),
        5,
        FALSE
    )
)</f>
        <v/>
      </c>
      <c r="F31" s="103">
        <f t="array" ref="F31">IF(
    VLOOKUP(
        $A31,
        _xlfn._xlws.FILTER(
            INDIRECT("'"&amp;F$14&amp;"'!A2:E1000"), (INDIRECT("'"&amp;F$14&amp;"'!B2:B1000")=$B31) * (INDIRECT("'"&amp;F$14&amp;"'!C2:C1000")=$C31)
        ),
        5,
        FALSE
    )=0,
    "",
    VLOOKUP(
        $A31,
        _xlfn._xlws.FILTER(
            INDIRECT("'"&amp;F$14&amp;"'!A2:E1000"), (INDIRECT("'"&amp;F$14&amp;"'!B2:B1000")=$B31) * (INDIRECT("'"&amp;F$14&amp;"'!C2:C1000")=$C31)
        ),
        5,
        FALSE
    )
)</f>
        <v/>
      </c>
      <c r="G31" s="103">
        <f t="array" ref="G31">IF(
    VLOOKUP(
        $A31,
        _xlfn._xlws.FILTER(
            INDIRECT("'"&amp;G$14&amp;"'!A2:E1000"), (INDIRECT("'"&amp;G$14&amp;"'!B2:B1000")=$B31) * (INDIRECT("'"&amp;G$14&amp;"'!C2:C1000")=$C31)
        ),
        5,
        FALSE
    )=0,
    "",
    VLOOKUP(
        $A31,
        _xlfn._xlws.FILTER(
            INDIRECT("'"&amp;G$14&amp;"'!A2:E1000"), (INDIRECT("'"&amp;G$14&amp;"'!B2:B1000")=$B31) * (INDIRECT("'"&amp;G$14&amp;"'!C2:C1000")=$C31)
        ),
        5,
        FALSE
    )
)</f>
        <v/>
      </c>
      <c r="H31" s="103">
        <f t="array" ref="H31">IF(
    VLOOKUP(
        $A31,
        _xlfn._xlws.FILTER(
            INDIRECT("'"&amp;H$14&amp;"'!A2:E1000"), (INDIRECT("'"&amp;H$14&amp;"'!B2:B1000")=$B31) * (INDIRECT("'"&amp;H$14&amp;"'!C2:C1000")=$C31)
        ),
        5,
        FALSE
    )=0,
    "",
    VLOOKUP(
        $A31,
        _xlfn._xlws.FILTER(
            INDIRECT("'"&amp;H$14&amp;"'!A2:E1000"), (INDIRECT("'"&amp;H$14&amp;"'!B2:B1000")=$B31) * (INDIRECT("'"&amp;H$14&amp;"'!C2:C1000")=$C31)
        ),
        5,
        FALSE
    )
)</f>
        <v/>
      </c>
      <c r="I31" s="103">
        <f t="array" ref="I31">IF(
    VLOOKUP(
        $A31,
        _xlfn._xlws.FILTER(
            INDIRECT("'"&amp;I$14&amp;"'!A2:E1000"), (INDIRECT("'"&amp;I$14&amp;"'!B2:B1000")=$B31) * (INDIRECT("'"&amp;I$14&amp;"'!C2:C1000")=$C31)
        ),
        5,
        FALSE
    )=0,
    "",
    VLOOKUP(
        $A31,
        _xlfn._xlws.FILTER(
            INDIRECT("'"&amp;I$14&amp;"'!A2:E1000"), (INDIRECT("'"&amp;I$14&amp;"'!B2:B1000")=$B31) * (INDIRECT("'"&amp;I$14&amp;"'!C2:C1000")=$C31)
        ),
        5,
        FALSE
    )
)</f>
        <v/>
      </c>
      <c r="J31" s="103">
        <f t="array" ref="J31">IF(
    VLOOKUP(
        $A31,
        _xlfn._xlws.FILTER(
            INDIRECT("'"&amp;J$14&amp;"'!A2:E1000"), (INDIRECT("'"&amp;J$14&amp;"'!B2:B1000")=$B31) * (INDIRECT("'"&amp;J$14&amp;"'!C2:C1000")=$C31)
        ),
        5,
        FALSE
    )=0,
    "",
    VLOOKUP(
        $A31,
        _xlfn._xlws.FILTER(
            INDIRECT("'"&amp;J$14&amp;"'!A2:E1000"), (INDIRECT("'"&amp;J$14&amp;"'!B2:B1000")=$B31) * (INDIRECT("'"&amp;J$14&amp;"'!C2:C1000")=$C31)
        ),
        5,
        FALSE
    )
)</f>
        <v/>
      </c>
      <c r="K31" s="103">
        <f t="array" ref="K31">IF(
    VLOOKUP(
        $A31,
        _xlfn._xlws.FILTER(
            INDIRECT("'"&amp;K$14&amp;"'!A2:E1000"), (INDIRECT("'"&amp;K$14&amp;"'!B2:B1000")=$B31) * (INDIRECT("'"&amp;K$14&amp;"'!C2:C1000")=$C31)
        ),
        5,
        FALSE
    )=0,
    "",
    VLOOKUP(
        $A31,
        _xlfn._xlws.FILTER(
            INDIRECT("'"&amp;K$14&amp;"'!A2:E1000"), (INDIRECT("'"&amp;K$14&amp;"'!B2:B1000")=$B31) * (INDIRECT("'"&amp;K$14&amp;"'!C2:C1000")=$C31)
        ),
        5,
        FALSE
    )
)</f>
        <v/>
      </c>
      <c r="L31" s="103">
        <f t="array" ref="L31">IF(
    VLOOKUP(
        $A31,
        _xlfn._xlws.FILTER(
            INDIRECT("'"&amp;L$14&amp;"'!A2:E1000"), (INDIRECT("'"&amp;L$14&amp;"'!B2:B1000")=$B31) * (INDIRECT("'"&amp;L$14&amp;"'!C2:C1000")=$C31)
        ),
        5,
        FALSE
    )=0,
    "",
    VLOOKUP(
        $A31,
        _xlfn._xlws.FILTER(
            INDIRECT("'"&amp;L$14&amp;"'!A2:E1000"), (INDIRECT("'"&amp;L$14&amp;"'!B2:B1000")=$B31) * (INDIRECT("'"&amp;L$14&amp;"'!C2:C1000")=$C31)
        ),
        5,
        FALSE
    )
)</f>
        <v/>
      </c>
      <c r="M31" s="103">
        <f t="array" ref="M31">IF(
    VLOOKUP(
        $A31,
        _xlfn._xlws.FILTER(
            INDIRECT("'"&amp;M$14&amp;"'!A2:E1000"), (INDIRECT("'"&amp;M$14&amp;"'!B2:B1000")=$B31) * (INDIRECT("'"&amp;M$14&amp;"'!C2:C1000")=$C31)
        ),
        5,
        FALSE
    )=0,
    "",
    VLOOKUP(
        $A31,
        _xlfn._xlws.FILTER(
            INDIRECT("'"&amp;M$14&amp;"'!A2:E1000"), (INDIRECT("'"&amp;M$14&amp;"'!B2:B1000")=$B31) * (INDIRECT("'"&amp;M$14&amp;"'!C2:C1000")=$C31)
        ),
        5,
        FALSE
    )
)</f>
        <v/>
      </c>
      <c r="N31" s="103">
        <f t="array" ref="N31">IF(
    VLOOKUP(
        $A31,
        _xlfn._xlws.FILTER(
            INDIRECT("'"&amp;N$14&amp;"'!A2:E1000"), (INDIRECT("'"&amp;N$14&amp;"'!B2:B1000")=$B31) * (INDIRECT("'"&amp;N$14&amp;"'!C2:C1000")=$C31)
        ),
        5,
        FALSE
    )=0,
    "",
    VLOOKUP(
        $A31,
        _xlfn._xlws.FILTER(
            INDIRECT("'"&amp;N$14&amp;"'!A2:E1000"), (INDIRECT("'"&amp;N$14&amp;"'!B2:B1000")=$B31) * (INDIRECT("'"&amp;N$14&amp;"'!C2:C1000")=$C31)
        ),
        5,
        FALSE
    )
)</f>
        <v/>
      </c>
      <c r="O31" s="103">
        <f t="array" ref="O31">IF(
    VLOOKUP(
        $A31,
        _xlfn._xlws.FILTER(
            INDIRECT("'"&amp;O$14&amp;"'!A2:E1000"), (INDIRECT("'"&amp;O$14&amp;"'!B2:B1000")=$B31) * (INDIRECT("'"&amp;O$14&amp;"'!C2:C1000")=$C31)
        ),
        5,
        FALSE
    )=0,
    "",
    VLOOKUP(
        $A31,
        _xlfn._xlws.FILTER(
            INDIRECT("'"&amp;O$14&amp;"'!A2:E1000"), (INDIRECT("'"&amp;O$14&amp;"'!B2:B1000")=$B31) * (INDIRECT("'"&amp;O$14&amp;"'!C2:C1000")=$C31)
        ),
        5,
        FALSE
    )
)</f>
        <v/>
      </c>
      <c r="P31" s="103">
        <f t="array" ref="P31">IF(
    VLOOKUP(
        $A31,
        _xlfn._xlws.FILTER(
            INDIRECT("'"&amp;P$14&amp;"'!A2:E1000"), (INDIRECT("'"&amp;P$14&amp;"'!B2:B1000")=$B31) * (INDIRECT("'"&amp;P$14&amp;"'!C2:C1000")=$C31)
        ),
        5,
        FALSE
    )=0,
    "",
    VLOOKUP(
        $A31,
        _xlfn._xlws.FILTER(
            INDIRECT("'"&amp;P$14&amp;"'!A2:E1000"), (INDIRECT("'"&amp;P$14&amp;"'!B2:B1000")=$B31) * (INDIRECT("'"&amp;P$14&amp;"'!C2:C1000")=$C31)
        ),
        5,
        FALSE
    )
)</f>
        <v/>
      </c>
      <c r="Q31" s="103">
        <f t="array" ref="Q31">IF(
    VLOOKUP(
        $A31,
        _xlfn._xlws.FILTER(
            INDIRECT("'"&amp;Q$14&amp;"'!A2:E1000"), (INDIRECT("'"&amp;Q$14&amp;"'!B2:B1000")=$B31) * (INDIRECT("'"&amp;Q$14&amp;"'!C2:C1000")=$C31)
        ),
        5,
        FALSE
    )=0,
    "",
    VLOOKUP(
        $A31,
        _xlfn._xlws.FILTER(
            INDIRECT("'"&amp;Q$14&amp;"'!A2:E1000"), (INDIRECT("'"&amp;Q$14&amp;"'!B2:B1000")=$B31) * (INDIRECT("'"&amp;Q$14&amp;"'!C2:C1000")=$C31)
        ),
        5,
        FALSE
    )
)</f>
        <v/>
      </c>
    </row>
    <row r="32">
      <c r="A32" s="52" t="inlineStr">
        <is>
          <t>Gustavo</t>
        </is>
      </c>
      <c r="B32" s="50" t="inlineStr">
        <is>
          <t>Iracema do Oeste</t>
        </is>
      </c>
      <c r="C32" s="50" t="n">
        <v>1</v>
      </c>
      <c r="D32" s="103">
        <f t="array" ref="D32">IF(
    VLOOKUP(
        $A32,
        _xlfn._xlws.FILTER(
            INDIRECT("'"&amp;D$14&amp;"'!A2:E1000"), (INDIRECT("'"&amp;D$14&amp;"'!B2:B1000")=$B32) * (INDIRECT("'"&amp;D$14&amp;"'!C2:C1000")=$C32)
        ),
        5,
        FALSE
    )=0,
    "",
    VLOOKUP(
        $A32,
        _xlfn._xlws.FILTER(
            INDIRECT("'"&amp;D$14&amp;"'!A2:E1000"), (INDIRECT("'"&amp;D$14&amp;"'!B2:B1000")=$B32) * (INDIRECT("'"&amp;D$14&amp;"'!C2:C1000")=$C32)
        ),
        5,
        FALSE
    )
)</f>
        <v/>
      </c>
      <c r="E32" s="103">
        <f t="array" ref="E32">IF(
    VLOOKUP(
        $A32,
        _xlfn._xlws.FILTER(
            INDIRECT("'"&amp;E$14&amp;"'!A2:E1000"), (INDIRECT("'"&amp;E$14&amp;"'!B2:B1000")=$B32) * (INDIRECT("'"&amp;E$14&amp;"'!C2:C1000")=$C32)
        ),
        5,
        FALSE
    )=0,
    "",
    VLOOKUP(
        $A32,
        _xlfn._xlws.FILTER(
            INDIRECT("'"&amp;E$14&amp;"'!A2:E1000"), (INDIRECT("'"&amp;E$14&amp;"'!B2:B1000")=$B32) * (INDIRECT("'"&amp;E$14&amp;"'!C2:C1000")=$C32)
        ),
        5,
        FALSE
    )
)</f>
        <v/>
      </c>
      <c r="F32" s="103">
        <f t="array" ref="F32">IF(
    VLOOKUP(
        $A32,
        _xlfn._xlws.FILTER(
            INDIRECT("'"&amp;F$14&amp;"'!A2:E1000"), (INDIRECT("'"&amp;F$14&amp;"'!B2:B1000")=$B32) * (INDIRECT("'"&amp;F$14&amp;"'!C2:C1000")=$C32)
        ),
        5,
        FALSE
    )=0,
    "",
    VLOOKUP(
        $A32,
        _xlfn._xlws.FILTER(
            INDIRECT("'"&amp;F$14&amp;"'!A2:E1000"), (INDIRECT("'"&amp;F$14&amp;"'!B2:B1000")=$B32) * (INDIRECT("'"&amp;F$14&amp;"'!C2:C1000")=$C32)
        ),
        5,
        FALSE
    )
)</f>
        <v/>
      </c>
      <c r="G32" s="103">
        <f t="array" ref="G32">IF(
    VLOOKUP(
        $A32,
        _xlfn._xlws.FILTER(
            INDIRECT("'"&amp;G$14&amp;"'!A2:E1000"), (INDIRECT("'"&amp;G$14&amp;"'!B2:B1000")=$B32) * (INDIRECT("'"&amp;G$14&amp;"'!C2:C1000")=$C32)
        ),
        5,
        FALSE
    )=0,
    "",
    VLOOKUP(
        $A32,
        _xlfn._xlws.FILTER(
            INDIRECT("'"&amp;G$14&amp;"'!A2:E1000"), (INDIRECT("'"&amp;G$14&amp;"'!B2:B1000")=$B32) * (INDIRECT("'"&amp;G$14&amp;"'!C2:C1000")=$C32)
        ),
        5,
        FALSE
    )
)</f>
        <v/>
      </c>
      <c r="H32" s="103">
        <f t="array" ref="H32">IF(
    VLOOKUP(
        $A32,
        _xlfn._xlws.FILTER(
            INDIRECT("'"&amp;H$14&amp;"'!A2:E1000"), (INDIRECT("'"&amp;H$14&amp;"'!B2:B1000")=$B32) * (INDIRECT("'"&amp;H$14&amp;"'!C2:C1000")=$C32)
        ),
        5,
        FALSE
    )=0,
    "",
    VLOOKUP(
        $A32,
        _xlfn._xlws.FILTER(
            INDIRECT("'"&amp;H$14&amp;"'!A2:E1000"), (INDIRECT("'"&amp;H$14&amp;"'!B2:B1000")=$B32) * (INDIRECT("'"&amp;H$14&amp;"'!C2:C1000")=$C32)
        ),
        5,
        FALSE
    )
)</f>
        <v/>
      </c>
      <c r="I32" s="103">
        <f t="array" ref="I32">IF(
    VLOOKUP(
        $A32,
        _xlfn._xlws.FILTER(
            INDIRECT("'"&amp;I$14&amp;"'!A2:E1000"), (INDIRECT("'"&amp;I$14&amp;"'!B2:B1000")=$B32) * (INDIRECT("'"&amp;I$14&amp;"'!C2:C1000")=$C32)
        ),
        5,
        FALSE
    )=0,
    "",
    VLOOKUP(
        $A32,
        _xlfn._xlws.FILTER(
            INDIRECT("'"&amp;I$14&amp;"'!A2:E1000"), (INDIRECT("'"&amp;I$14&amp;"'!B2:B1000")=$B32) * (INDIRECT("'"&amp;I$14&amp;"'!C2:C1000")=$C32)
        ),
        5,
        FALSE
    )
)</f>
        <v/>
      </c>
      <c r="J32" s="103">
        <f t="array" ref="J32">IF(
    VLOOKUP(
        $A32,
        _xlfn._xlws.FILTER(
            INDIRECT("'"&amp;J$14&amp;"'!A2:E1000"), (INDIRECT("'"&amp;J$14&amp;"'!B2:B1000")=$B32) * (INDIRECT("'"&amp;J$14&amp;"'!C2:C1000")=$C32)
        ),
        5,
        FALSE
    )=0,
    "",
    VLOOKUP(
        $A32,
        _xlfn._xlws.FILTER(
            INDIRECT("'"&amp;J$14&amp;"'!A2:E1000"), (INDIRECT("'"&amp;J$14&amp;"'!B2:B1000")=$B32) * (INDIRECT("'"&amp;J$14&amp;"'!C2:C1000")=$C32)
        ),
        5,
        FALSE
    )
)</f>
        <v/>
      </c>
      <c r="K32" s="103">
        <f t="array" ref="K32">IF(
    VLOOKUP(
        $A32,
        _xlfn._xlws.FILTER(
            INDIRECT("'"&amp;K$14&amp;"'!A2:E1000"), (INDIRECT("'"&amp;K$14&amp;"'!B2:B1000")=$B32) * (INDIRECT("'"&amp;K$14&amp;"'!C2:C1000")=$C32)
        ),
        5,
        FALSE
    )=0,
    "",
    VLOOKUP(
        $A32,
        _xlfn._xlws.FILTER(
            INDIRECT("'"&amp;K$14&amp;"'!A2:E1000"), (INDIRECT("'"&amp;K$14&amp;"'!B2:B1000")=$B32) * (INDIRECT("'"&amp;K$14&amp;"'!C2:C1000")=$C32)
        ),
        5,
        FALSE
    )
)</f>
        <v/>
      </c>
      <c r="L32" s="103">
        <f t="array" ref="L32">IF(
    VLOOKUP(
        $A32,
        _xlfn._xlws.FILTER(
            INDIRECT("'"&amp;L$14&amp;"'!A2:E1000"), (INDIRECT("'"&amp;L$14&amp;"'!B2:B1000")=$B32) * (INDIRECT("'"&amp;L$14&amp;"'!C2:C1000")=$C32)
        ),
        5,
        FALSE
    )=0,
    "",
    VLOOKUP(
        $A32,
        _xlfn._xlws.FILTER(
            INDIRECT("'"&amp;L$14&amp;"'!A2:E1000"), (INDIRECT("'"&amp;L$14&amp;"'!B2:B1000")=$B32) * (INDIRECT("'"&amp;L$14&amp;"'!C2:C1000")=$C32)
        ),
        5,
        FALSE
    )
)</f>
        <v/>
      </c>
      <c r="M32" s="103">
        <f t="array" ref="M32">IF(
    VLOOKUP(
        $A32,
        _xlfn._xlws.FILTER(
            INDIRECT("'"&amp;M$14&amp;"'!A2:E1000"), (INDIRECT("'"&amp;M$14&amp;"'!B2:B1000")=$B32) * (INDIRECT("'"&amp;M$14&amp;"'!C2:C1000")=$C32)
        ),
        5,
        FALSE
    )=0,
    "",
    VLOOKUP(
        $A32,
        _xlfn._xlws.FILTER(
            INDIRECT("'"&amp;M$14&amp;"'!A2:E1000"), (INDIRECT("'"&amp;M$14&amp;"'!B2:B1000")=$B32) * (INDIRECT("'"&amp;M$14&amp;"'!C2:C1000")=$C32)
        ),
        5,
        FALSE
    )
)</f>
        <v/>
      </c>
      <c r="N32" s="103">
        <f t="array" ref="N32">IF(
    VLOOKUP(
        $A32,
        _xlfn._xlws.FILTER(
            INDIRECT("'"&amp;N$14&amp;"'!A2:E1000"), (INDIRECT("'"&amp;N$14&amp;"'!B2:B1000")=$B32) * (INDIRECT("'"&amp;N$14&amp;"'!C2:C1000")=$C32)
        ),
        5,
        FALSE
    )=0,
    "",
    VLOOKUP(
        $A32,
        _xlfn._xlws.FILTER(
            INDIRECT("'"&amp;N$14&amp;"'!A2:E1000"), (INDIRECT("'"&amp;N$14&amp;"'!B2:B1000")=$B32) * (INDIRECT("'"&amp;N$14&amp;"'!C2:C1000")=$C32)
        ),
        5,
        FALSE
    )
)</f>
        <v/>
      </c>
      <c r="O32" s="103">
        <f t="array" ref="O32">IF(
    VLOOKUP(
        $A32,
        _xlfn._xlws.FILTER(
            INDIRECT("'"&amp;O$14&amp;"'!A2:E1000"), (INDIRECT("'"&amp;O$14&amp;"'!B2:B1000")=$B32) * (INDIRECT("'"&amp;O$14&amp;"'!C2:C1000")=$C32)
        ),
        5,
        FALSE
    )=0,
    "",
    VLOOKUP(
        $A32,
        _xlfn._xlws.FILTER(
            INDIRECT("'"&amp;O$14&amp;"'!A2:E1000"), (INDIRECT("'"&amp;O$14&amp;"'!B2:B1000")=$B32) * (INDIRECT("'"&amp;O$14&amp;"'!C2:C1000")=$C32)
        ),
        5,
        FALSE
    )
)</f>
        <v/>
      </c>
      <c r="P32" s="103">
        <f t="array" ref="P32">IF(
    VLOOKUP(
        $A32,
        _xlfn._xlws.FILTER(
            INDIRECT("'"&amp;P$14&amp;"'!A2:E1000"), (INDIRECT("'"&amp;P$14&amp;"'!B2:B1000")=$B32) * (INDIRECT("'"&amp;P$14&amp;"'!C2:C1000")=$C32)
        ),
        5,
        FALSE
    )=0,
    "",
    VLOOKUP(
        $A32,
        _xlfn._xlws.FILTER(
            INDIRECT("'"&amp;P$14&amp;"'!A2:E1000"), (INDIRECT("'"&amp;P$14&amp;"'!B2:B1000")=$B32) * (INDIRECT("'"&amp;P$14&amp;"'!C2:C1000")=$C32)
        ),
        5,
        FALSE
    )
)</f>
        <v/>
      </c>
      <c r="Q32" s="103">
        <f t="array" ref="Q32">IF(
    VLOOKUP(
        $A32,
        _xlfn._xlws.FILTER(
            INDIRECT("'"&amp;Q$14&amp;"'!A2:E1000"), (INDIRECT("'"&amp;Q$14&amp;"'!B2:B1000")=$B32) * (INDIRECT("'"&amp;Q$14&amp;"'!C2:C1000")=$C32)
        ),
        5,
        FALSE
    )=0,
    "",
    VLOOKUP(
        $A32,
        _xlfn._xlws.FILTER(
            INDIRECT("'"&amp;Q$14&amp;"'!A2:E1000"), (INDIRECT("'"&amp;Q$14&amp;"'!B2:B1000")=$B32) * (INDIRECT("'"&amp;Q$14&amp;"'!C2:C1000")=$C32)
        ),
        5,
        FALSE
    )
)</f>
        <v/>
      </c>
    </row>
    <row r="33">
      <c r="A33" s="52" t="inlineStr">
        <is>
          <t>Gustavo</t>
        </is>
      </c>
      <c r="B33" s="50" t="inlineStr">
        <is>
          <t>Jesuítas</t>
        </is>
      </c>
      <c r="C33" s="50" t="n">
        <v>1</v>
      </c>
      <c r="D33" s="103">
        <f t="array" ref="D33">IF(
    VLOOKUP(
        $A33,
        _xlfn._xlws.FILTER(
            INDIRECT("'"&amp;D$14&amp;"'!A2:E1000"), (INDIRECT("'"&amp;D$14&amp;"'!B2:B1000")=$B33) * (INDIRECT("'"&amp;D$14&amp;"'!C2:C1000")=$C33)
        ),
        5,
        FALSE
    )=0,
    "",
    VLOOKUP(
        $A33,
        _xlfn._xlws.FILTER(
            INDIRECT("'"&amp;D$14&amp;"'!A2:E1000"), (INDIRECT("'"&amp;D$14&amp;"'!B2:B1000")=$B33) * (INDIRECT("'"&amp;D$14&amp;"'!C2:C1000")=$C33)
        ),
        5,
        FALSE
    )
)</f>
        <v/>
      </c>
      <c r="E33" s="103">
        <f t="array" ref="E33">IF(
    VLOOKUP(
        $A33,
        _xlfn._xlws.FILTER(
            INDIRECT("'"&amp;E$14&amp;"'!A2:E1000"), (INDIRECT("'"&amp;E$14&amp;"'!B2:B1000")=$B33) * (INDIRECT("'"&amp;E$14&amp;"'!C2:C1000")=$C33)
        ),
        5,
        FALSE
    )=0,
    "",
    VLOOKUP(
        $A33,
        _xlfn._xlws.FILTER(
            INDIRECT("'"&amp;E$14&amp;"'!A2:E1000"), (INDIRECT("'"&amp;E$14&amp;"'!B2:B1000")=$B33) * (INDIRECT("'"&amp;E$14&amp;"'!C2:C1000")=$C33)
        ),
        5,
        FALSE
    )
)</f>
        <v/>
      </c>
      <c r="F33" s="103">
        <f t="array" ref="F33">IF(
    VLOOKUP(
        $A33,
        _xlfn._xlws.FILTER(
            INDIRECT("'"&amp;F$14&amp;"'!A2:E1000"), (INDIRECT("'"&amp;F$14&amp;"'!B2:B1000")=$B33) * (INDIRECT("'"&amp;F$14&amp;"'!C2:C1000")=$C33)
        ),
        5,
        FALSE
    )=0,
    "",
    VLOOKUP(
        $A33,
        _xlfn._xlws.FILTER(
            INDIRECT("'"&amp;F$14&amp;"'!A2:E1000"), (INDIRECT("'"&amp;F$14&amp;"'!B2:B1000")=$B33) * (INDIRECT("'"&amp;F$14&amp;"'!C2:C1000")=$C33)
        ),
        5,
        FALSE
    )
)</f>
        <v/>
      </c>
      <c r="G33" s="103">
        <f t="array" ref="G33">IF(
    VLOOKUP(
        $A33,
        _xlfn._xlws.FILTER(
            INDIRECT("'"&amp;G$14&amp;"'!A2:E1000"), (INDIRECT("'"&amp;G$14&amp;"'!B2:B1000")=$B33) * (INDIRECT("'"&amp;G$14&amp;"'!C2:C1000")=$C33)
        ),
        5,
        FALSE
    )=0,
    "",
    VLOOKUP(
        $A33,
        _xlfn._xlws.FILTER(
            INDIRECT("'"&amp;G$14&amp;"'!A2:E1000"), (INDIRECT("'"&amp;G$14&amp;"'!B2:B1000")=$B33) * (INDIRECT("'"&amp;G$14&amp;"'!C2:C1000")=$C33)
        ),
        5,
        FALSE
    )
)</f>
        <v/>
      </c>
      <c r="H33" s="103">
        <f t="array" ref="H33">IF(
    VLOOKUP(
        $A33,
        _xlfn._xlws.FILTER(
            INDIRECT("'"&amp;H$14&amp;"'!A2:E1000"), (INDIRECT("'"&amp;H$14&amp;"'!B2:B1000")=$B33) * (INDIRECT("'"&amp;H$14&amp;"'!C2:C1000")=$C33)
        ),
        5,
        FALSE
    )=0,
    "",
    VLOOKUP(
        $A33,
        _xlfn._xlws.FILTER(
            INDIRECT("'"&amp;H$14&amp;"'!A2:E1000"), (INDIRECT("'"&amp;H$14&amp;"'!B2:B1000")=$B33) * (INDIRECT("'"&amp;H$14&amp;"'!C2:C1000")=$C33)
        ),
        5,
        FALSE
    )
)</f>
        <v/>
      </c>
      <c r="I33" s="103">
        <f t="array" ref="I33">IF(
    VLOOKUP(
        $A33,
        _xlfn._xlws.FILTER(
            INDIRECT("'"&amp;I$14&amp;"'!A2:E1000"), (INDIRECT("'"&amp;I$14&amp;"'!B2:B1000")=$B33) * (INDIRECT("'"&amp;I$14&amp;"'!C2:C1000")=$C33)
        ),
        5,
        FALSE
    )=0,
    "",
    VLOOKUP(
        $A33,
        _xlfn._xlws.FILTER(
            INDIRECT("'"&amp;I$14&amp;"'!A2:E1000"), (INDIRECT("'"&amp;I$14&amp;"'!B2:B1000")=$B33) * (INDIRECT("'"&amp;I$14&amp;"'!C2:C1000")=$C33)
        ),
        5,
        FALSE
    )
)</f>
        <v/>
      </c>
      <c r="J33" s="103">
        <f t="array" ref="J33">IF(
    VLOOKUP(
        $A33,
        _xlfn._xlws.FILTER(
            INDIRECT("'"&amp;J$14&amp;"'!A2:E1000"), (INDIRECT("'"&amp;J$14&amp;"'!B2:B1000")=$B33) * (INDIRECT("'"&amp;J$14&amp;"'!C2:C1000")=$C33)
        ),
        5,
        FALSE
    )=0,
    "",
    VLOOKUP(
        $A33,
        _xlfn._xlws.FILTER(
            INDIRECT("'"&amp;J$14&amp;"'!A2:E1000"), (INDIRECT("'"&amp;J$14&amp;"'!B2:B1000")=$B33) * (INDIRECT("'"&amp;J$14&amp;"'!C2:C1000")=$C33)
        ),
        5,
        FALSE
    )
)</f>
        <v/>
      </c>
      <c r="K33" s="103">
        <f t="array" ref="K33">IF(
    VLOOKUP(
        $A33,
        _xlfn._xlws.FILTER(
            INDIRECT("'"&amp;K$14&amp;"'!A2:E1000"), (INDIRECT("'"&amp;K$14&amp;"'!B2:B1000")=$B33) * (INDIRECT("'"&amp;K$14&amp;"'!C2:C1000")=$C33)
        ),
        5,
        FALSE
    )=0,
    "",
    VLOOKUP(
        $A33,
        _xlfn._xlws.FILTER(
            INDIRECT("'"&amp;K$14&amp;"'!A2:E1000"), (INDIRECT("'"&amp;K$14&amp;"'!B2:B1000")=$B33) * (INDIRECT("'"&amp;K$14&amp;"'!C2:C1000")=$C33)
        ),
        5,
        FALSE
    )
)</f>
        <v/>
      </c>
      <c r="L33" s="103">
        <f t="array" ref="L33">IF(
    VLOOKUP(
        $A33,
        _xlfn._xlws.FILTER(
            INDIRECT("'"&amp;L$14&amp;"'!A2:E1000"), (INDIRECT("'"&amp;L$14&amp;"'!B2:B1000")=$B33) * (INDIRECT("'"&amp;L$14&amp;"'!C2:C1000")=$C33)
        ),
        5,
        FALSE
    )=0,
    "",
    VLOOKUP(
        $A33,
        _xlfn._xlws.FILTER(
            INDIRECT("'"&amp;L$14&amp;"'!A2:E1000"), (INDIRECT("'"&amp;L$14&amp;"'!B2:B1000")=$B33) * (INDIRECT("'"&amp;L$14&amp;"'!C2:C1000")=$C33)
        ),
        5,
        FALSE
    )
)</f>
        <v/>
      </c>
      <c r="M33" s="103">
        <f t="array" ref="M33">IF(
    VLOOKUP(
        $A33,
        _xlfn._xlws.FILTER(
            INDIRECT("'"&amp;M$14&amp;"'!A2:E1000"), (INDIRECT("'"&amp;M$14&amp;"'!B2:B1000")=$B33) * (INDIRECT("'"&amp;M$14&amp;"'!C2:C1000")=$C33)
        ),
        5,
        FALSE
    )=0,
    "",
    VLOOKUP(
        $A33,
        _xlfn._xlws.FILTER(
            INDIRECT("'"&amp;M$14&amp;"'!A2:E1000"), (INDIRECT("'"&amp;M$14&amp;"'!B2:B1000")=$B33) * (INDIRECT("'"&amp;M$14&amp;"'!C2:C1000")=$C33)
        ),
        5,
        FALSE
    )
)</f>
        <v/>
      </c>
      <c r="N33" s="103">
        <f t="array" ref="N33">IF(
    VLOOKUP(
        $A33,
        _xlfn._xlws.FILTER(
            INDIRECT("'"&amp;N$14&amp;"'!A2:E1000"), (INDIRECT("'"&amp;N$14&amp;"'!B2:B1000")=$B33) * (INDIRECT("'"&amp;N$14&amp;"'!C2:C1000")=$C33)
        ),
        5,
        FALSE
    )=0,
    "",
    VLOOKUP(
        $A33,
        _xlfn._xlws.FILTER(
            INDIRECT("'"&amp;N$14&amp;"'!A2:E1000"), (INDIRECT("'"&amp;N$14&amp;"'!B2:B1000")=$B33) * (INDIRECT("'"&amp;N$14&amp;"'!C2:C1000")=$C33)
        ),
        5,
        FALSE
    )
)</f>
        <v/>
      </c>
      <c r="O33" s="103">
        <f t="array" ref="O33">IF(
    VLOOKUP(
        $A33,
        _xlfn._xlws.FILTER(
            INDIRECT("'"&amp;O$14&amp;"'!A2:E1000"), (INDIRECT("'"&amp;O$14&amp;"'!B2:B1000")=$B33) * (INDIRECT("'"&amp;O$14&amp;"'!C2:C1000")=$C33)
        ),
        5,
        FALSE
    )=0,
    "",
    VLOOKUP(
        $A33,
        _xlfn._xlws.FILTER(
            INDIRECT("'"&amp;O$14&amp;"'!A2:E1000"), (INDIRECT("'"&amp;O$14&amp;"'!B2:B1000")=$B33) * (INDIRECT("'"&amp;O$14&amp;"'!C2:C1000")=$C33)
        ),
        5,
        FALSE
    )
)</f>
        <v/>
      </c>
      <c r="P33" s="103">
        <f t="array" ref="P33">IF(
    VLOOKUP(
        $A33,
        _xlfn._xlws.FILTER(
            INDIRECT("'"&amp;P$14&amp;"'!A2:E1000"), (INDIRECT("'"&amp;P$14&amp;"'!B2:B1000")=$B33) * (INDIRECT("'"&amp;P$14&amp;"'!C2:C1000")=$C33)
        ),
        5,
        FALSE
    )=0,
    "",
    VLOOKUP(
        $A33,
        _xlfn._xlws.FILTER(
            INDIRECT("'"&amp;P$14&amp;"'!A2:E1000"), (INDIRECT("'"&amp;P$14&amp;"'!B2:B1000")=$B33) * (INDIRECT("'"&amp;P$14&amp;"'!C2:C1000")=$C33)
        ),
        5,
        FALSE
    )
)</f>
        <v/>
      </c>
      <c r="Q33" s="103">
        <f t="array" ref="Q33">IF(
    VLOOKUP(
        $A33,
        _xlfn._xlws.FILTER(
            INDIRECT("'"&amp;Q$14&amp;"'!A2:E1000"), (INDIRECT("'"&amp;Q$14&amp;"'!B2:B1000")=$B33) * (INDIRECT("'"&amp;Q$14&amp;"'!C2:C1000")=$C33)
        ),
        5,
        FALSE
    )=0,
    "",
    VLOOKUP(
        $A33,
        _xlfn._xlws.FILTER(
            INDIRECT("'"&amp;Q$14&amp;"'!A2:E1000"), (INDIRECT("'"&amp;Q$14&amp;"'!B2:B1000")=$B33) * (INDIRECT("'"&amp;Q$14&amp;"'!C2:C1000")=$C33)
        ),
        5,
        FALSE
    )
)</f>
        <v/>
      </c>
    </row>
    <row r="34">
      <c r="A34" s="52" t="inlineStr">
        <is>
          <t>Gustavo</t>
        </is>
      </c>
      <c r="B34" s="50" t="inlineStr">
        <is>
          <t>Maripa</t>
        </is>
      </c>
      <c r="C34" s="50" t="n">
        <v>1</v>
      </c>
      <c r="D34" s="103">
        <f t="array" ref="D34">IF(
    VLOOKUP(
        $A34,
        _xlfn._xlws.FILTER(
            INDIRECT("'"&amp;D$14&amp;"'!A2:E1000"), (INDIRECT("'"&amp;D$14&amp;"'!B2:B1000")=$B34) * (INDIRECT("'"&amp;D$14&amp;"'!C2:C1000")=$C34)
        ),
        5,
        FALSE
    )=0,
    "",
    VLOOKUP(
        $A34,
        _xlfn._xlws.FILTER(
            INDIRECT("'"&amp;D$14&amp;"'!A2:E1000"), (INDIRECT("'"&amp;D$14&amp;"'!B2:B1000")=$B34) * (INDIRECT("'"&amp;D$14&amp;"'!C2:C1000")=$C34)
        ),
        5,
        FALSE
    )
)</f>
        <v/>
      </c>
      <c r="E34" s="103">
        <f t="array" ref="E34">IF(
    VLOOKUP(
        $A34,
        _xlfn._xlws.FILTER(
            INDIRECT("'"&amp;E$14&amp;"'!A2:E1000"), (INDIRECT("'"&amp;E$14&amp;"'!B2:B1000")=$B34) * (INDIRECT("'"&amp;E$14&amp;"'!C2:C1000")=$C34)
        ),
        5,
        FALSE
    )=0,
    "",
    VLOOKUP(
        $A34,
        _xlfn._xlws.FILTER(
            INDIRECT("'"&amp;E$14&amp;"'!A2:E1000"), (INDIRECT("'"&amp;E$14&amp;"'!B2:B1000")=$B34) * (INDIRECT("'"&amp;E$14&amp;"'!C2:C1000")=$C34)
        ),
        5,
        FALSE
    )
)</f>
        <v/>
      </c>
      <c r="F34" s="103">
        <f t="array" ref="F34">IF(
    VLOOKUP(
        $A34,
        _xlfn._xlws.FILTER(
            INDIRECT("'"&amp;F$14&amp;"'!A2:E1000"), (INDIRECT("'"&amp;F$14&amp;"'!B2:B1000")=$B34) * (INDIRECT("'"&amp;F$14&amp;"'!C2:C1000")=$C34)
        ),
        5,
        FALSE
    )=0,
    "",
    VLOOKUP(
        $A34,
        _xlfn._xlws.FILTER(
            INDIRECT("'"&amp;F$14&amp;"'!A2:E1000"), (INDIRECT("'"&amp;F$14&amp;"'!B2:B1000")=$B34) * (INDIRECT("'"&amp;F$14&amp;"'!C2:C1000")=$C34)
        ),
        5,
        FALSE
    )
)</f>
        <v/>
      </c>
      <c r="G34" s="103">
        <f t="array" ref="G34">IF(
    VLOOKUP(
        $A34,
        _xlfn._xlws.FILTER(
            INDIRECT("'"&amp;G$14&amp;"'!A2:E1000"), (INDIRECT("'"&amp;G$14&amp;"'!B2:B1000")=$B34) * (INDIRECT("'"&amp;G$14&amp;"'!C2:C1000")=$C34)
        ),
        5,
        FALSE
    )=0,
    "",
    VLOOKUP(
        $A34,
        _xlfn._xlws.FILTER(
            INDIRECT("'"&amp;G$14&amp;"'!A2:E1000"), (INDIRECT("'"&amp;G$14&amp;"'!B2:B1000")=$B34) * (INDIRECT("'"&amp;G$14&amp;"'!C2:C1000")=$C34)
        ),
        5,
        FALSE
    )
)</f>
        <v/>
      </c>
      <c r="H34" s="103">
        <f t="array" ref="H34">IF(
    VLOOKUP(
        $A34,
        _xlfn._xlws.FILTER(
            INDIRECT("'"&amp;H$14&amp;"'!A2:E1000"), (INDIRECT("'"&amp;H$14&amp;"'!B2:B1000")=$B34) * (INDIRECT("'"&amp;H$14&amp;"'!C2:C1000")=$C34)
        ),
        5,
        FALSE
    )=0,
    "",
    VLOOKUP(
        $A34,
        _xlfn._xlws.FILTER(
            INDIRECT("'"&amp;H$14&amp;"'!A2:E1000"), (INDIRECT("'"&amp;H$14&amp;"'!B2:B1000")=$B34) * (INDIRECT("'"&amp;H$14&amp;"'!C2:C1000")=$C34)
        ),
        5,
        FALSE
    )
)</f>
        <v/>
      </c>
      <c r="I34" s="103">
        <f t="array" ref="I34">IF(
    VLOOKUP(
        $A34,
        _xlfn._xlws.FILTER(
            INDIRECT("'"&amp;I$14&amp;"'!A2:E1000"), (INDIRECT("'"&amp;I$14&amp;"'!B2:B1000")=$B34) * (INDIRECT("'"&amp;I$14&amp;"'!C2:C1000")=$C34)
        ),
        5,
        FALSE
    )=0,
    "",
    VLOOKUP(
        $A34,
        _xlfn._xlws.FILTER(
            INDIRECT("'"&amp;I$14&amp;"'!A2:E1000"), (INDIRECT("'"&amp;I$14&amp;"'!B2:B1000")=$B34) * (INDIRECT("'"&amp;I$14&amp;"'!C2:C1000")=$C34)
        ),
        5,
        FALSE
    )
)</f>
        <v/>
      </c>
      <c r="J34" s="103">
        <f t="array" ref="J34">IF(
    VLOOKUP(
        $A34,
        _xlfn._xlws.FILTER(
            INDIRECT("'"&amp;J$14&amp;"'!A2:E1000"), (INDIRECT("'"&amp;J$14&amp;"'!B2:B1000")=$B34) * (INDIRECT("'"&amp;J$14&amp;"'!C2:C1000")=$C34)
        ),
        5,
        FALSE
    )=0,
    "",
    VLOOKUP(
        $A34,
        _xlfn._xlws.FILTER(
            INDIRECT("'"&amp;J$14&amp;"'!A2:E1000"), (INDIRECT("'"&amp;J$14&amp;"'!B2:B1000")=$B34) * (INDIRECT("'"&amp;J$14&amp;"'!C2:C1000")=$C34)
        ),
        5,
        FALSE
    )
)</f>
        <v/>
      </c>
      <c r="K34" s="103">
        <f t="array" ref="K34">IF(
    VLOOKUP(
        $A34,
        _xlfn._xlws.FILTER(
            INDIRECT("'"&amp;K$14&amp;"'!A2:E1000"), (INDIRECT("'"&amp;K$14&amp;"'!B2:B1000")=$B34) * (INDIRECT("'"&amp;K$14&amp;"'!C2:C1000")=$C34)
        ),
        5,
        FALSE
    )=0,
    "",
    VLOOKUP(
        $A34,
        _xlfn._xlws.FILTER(
            INDIRECT("'"&amp;K$14&amp;"'!A2:E1000"), (INDIRECT("'"&amp;K$14&amp;"'!B2:B1000")=$B34) * (INDIRECT("'"&amp;K$14&amp;"'!C2:C1000")=$C34)
        ),
        5,
        FALSE
    )
)</f>
        <v/>
      </c>
      <c r="L34" s="103">
        <f t="array" ref="L34">IF(
    VLOOKUP(
        $A34,
        _xlfn._xlws.FILTER(
            INDIRECT("'"&amp;L$14&amp;"'!A2:E1000"), (INDIRECT("'"&amp;L$14&amp;"'!B2:B1000")=$B34) * (INDIRECT("'"&amp;L$14&amp;"'!C2:C1000")=$C34)
        ),
        5,
        FALSE
    )=0,
    "",
    VLOOKUP(
        $A34,
        _xlfn._xlws.FILTER(
            INDIRECT("'"&amp;L$14&amp;"'!A2:E1000"), (INDIRECT("'"&amp;L$14&amp;"'!B2:B1000")=$B34) * (INDIRECT("'"&amp;L$14&amp;"'!C2:C1000")=$C34)
        ),
        5,
        FALSE
    )
)</f>
        <v/>
      </c>
      <c r="M34" s="103">
        <f t="array" ref="M34">IF(
    VLOOKUP(
        $A34,
        _xlfn._xlws.FILTER(
            INDIRECT("'"&amp;M$14&amp;"'!A2:E1000"), (INDIRECT("'"&amp;M$14&amp;"'!B2:B1000")=$B34) * (INDIRECT("'"&amp;M$14&amp;"'!C2:C1000")=$C34)
        ),
        5,
        FALSE
    )=0,
    "",
    VLOOKUP(
        $A34,
        _xlfn._xlws.FILTER(
            INDIRECT("'"&amp;M$14&amp;"'!A2:E1000"), (INDIRECT("'"&amp;M$14&amp;"'!B2:B1000")=$B34) * (INDIRECT("'"&amp;M$14&amp;"'!C2:C1000")=$C34)
        ),
        5,
        FALSE
    )
)</f>
        <v/>
      </c>
      <c r="N34" s="103">
        <f t="array" ref="N34">IF(
    VLOOKUP(
        $A34,
        _xlfn._xlws.FILTER(
            INDIRECT("'"&amp;N$14&amp;"'!A2:E1000"), (INDIRECT("'"&amp;N$14&amp;"'!B2:B1000")=$B34) * (INDIRECT("'"&amp;N$14&amp;"'!C2:C1000")=$C34)
        ),
        5,
        FALSE
    )=0,
    "",
    VLOOKUP(
        $A34,
        _xlfn._xlws.FILTER(
            INDIRECT("'"&amp;N$14&amp;"'!A2:E1000"), (INDIRECT("'"&amp;N$14&amp;"'!B2:B1000")=$B34) * (INDIRECT("'"&amp;N$14&amp;"'!C2:C1000")=$C34)
        ),
        5,
        FALSE
    )
)</f>
        <v/>
      </c>
      <c r="O34" s="103">
        <f t="array" ref="O34">IF(
    VLOOKUP(
        $A34,
        _xlfn._xlws.FILTER(
            INDIRECT("'"&amp;O$14&amp;"'!A2:E1000"), (INDIRECT("'"&amp;O$14&amp;"'!B2:B1000")=$B34) * (INDIRECT("'"&amp;O$14&amp;"'!C2:C1000")=$C34)
        ),
        5,
        FALSE
    )=0,
    "",
    VLOOKUP(
        $A34,
        _xlfn._xlws.FILTER(
            INDIRECT("'"&amp;O$14&amp;"'!A2:E1000"), (INDIRECT("'"&amp;O$14&amp;"'!B2:B1000")=$B34) * (INDIRECT("'"&amp;O$14&amp;"'!C2:C1000")=$C34)
        ),
        5,
        FALSE
    )
)</f>
        <v/>
      </c>
      <c r="P34" s="103">
        <f t="array" ref="P34">IF(
    VLOOKUP(
        $A34,
        _xlfn._xlws.FILTER(
            INDIRECT("'"&amp;P$14&amp;"'!A2:E1000"), (INDIRECT("'"&amp;P$14&amp;"'!B2:B1000")=$B34) * (INDIRECT("'"&amp;P$14&amp;"'!C2:C1000")=$C34)
        ),
        5,
        FALSE
    )=0,
    "",
    VLOOKUP(
        $A34,
        _xlfn._xlws.FILTER(
            INDIRECT("'"&amp;P$14&amp;"'!A2:E1000"), (INDIRECT("'"&amp;P$14&amp;"'!B2:B1000")=$B34) * (INDIRECT("'"&amp;P$14&amp;"'!C2:C1000")=$C34)
        ),
        5,
        FALSE
    )
)</f>
        <v/>
      </c>
      <c r="Q34" s="103">
        <f t="array" ref="Q34">IF(
    VLOOKUP(
        $A34,
        _xlfn._xlws.FILTER(
            INDIRECT("'"&amp;Q$14&amp;"'!A2:E1000"), (INDIRECT("'"&amp;Q$14&amp;"'!B2:B1000")=$B34) * (INDIRECT("'"&amp;Q$14&amp;"'!C2:C1000")=$C34)
        ),
        5,
        FALSE
    )=0,
    "",
    VLOOKUP(
        $A34,
        _xlfn._xlws.FILTER(
            INDIRECT("'"&amp;Q$14&amp;"'!A2:E1000"), (INDIRECT("'"&amp;Q$14&amp;"'!B2:B1000")=$B34) * (INDIRECT("'"&amp;Q$14&amp;"'!C2:C1000")=$C34)
        ),
        5,
        FALSE
    )
)</f>
        <v/>
      </c>
    </row>
    <row r="35">
      <c r="A35" s="52" t="inlineStr">
        <is>
          <t>Gustavo</t>
        </is>
      </c>
      <c r="B35" s="50" t="inlineStr">
        <is>
          <t>Nova Aurora</t>
        </is>
      </c>
      <c r="C35" s="50" t="n">
        <v>1</v>
      </c>
      <c r="D35" s="103">
        <f t="array" ref="D35">IF(
    VLOOKUP(
        $A35,
        _xlfn._xlws.FILTER(
            INDIRECT("'"&amp;D$14&amp;"'!A2:E1000"), (INDIRECT("'"&amp;D$14&amp;"'!B2:B1000")=$B35) * (INDIRECT("'"&amp;D$14&amp;"'!C2:C1000")=$C35)
        ),
        5,
        FALSE
    )=0,
    "",
    VLOOKUP(
        $A35,
        _xlfn._xlws.FILTER(
            INDIRECT("'"&amp;D$14&amp;"'!A2:E1000"), (INDIRECT("'"&amp;D$14&amp;"'!B2:B1000")=$B35) * (INDIRECT("'"&amp;D$14&amp;"'!C2:C1000")=$C35)
        ),
        5,
        FALSE
    )
)</f>
        <v/>
      </c>
      <c r="E35" s="103">
        <f t="array" ref="E35">IF(
    VLOOKUP(
        $A35,
        _xlfn._xlws.FILTER(
            INDIRECT("'"&amp;E$14&amp;"'!A2:E1000"), (INDIRECT("'"&amp;E$14&amp;"'!B2:B1000")=$B35) * (INDIRECT("'"&amp;E$14&amp;"'!C2:C1000")=$C35)
        ),
        5,
        FALSE
    )=0,
    "",
    VLOOKUP(
        $A35,
        _xlfn._xlws.FILTER(
            INDIRECT("'"&amp;E$14&amp;"'!A2:E1000"), (INDIRECT("'"&amp;E$14&amp;"'!B2:B1000")=$B35) * (INDIRECT("'"&amp;E$14&amp;"'!C2:C1000")=$C35)
        ),
        5,
        FALSE
    )
)</f>
        <v/>
      </c>
      <c r="F35" s="103">
        <f t="array" ref="F35">IF(
    VLOOKUP(
        $A35,
        _xlfn._xlws.FILTER(
            INDIRECT("'"&amp;F$14&amp;"'!A2:E1000"), (INDIRECT("'"&amp;F$14&amp;"'!B2:B1000")=$B35) * (INDIRECT("'"&amp;F$14&amp;"'!C2:C1000")=$C35)
        ),
        5,
        FALSE
    )=0,
    "",
    VLOOKUP(
        $A35,
        _xlfn._xlws.FILTER(
            INDIRECT("'"&amp;F$14&amp;"'!A2:E1000"), (INDIRECT("'"&amp;F$14&amp;"'!B2:B1000")=$B35) * (INDIRECT("'"&amp;F$14&amp;"'!C2:C1000")=$C35)
        ),
        5,
        FALSE
    )
)</f>
        <v/>
      </c>
      <c r="G35" s="103">
        <f t="array" ref="G35">IF(
    VLOOKUP(
        $A35,
        _xlfn._xlws.FILTER(
            INDIRECT("'"&amp;G$14&amp;"'!A2:E1000"), (INDIRECT("'"&amp;G$14&amp;"'!B2:B1000")=$B35) * (INDIRECT("'"&amp;G$14&amp;"'!C2:C1000")=$C35)
        ),
        5,
        FALSE
    )=0,
    "",
    VLOOKUP(
        $A35,
        _xlfn._xlws.FILTER(
            INDIRECT("'"&amp;G$14&amp;"'!A2:E1000"), (INDIRECT("'"&amp;G$14&amp;"'!B2:B1000")=$B35) * (INDIRECT("'"&amp;G$14&amp;"'!C2:C1000")=$C35)
        ),
        5,
        FALSE
    )
)</f>
        <v/>
      </c>
      <c r="H35" s="103">
        <f t="array" ref="H35">IF(
    VLOOKUP(
        $A35,
        _xlfn._xlws.FILTER(
            INDIRECT("'"&amp;H$14&amp;"'!A2:E1000"), (INDIRECT("'"&amp;H$14&amp;"'!B2:B1000")=$B35) * (INDIRECT("'"&amp;H$14&amp;"'!C2:C1000")=$C35)
        ),
        5,
        FALSE
    )=0,
    "",
    VLOOKUP(
        $A35,
        _xlfn._xlws.FILTER(
            INDIRECT("'"&amp;H$14&amp;"'!A2:E1000"), (INDIRECT("'"&amp;H$14&amp;"'!B2:B1000")=$B35) * (INDIRECT("'"&amp;H$14&amp;"'!C2:C1000")=$C35)
        ),
        5,
        FALSE
    )
)</f>
        <v/>
      </c>
      <c r="I35" s="103">
        <f t="array" ref="I35">IF(
    VLOOKUP(
        $A35,
        _xlfn._xlws.FILTER(
            INDIRECT("'"&amp;I$14&amp;"'!A2:E1000"), (INDIRECT("'"&amp;I$14&amp;"'!B2:B1000")=$B35) * (INDIRECT("'"&amp;I$14&amp;"'!C2:C1000")=$C35)
        ),
        5,
        FALSE
    )=0,
    "",
    VLOOKUP(
        $A35,
        _xlfn._xlws.FILTER(
            INDIRECT("'"&amp;I$14&amp;"'!A2:E1000"), (INDIRECT("'"&amp;I$14&amp;"'!B2:B1000")=$B35) * (INDIRECT("'"&amp;I$14&amp;"'!C2:C1000")=$C35)
        ),
        5,
        FALSE
    )
)</f>
        <v/>
      </c>
      <c r="J35" s="103">
        <f t="array" ref="J35">IF(
    VLOOKUP(
        $A35,
        _xlfn._xlws.FILTER(
            INDIRECT("'"&amp;J$14&amp;"'!A2:E1000"), (INDIRECT("'"&amp;J$14&amp;"'!B2:B1000")=$B35) * (INDIRECT("'"&amp;J$14&amp;"'!C2:C1000")=$C35)
        ),
        5,
        FALSE
    )=0,
    "",
    VLOOKUP(
        $A35,
        _xlfn._xlws.FILTER(
            INDIRECT("'"&amp;J$14&amp;"'!A2:E1000"), (INDIRECT("'"&amp;J$14&amp;"'!B2:B1000")=$B35) * (INDIRECT("'"&amp;J$14&amp;"'!C2:C1000")=$C35)
        ),
        5,
        FALSE
    )
)</f>
        <v/>
      </c>
      <c r="K35" s="103">
        <f t="array" ref="K35">IF(
    VLOOKUP(
        $A35,
        _xlfn._xlws.FILTER(
            INDIRECT("'"&amp;K$14&amp;"'!A2:E1000"), (INDIRECT("'"&amp;K$14&amp;"'!B2:B1000")=$B35) * (INDIRECT("'"&amp;K$14&amp;"'!C2:C1000")=$C35)
        ),
        5,
        FALSE
    )=0,
    "",
    VLOOKUP(
        $A35,
        _xlfn._xlws.FILTER(
            INDIRECT("'"&amp;K$14&amp;"'!A2:E1000"), (INDIRECT("'"&amp;K$14&amp;"'!B2:B1000")=$B35) * (INDIRECT("'"&amp;K$14&amp;"'!C2:C1000")=$C35)
        ),
        5,
        FALSE
    )
)</f>
        <v/>
      </c>
      <c r="L35" s="103">
        <f t="array" ref="L35">IF(
    VLOOKUP(
        $A35,
        _xlfn._xlws.FILTER(
            INDIRECT("'"&amp;L$14&amp;"'!A2:E1000"), (INDIRECT("'"&amp;L$14&amp;"'!B2:B1000")=$B35) * (INDIRECT("'"&amp;L$14&amp;"'!C2:C1000")=$C35)
        ),
        5,
        FALSE
    )=0,
    "",
    VLOOKUP(
        $A35,
        _xlfn._xlws.FILTER(
            INDIRECT("'"&amp;L$14&amp;"'!A2:E1000"), (INDIRECT("'"&amp;L$14&amp;"'!B2:B1000")=$B35) * (INDIRECT("'"&amp;L$14&amp;"'!C2:C1000")=$C35)
        ),
        5,
        FALSE
    )
)</f>
        <v/>
      </c>
      <c r="M35" s="103">
        <f t="array" ref="M35">IF(
    VLOOKUP(
        $A35,
        _xlfn._xlws.FILTER(
            INDIRECT("'"&amp;M$14&amp;"'!A2:E1000"), (INDIRECT("'"&amp;M$14&amp;"'!B2:B1000")=$B35) * (INDIRECT("'"&amp;M$14&amp;"'!C2:C1000")=$C35)
        ),
        5,
        FALSE
    )=0,
    "",
    VLOOKUP(
        $A35,
        _xlfn._xlws.FILTER(
            INDIRECT("'"&amp;M$14&amp;"'!A2:E1000"), (INDIRECT("'"&amp;M$14&amp;"'!B2:B1000")=$B35) * (INDIRECT("'"&amp;M$14&amp;"'!C2:C1000")=$C35)
        ),
        5,
        FALSE
    )
)</f>
        <v/>
      </c>
      <c r="N35" s="103">
        <f t="array" ref="N35">IF(
    VLOOKUP(
        $A35,
        _xlfn._xlws.FILTER(
            INDIRECT("'"&amp;N$14&amp;"'!A2:E1000"), (INDIRECT("'"&amp;N$14&amp;"'!B2:B1000")=$B35) * (INDIRECT("'"&amp;N$14&amp;"'!C2:C1000")=$C35)
        ),
        5,
        FALSE
    )=0,
    "",
    VLOOKUP(
        $A35,
        _xlfn._xlws.FILTER(
            INDIRECT("'"&amp;N$14&amp;"'!A2:E1000"), (INDIRECT("'"&amp;N$14&amp;"'!B2:B1000")=$B35) * (INDIRECT("'"&amp;N$14&amp;"'!C2:C1000")=$C35)
        ),
        5,
        FALSE
    )
)</f>
        <v/>
      </c>
      <c r="O35" s="103">
        <f t="array" ref="O35">IF(
    VLOOKUP(
        $A35,
        _xlfn._xlws.FILTER(
            INDIRECT("'"&amp;O$14&amp;"'!A2:E1000"), (INDIRECT("'"&amp;O$14&amp;"'!B2:B1000")=$B35) * (INDIRECT("'"&amp;O$14&amp;"'!C2:C1000")=$C35)
        ),
        5,
        FALSE
    )=0,
    "",
    VLOOKUP(
        $A35,
        _xlfn._xlws.FILTER(
            INDIRECT("'"&amp;O$14&amp;"'!A2:E1000"), (INDIRECT("'"&amp;O$14&amp;"'!B2:B1000")=$B35) * (INDIRECT("'"&amp;O$14&amp;"'!C2:C1000")=$C35)
        ),
        5,
        FALSE
    )
)</f>
        <v/>
      </c>
      <c r="P35" s="103">
        <f t="array" ref="P35">IF(
    VLOOKUP(
        $A35,
        _xlfn._xlws.FILTER(
            INDIRECT("'"&amp;P$14&amp;"'!A2:E1000"), (INDIRECT("'"&amp;P$14&amp;"'!B2:B1000")=$B35) * (INDIRECT("'"&amp;P$14&amp;"'!C2:C1000")=$C35)
        ),
        5,
        FALSE
    )=0,
    "",
    VLOOKUP(
        $A35,
        _xlfn._xlws.FILTER(
            INDIRECT("'"&amp;P$14&amp;"'!A2:E1000"), (INDIRECT("'"&amp;P$14&amp;"'!B2:B1000")=$B35) * (INDIRECT("'"&amp;P$14&amp;"'!C2:C1000")=$C35)
        ),
        5,
        FALSE
    )
)</f>
        <v/>
      </c>
      <c r="Q35" s="103">
        <f t="array" ref="Q35">IF(
    VLOOKUP(
        $A35,
        _xlfn._xlws.FILTER(
            INDIRECT("'"&amp;Q$14&amp;"'!A2:E1000"), (INDIRECT("'"&amp;Q$14&amp;"'!B2:B1000")=$B35) * (INDIRECT("'"&amp;Q$14&amp;"'!C2:C1000")=$C35)
        ),
        5,
        FALSE
    )=0,
    "",
    VLOOKUP(
        $A35,
        _xlfn._xlws.FILTER(
            INDIRECT("'"&amp;Q$14&amp;"'!A2:E1000"), (INDIRECT("'"&amp;Q$14&amp;"'!B2:B1000")=$B35) * (INDIRECT("'"&amp;Q$14&amp;"'!C2:C1000")=$C35)
        ),
        5,
        FALSE
    )
)</f>
        <v/>
      </c>
    </row>
    <row r="36">
      <c r="A36" s="52" t="inlineStr">
        <is>
          <t>Gustavo</t>
        </is>
      </c>
      <c r="B36" s="50" t="inlineStr">
        <is>
          <t>Palotina</t>
        </is>
      </c>
      <c r="C36" s="50" t="n">
        <v>1</v>
      </c>
      <c r="D36" s="103">
        <f t="array" ref="D36">IF(
    VLOOKUP(
        $A36,
        _xlfn._xlws.FILTER(
            INDIRECT("'"&amp;D$14&amp;"'!A2:E1000"), (INDIRECT("'"&amp;D$14&amp;"'!B2:B1000")=$B36) * (INDIRECT("'"&amp;D$14&amp;"'!C2:C1000")=$C36)
        ),
        5,
        FALSE
    )=0,
    "",
    VLOOKUP(
        $A36,
        _xlfn._xlws.FILTER(
            INDIRECT("'"&amp;D$14&amp;"'!A2:E1000"), (INDIRECT("'"&amp;D$14&amp;"'!B2:B1000")=$B36) * (INDIRECT("'"&amp;D$14&amp;"'!C2:C1000")=$C36)
        ),
        5,
        FALSE
    )
)</f>
        <v/>
      </c>
      <c r="E36" s="103">
        <f t="array" ref="E36">IF(
    VLOOKUP(
        $A36,
        _xlfn._xlws.FILTER(
            INDIRECT("'"&amp;E$14&amp;"'!A2:E1000"), (INDIRECT("'"&amp;E$14&amp;"'!B2:B1000")=$B36) * (INDIRECT("'"&amp;E$14&amp;"'!C2:C1000")=$C36)
        ),
        5,
        FALSE
    )=0,
    "",
    VLOOKUP(
        $A36,
        _xlfn._xlws.FILTER(
            INDIRECT("'"&amp;E$14&amp;"'!A2:E1000"), (INDIRECT("'"&amp;E$14&amp;"'!B2:B1000")=$B36) * (INDIRECT("'"&amp;E$14&amp;"'!C2:C1000")=$C36)
        ),
        5,
        FALSE
    )
)</f>
        <v/>
      </c>
      <c r="F36" s="103">
        <f t="array" ref="F36">IF(
    VLOOKUP(
        $A36,
        _xlfn._xlws.FILTER(
            INDIRECT("'"&amp;F$14&amp;"'!A2:E1000"), (INDIRECT("'"&amp;F$14&amp;"'!B2:B1000")=$B36) * (INDIRECT("'"&amp;F$14&amp;"'!C2:C1000")=$C36)
        ),
        5,
        FALSE
    )=0,
    "",
    VLOOKUP(
        $A36,
        _xlfn._xlws.FILTER(
            INDIRECT("'"&amp;F$14&amp;"'!A2:E1000"), (INDIRECT("'"&amp;F$14&amp;"'!B2:B1000")=$B36) * (INDIRECT("'"&amp;F$14&amp;"'!C2:C1000")=$C36)
        ),
        5,
        FALSE
    )
)</f>
        <v/>
      </c>
      <c r="G36" s="103">
        <f t="array" ref="G36">IF(
    VLOOKUP(
        $A36,
        _xlfn._xlws.FILTER(
            INDIRECT("'"&amp;G$14&amp;"'!A2:E1000"), (INDIRECT("'"&amp;G$14&amp;"'!B2:B1000")=$B36) * (INDIRECT("'"&amp;G$14&amp;"'!C2:C1000")=$C36)
        ),
        5,
        FALSE
    )=0,
    "",
    VLOOKUP(
        $A36,
        _xlfn._xlws.FILTER(
            INDIRECT("'"&amp;G$14&amp;"'!A2:E1000"), (INDIRECT("'"&amp;G$14&amp;"'!B2:B1000")=$B36) * (INDIRECT("'"&amp;G$14&amp;"'!C2:C1000")=$C36)
        ),
        5,
        FALSE
    )
)</f>
        <v/>
      </c>
      <c r="H36" s="103">
        <f t="array" ref="H36">IF(
    VLOOKUP(
        $A36,
        _xlfn._xlws.FILTER(
            INDIRECT("'"&amp;H$14&amp;"'!A2:E1000"), (INDIRECT("'"&amp;H$14&amp;"'!B2:B1000")=$B36) * (INDIRECT("'"&amp;H$14&amp;"'!C2:C1000")=$C36)
        ),
        5,
        FALSE
    )=0,
    "",
    VLOOKUP(
        $A36,
        _xlfn._xlws.FILTER(
            INDIRECT("'"&amp;H$14&amp;"'!A2:E1000"), (INDIRECT("'"&amp;H$14&amp;"'!B2:B1000")=$B36) * (INDIRECT("'"&amp;H$14&amp;"'!C2:C1000")=$C36)
        ),
        5,
        FALSE
    )
)</f>
        <v/>
      </c>
      <c r="I36" s="103">
        <f t="array" ref="I36">IF(
    VLOOKUP(
        $A36,
        _xlfn._xlws.FILTER(
            INDIRECT("'"&amp;I$14&amp;"'!A2:E1000"), (INDIRECT("'"&amp;I$14&amp;"'!B2:B1000")=$B36) * (INDIRECT("'"&amp;I$14&amp;"'!C2:C1000")=$C36)
        ),
        5,
        FALSE
    )=0,
    "",
    VLOOKUP(
        $A36,
        _xlfn._xlws.FILTER(
            INDIRECT("'"&amp;I$14&amp;"'!A2:E1000"), (INDIRECT("'"&amp;I$14&amp;"'!B2:B1000")=$B36) * (INDIRECT("'"&amp;I$14&amp;"'!C2:C1000")=$C36)
        ),
        5,
        FALSE
    )
)</f>
        <v/>
      </c>
      <c r="J36" s="103">
        <f t="array" ref="J36">IF(
    VLOOKUP(
        $A36,
        _xlfn._xlws.FILTER(
            INDIRECT("'"&amp;J$14&amp;"'!A2:E1000"), (INDIRECT("'"&amp;J$14&amp;"'!B2:B1000")=$B36) * (INDIRECT("'"&amp;J$14&amp;"'!C2:C1000")=$C36)
        ),
        5,
        FALSE
    )=0,
    "",
    VLOOKUP(
        $A36,
        _xlfn._xlws.FILTER(
            INDIRECT("'"&amp;J$14&amp;"'!A2:E1000"), (INDIRECT("'"&amp;J$14&amp;"'!B2:B1000")=$B36) * (INDIRECT("'"&amp;J$14&amp;"'!C2:C1000")=$C36)
        ),
        5,
        FALSE
    )
)</f>
        <v/>
      </c>
      <c r="K36" s="103">
        <f t="array" ref="K36">IF(
    VLOOKUP(
        $A36,
        _xlfn._xlws.FILTER(
            INDIRECT("'"&amp;K$14&amp;"'!A2:E1000"), (INDIRECT("'"&amp;K$14&amp;"'!B2:B1000")=$B36) * (INDIRECT("'"&amp;K$14&amp;"'!C2:C1000")=$C36)
        ),
        5,
        FALSE
    )=0,
    "",
    VLOOKUP(
        $A36,
        _xlfn._xlws.FILTER(
            INDIRECT("'"&amp;K$14&amp;"'!A2:E1000"), (INDIRECT("'"&amp;K$14&amp;"'!B2:B1000")=$B36) * (INDIRECT("'"&amp;K$14&amp;"'!C2:C1000")=$C36)
        ),
        5,
        FALSE
    )
)</f>
        <v/>
      </c>
      <c r="L36" s="103">
        <f t="array" ref="L36">IF(
    VLOOKUP(
        $A36,
        _xlfn._xlws.FILTER(
            INDIRECT("'"&amp;L$14&amp;"'!A2:E1000"), (INDIRECT("'"&amp;L$14&amp;"'!B2:B1000")=$B36) * (INDIRECT("'"&amp;L$14&amp;"'!C2:C1000")=$C36)
        ),
        5,
        FALSE
    )=0,
    "",
    VLOOKUP(
        $A36,
        _xlfn._xlws.FILTER(
            INDIRECT("'"&amp;L$14&amp;"'!A2:E1000"), (INDIRECT("'"&amp;L$14&amp;"'!B2:B1000")=$B36) * (INDIRECT("'"&amp;L$14&amp;"'!C2:C1000")=$C36)
        ),
        5,
        FALSE
    )
)</f>
        <v/>
      </c>
      <c r="M36" s="103">
        <f t="array" ref="M36">IF(
    VLOOKUP(
        $A36,
        _xlfn._xlws.FILTER(
            INDIRECT("'"&amp;M$14&amp;"'!A2:E1000"), (INDIRECT("'"&amp;M$14&amp;"'!B2:B1000")=$B36) * (INDIRECT("'"&amp;M$14&amp;"'!C2:C1000")=$C36)
        ),
        5,
        FALSE
    )=0,
    "",
    VLOOKUP(
        $A36,
        _xlfn._xlws.FILTER(
            INDIRECT("'"&amp;M$14&amp;"'!A2:E1000"), (INDIRECT("'"&amp;M$14&amp;"'!B2:B1000")=$B36) * (INDIRECT("'"&amp;M$14&amp;"'!C2:C1000")=$C36)
        ),
        5,
        FALSE
    )
)</f>
        <v/>
      </c>
      <c r="N36" s="103">
        <f t="array" ref="N36">IF(
    VLOOKUP(
        $A36,
        _xlfn._xlws.FILTER(
            INDIRECT("'"&amp;N$14&amp;"'!A2:E1000"), (INDIRECT("'"&amp;N$14&amp;"'!B2:B1000")=$B36) * (INDIRECT("'"&amp;N$14&amp;"'!C2:C1000")=$C36)
        ),
        5,
        FALSE
    )=0,
    "",
    VLOOKUP(
        $A36,
        _xlfn._xlws.FILTER(
            INDIRECT("'"&amp;N$14&amp;"'!A2:E1000"), (INDIRECT("'"&amp;N$14&amp;"'!B2:B1000")=$B36) * (INDIRECT("'"&amp;N$14&amp;"'!C2:C1000")=$C36)
        ),
        5,
        FALSE
    )
)</f>
        <v/>
      </c>
      <c r="O36" s="103">
        <f t="array" ref="O36">IF(
    VLOOKUP(
        $A36,
        _xlfn._xlws.FILTER(
            INDIRECT("'"&amp;O$14&amp;"'!A2:E1000"), (INDIRECT("'"&amp;O$14&amp;"'!B2:B1000")=$B36) * (INDIRECT("'"&amp;O$14&amp;"'!C2:C1000")=$C36)
        ),
        5,
        FALSE
    )=0,
    "",
    VLOOKUP(
        $A36,
        _xlfn._xlws.FILTER(
            INDIRECT("'"&amp;O$14&amp;"'!A2:E1000"), (INDIRECT("'"&amp;O$14&amp;"'!B2:B1000")=$B36) * (INDIRECT("'"&amp;O$14&amp;"'!C2:C1000")=$C36)
        ),
        5,
        FALSE
    )
)</f>
        <v/>
      </c>
      <c r="P36" s="103">
        <f t="array" ref="P36">IF(
    VLOOKUP(
        $A36,
        _xlfn._xlws.FILTER(
            INDIRECT("'"&amp;P$14&amp;"'!A2:E1000"), (INDIRECT("'"&amp;P$14&amp;"'!B2:B1000")=$B36) * (INDIRECT("'"&amp;P$14&amp;"'!C2:C1000")=$C36)
        ),
        5,
        FALSE
    )=0,
    "",
    VLOOKUP(
        $A36,
        _xlfn._xlws.FILTER(
            INDIRECT("'"&amp;P$14&amp;"'!A2:E1000"), (INDIRECT("'"&amp;P$14&amp;"'!B2:B1000")=$B36) * (INDIRECT("'"&amp;P$14&amp;"'!C2:C1000")=$C36)
        ),
        5,
        FALSE
    )
)</f>
        <v/>
      </c>
      <c r="Q36" s="103">
        <f t="array" ref="Q36">IF(
    VLOOKUP(
        $A36,
        _xlfn._xlws.FILTER(
            INDIRECT("'"&amp;Q$14&amp;"'!A2:E1000"), (INDIRECT("'"&amp;Q$14&amp;"'!B2:B1000")=$B36) * (INDIRECT("'"&amp;Q$14&amp;"'!C2:C1000")=$C36)
        ),
        5,
        FALSE
    )=0,
    "",
    VLOOKUP(
        $A36,
        _xlfn._xlws.FILTER(
            INDIRECT("'"&amp;Q$14&amp;"'!A2:E1000"), (INDIRECT("'"&amp;Q$14&amp;"'!B2:B1000")=$B36) * (INDIRECT("'"&amp;Q$14&amp;"'!C2:C1000")=$C36)
        ),
        5,
        FALSE
    )
)</f>
        <v/>
      </c>
    </row>
    <row r="37">
      <c r="A37" s="52" t="inlineStr">
        <is>
          <t>Gustavo</t>
        </is>
      </c>
      <c r="B37" s="50" t="inlineStr">
        <is>
          <t>Tupassi</t>
        </is>
      </c>
      <c r="C37" s="50" t="n">
        <v>1</v>
      </c>
      <c r="D37" s="103">
        <f t="array" ref="D37">IF(
    VLOOKUP(
        $A37,
        _xlfn._xlws.FILTER(
            INDIRECT("'"&amp;D$14&amp;"'!A2:E1000"), (INDIRECT("'"&amp;D$14&amp;"'!B2:B1000")=$B37) * (INDIRECT("'"&amp;D$14&amp;"'!C2:C1000")=$C37)
        ),
        5,
        FALSE
    )=0,
    "",
    VLOOKUP(
        $A37,
        _xlfn._xlws.FILTER(
            INDIRECT("'"&amp;D$14&amp;"'!A2:E1000"), (INDIRECT("'"&amp;D$14&amp;"'!B2:B1000")=$B37) * (INDIRECT("'"&amp;D$14&amp;"'!C2:C1000")=$C37)
        ),
        5,
        FALSE
    )
)</f>
        <v/>
      </c>
      <c r="E37" s="103">
        <f t="array" ref="E37">IF(
    VLOOKUP(
        $A37,
        _xlfn._xlws.FILTER(
            INDIRECT("'"&amp;E$14&amp;"'!A2:E1000"), (INDIRECT("'"&amp;E$14&amp;"'!B2:B1000")=$B37) * (INDIRECT("'"&amp;E$14&amp;"'!C2:C1000")=$C37)
        ),
        5,
        FALSE
    )=0,
    "",
    VLOOKUP(
        $A37,
        _xlfn._xlws.FILTER(
            INDIRECT("'"&amp;E$14&amp;"'!A2:E1000"), (INDIRECT("'"&amp;E$14&amp;"'!B2:B1000")=$B37) * (INDIRECT("'"&amp;E$14&amp;"'!C2:C1000")=$C37)
        ),
        5,
        FALSE
    )
)</f>
        <v/>
      </c>
      <c r="F37" s="103">
        <f t="array" ref="F37">IF(
    VLOOKUP(
        $A37,
        _xlfn._xlws.FILTER(
            INDIRECT("'"&amp;F$14&amp;"'!A2:E1000"), (INDIRECT("'"&amp;F$14&amp;"'!B2:B1000")=$B37) * (INDIRECT("'"&amp;F$14&amp;"'!C2:C1000")=$C37)
        ),
        5,
        FALSE
    )=0,
    "",
    VLOOKUP(
        $A37,
        _xlfn._xlws.FILTER(
            INDIRECT("'"&amp;F$14&amp;"'!A2:E1000"), (INDIRECT("'"&amp;F$14&amp;"'!B2:B1000")=$B37) * (INDIRECT("'"&amp;F$14&amp;"'!C2:C1000")=$C37)
        ),
        5,
        FALSE
    )
)</f>
        <v/>
      </c>
      <c r="G37" s="103">
        <f t="array" ref="G37">IF(
    VLOOKUP(
        $A37,
        _xlfn._xlws.FILTER(
            INDIRECT("'"&amp;G$14&amp;"'!A2:E1000"), (INDIRECT("'"&amp;G$14&amp;"'!B2:B1000")=$B37) * (INDIRECT("'"&amp;G$14&amp;"'!C2:C1000")=$C37)
        ),
        5,
        FALSE
    )=0,
    "",
    VLOOKUP(
        $A37,
        _xlfn._xlws.FILTER(
            INDIRECT("'"&amp;G$14&amp;"'!A2:E1000"), (INDIRECT("'"&amp;G$14&amp;"'!B2:B1000")=$B37) * (INDIRECT("'"&amp;G$14&amp;"'!C2:C1000")=$C37)
        ),
        5,
        FALSE
    )
)</f>
        <v/>
      </c>
      <c r="H37" s="103">
        <f t="array" ref="H37">IF(
    VLOOKUP(
        $A37,
        _xlfn._xlws.FILTER(
            INDIRECT("'"&amp;H$14&amp;"'!A2:E1000"), (INDIRECT("'"&amp;H$14&amp;"'!B2:B1000")=$B37) * (INDIRECT("'"&amp;H$14&amp;"'!C2:C1000")=$C37)
        ),
        5,
        FALSE
    )=0,
    "",
    VLOOKUP(
        $A37,
        _xlfn._xlws.FILTER(
            INDIRECT("'"&amp;H$14&amp;"'!A2:E1000"), (INDIRECT("'"&amp;H$14&amp;"'!B2:B1000")=$B37) * (INDIRECT("'"&amp;H$14&amp;"'!C2:C1000")=$C37)
        ),
        5,
        FALSE
    )
)</f>
        <v/>
      </c>
      <c r="I37" s="103">
        <f t="array" ref="I37">IF(
    VLOOKUP(
        $A37,
        _xlfn._xlws.FILTER(
            INDIRECT("'"&amp;I$14&amp;"'!A2:E1000"), (INDIRECT("'"&amp;I$14&amp;"'!B2:B1000")=$B37) * (INDIRECT("'"&amp;I$14&amp;"'!C2:C1000")=$C37)
        ),
        5,
        FALSE
    )=0,
    "",
    VLOOKUP(
        $A37,
        _xlfn._xlws.FILTER(
            INDIRECT("'"&amp;I$14&amp;"'!A2:E1000"), (INDIRECT("'"&amp;I$14&amp;"'!B2:B1000")=$B37) * (INDIRECT("'"&amp;I$14&amp;"'!C2:C1000")=$C37)
        ),
        5,
        FALSE
    )
)</f>
        <v/>
      </c>
      <c r="J37" s="103">
        <f t="array" ref="J37">IF(
    VLOOKUP(
        $A37,
        _xlfn._xlws.FILTER(
            INDIRECT("'"&amp;J$14&amp;"'!A2:E1000"), (INDIRECT("'"&amp;J$14&amp;"'!B2:B1000")=$B37) * (INDIRECT("'"&amp;J$14&amp;"'!C2:C1000")=$C37)
        ),
        5,
        FALSE
    )=0,
    "",
    VLOOKUP(
        $A37,
        _xlfn._xlws.FILTER(
            INDIRECT("'"&amp;J$14&amp;"'!A2:E1000"), (INDIRECT("'"&amp;J$14&amp;"'!B2:B1000")=$B37) * (INDIRECT("'"&amp;J$14&amp;"'!C2:C1000")=$C37)
        ),
        5,
        FALSE
    )
)</f>
        <v/>
      </c>
      <c r="K37" s="103">
        <f t="array" ref="K37">IF(
    VLOOKUP(
        $A37,
        _xlfn._xlws.FILTER(
            INDIRECT("'"&amp;K$14&amp;"'!A2:E1000"), (INDIRECT("'"&amp;K$14&amp;"'!B2:B1000")=$B37) * (INDIRECT("'"&amp;K$14&amp;"'!C2:C1000")=$C37)
        ),
        5,
        FALSE
    )=0,
    "",
    VLOOKUP(
        $A37,
        _xlfn._xlws.FILTER(
            INDIRECT("'"&amp;K$14&amp;"'!A2:E1000"), (INDIRECT("'"&amp;K$14&amp;"'!B2:B1000")=$B37) * (INDIRECT("'"&amp;K$14&amp;"'!C2:C1000")=$C37)
        ),
        5,
        FALSE
    )
)</f>
        <v/>
      </c>
      <c r="L37" s="103">
        <f t="array" ref="L37">IF(
    VLOOKUP(
        $A37,
        _xlfn._xlws.FILTER(
            INDIRECT("'"&amp;L$14&amp;"'!A2:E1000"), (INDIRECT("'"&amp;L$14&amp;"'!B2:B1000")=$B37) * (INDIRECT("'"&amp;L$14&amp;"'!C2:C1000")=$C37)
        ),
        5,
        FALSE
    )=0,
    "",
    VLOOKUP(
        $A37,
        _xlfn._xlws.FILTER(
            INDIRECT("'"&amp;L$14&amp;"'!A2:E1000"), (INDIRECT("'"&amp;L$14&amp;"'!B2:B1000")=$B37) * (INDIRECT("'"&amp;L$14&amp;"'!C2:C1000")=$C37)
        ),
        5,
        FALSE
    )
)</f>
        <v/>
      </c>
      <c r="M37" s="103">
        <f t="array" ref="M37">IF(
    VLOOKUP(
        $A37,
        _xlfn._xlws.FILTER(
            INDIRECT("'"&amp;M$14&amp;"'!A2:E1000"), (INDIRECT("'"&amp;M$14&amp;"'!B2:B1000")=$B37) * (INDIRECT("'"&amp;M$14&amp;"'!C2:C1000")=$C37)
        ),
        5,
        FALSE
    )=0,
    "",
    VLOOKUP(
        $A37,
        _xlfn._xlws.FILTER(
            INDIRECT("'"&amp;M$14&amp;"'!A2:E1000"), (INDIRECT("'"&amp;M$14&amp;"'!B2:B1000")=$B37) * (INDIRECT("'"&amp;M$14&amp;"'!C2:C1000")=$C37)
        ),
        5,
        FALSE
    )
)</f>
        <v/>
      </c>
      <c r="N37" s="103">
        <f t="array" ref="N37">IF(
    VLOOKUP(
        $A37,
        _xlfn._xlws.FILTER(
            INDIRECT("'"&amp;N$14&amp;"'!A2:E1000"), (INDIRECT("'"&amp;N$14&amp;"'!B2:B1000")=$B37) * (INDIRECT("'"&amp;N$14&amp;"'!C2:C1000")=$C37)
        ),
        5,
        FALSE
    )=0,
    "",
    VLOOKUP(
        $A37,
        _xlfn._xlws.FILTER(
            INDIRECT("'"&amp;N$14&amp;"'!A2:E1000"), (INDIRECT("'"&amp;N$14&amp;"'!B2:B1000")=$B37) * (INDIRECT("'"&amp;N$14&amp;"'!C2:C1000")=$C37)
        ),
        5,
        FALSE
    )
)</f>
        <v/>
      </c>
      <c r="O37" s="103">
        <f t="array" ref="O37">IF(
    VLOOKUP(
        $A37,
        _xlfn._xlws.FILTER(
            INDIRECT("'"&amp;O$14&amp;"'!A2:E1000"), (INDIRECT("'"&amp;O$14&amp;"'!B2:B1000")=$B37) * (INDIRECT("'"&amp;O$14&amp;"'!C2:C1000")=$C37)
        ),
        5,
        FALSE
    )=0,
    "",
    VLOOKUP(
        $A37,
        _xlfn._xlws.FILTER(
            INDIRECT("'"&amp;O$14&amp;"'!A2:E1000"), (INDIRECT("'"&amp;O$14&amp;"'!B2:B1000")=$B37) * (INDIRECT("'"&amp;O$14&amp;"'!C2:C1000")=$C37)
        ),
        5,
        FALSE
    )
)</f>
        <v/>
      </c>
      <c r="P37" s="103">
        <f t="array" ref="P37">IF(
    VLOOKUP(
        $A37,
        _xlfn._xlws.FILTER(
            INDIRECT("'"&amp;P$14&amp;"'!A2:E1000"), (INDIRECT("'"&amp;P$14&amp;"'!B2:B1000")=$B37) * (INDIRECT("'"&amp;P$14&amp;"'!C2:C1000")=$C37)
        ),
        5,
        FALSE
    )=0,
    "",
    VLOOKUP(
        $A37,
        _xlfn._xlws.FILTER(
            INDIRECT("'"&amp;P$14&amp;"'!A2:E1000"), (INDIRECT("'"&amp;P$14&amp;"'!B2:B1000")=$B37) * (INDIRECT("'"&amp;P$14&amp;"'!C2:C1000")=$C37)
        ),
        5,
        FALSE
    )
)</f>
        <v/>
      </c>
      <c r="Q37" s="103">
        <f t="array" ref="Q37">IF(
    VLOOKUP(
        $A37,
        _xlfn._xlws.FILTER(
            INDIRECT("'"&amp;Q$14&amp;"'!A2:E1000"), (INDIRECT("'"&amp;Q$14&amp;"'!B2:B1000")=$B37) * (INDIRECT("'"&amp;Q$14&amp;"'!C2:C1000")=$C37)
        ),
        5,
        FALSE
    )=0,
    "",
    VLOOKUP(
        $A37,
        _xlfn._xlws.FILTER(
            INDIRECT("'"&amp;Q$14&amp;"'!A2:E1000"), (INDIRECT("'"&amp;Q$14&amp;"'!B2:B1000")=$B37) * (INDIRECT("'"&amp;Q$14&amp;"'!C2:C1000")=$C37)
        ),
        5,
        FALSE
    )
)</f>
        <v/>
      </c>
    </row>
    <row r="38">
      <c r="A38" s="52" t="inlineStr">
        <is>
          <t>Gustavo</t>
        </is>
      </c>
      <c r="B38" s="50" t="inlineStr">
        <is>
          <t>Ubirata</t>
        </is>
      </c>
      <c r="C38" s="50" t="n">
        <v>1</v>
      </c>
      <c r="D38" s="103">
        <f t="array" ref="D38">IF(
    VLOOKUP(
        $A38,
        _xlfn._xlws.FILTER(
            INDIRECT("'"&amp;D$14&amp;"'!A2:E1000"), (INDIRECT("'"&amp;D$14&amp;"'!B2:B1000")=$B38) * (INDIRECT("'"&amp;D$14&amp;"'!C2:C1000")=$C38)
        ),
        5,
        FALSE
    )=0,
    "",
    VLOOKUP(
        $A38,
        _xlfn._xlws.FILTER(
            INDIRECT("'"&amp;D$14&amp;"'!A2:E1000"), (INDIRECT("'"&amp;D$14&amp;"'!B2:B1000")=$B38) * (INDIRECT("'"&amp;D$14&amp;"'!C2:C1000")=$C38)
        ),
        5,
        FALSE
    )
)</f>
        <v/>
      </c>
      <c r="E38" s="103">
        <f t="array" ref="E38">IF(
    VLOOKUP(
        $A38,
        _xlfn._xlws.FILTER(
            INDIRECT("'"&amp;E$14&amp;"'!A2:E1000"), (INDIRECT("'"&amp;E$14&amp;"'!B2:B1000")=$B38) * (INDIRECT("'"&amp;E$14&amp;"'!C2:C1000")=$C38)
        ),
        5,
        FALSE
    )=0,
    "",
    VLOOKUP(
        $A38,
        _xlfn._xlws.FILTER(
            INDIRECT("'"&amp;E$14&amp;"'!A2:E1000"), (INDIRECT("'"&amp;E$14&amp;"'!B2:B1000")=$B38) * (INDIRECT("'"&amp;E$14&amp;"'!C2:C1000")=$C38)
        ),
        5,
        FALSE
    )
)</f>
        <v/>
      </c>
      <c r="F38" s="103">
        <f t="array" ref="F38">IF(
    VLOOKUP(
        $A38,
        _xlfn._xlws.FILTER(
            INDIRECT("'"&amp;F$14&amp;"'!A2:E1000"), (INDIRECT("'"&amp;F$14&amp;"'!B2:B1000")=$B38) * (INDIRECT("'"&amp;F$14&amp;"'!C2:C1000")=$C38)
        ),
        5,
        FALSE
    )=0,
    "",
    VLOOKUP(
        $A38,
        _xlfn._xlws.FILTER(
            INDIRECT("'"&amp;F$14&amp;"'!A2:E1000"), (INDIRECT("'"&amp;F$14&amp;"'!B2:B1000")=$B38) * (INDIRECT("'"&amp;F$14&amp;"'!C2:C1000")=$C38)
        ),
        5,
        FALSE
    )
)</f>
        <v/>
      </c>
      <c r="G38" s="103">
        <f t="array" ref="G38">IF(
    VLOOKUP(
        $A38,
        _xlfn._xlws.FILTER(
            INDIRECT("'"&amp;G$14&amp;"'!A2:E1000"), (INDIRECT("'"&amp;G$14&amp;"'!B2:B1000")=$B38) * (INDIRECT("'"&amp;G$14&amp;"'!C2:C1000")=$C38)
        ),
        5,
        FALSE
    )=0,
    "",
    VLOOKUP(
        $A38,
        _xlfn._xlws.FILTER(
            INDIRECT("'"&amp;G$14&amp;"'!A2:E1000"), (INDIRECT("'"&amp;G$14&amp;"'!B2:B1000")=$B38) * (INDIRECT("'"&amp;G$14&amp;"'!C2:C1000")=$C38)
        ),
        5,
        FALSE
    )
)</f>
        <v/>
      </c>
      <c r="H38" s="103">
        <f t="array" ref="H38">IF(
    VLOOKUP(
        $A38,
        _xlfn._xlws.FILTER(
            INDIRECT("'"&amp;H$14&amp;"'!A2:E1000"), (INDIRECT("'"&amp;H$14&amp;"'!B2:B1000")=$B38) * (INDIRECT("'"&amp;H$14&amp;"'!C2:C1000")=$C38)
        ),
        5,
        FALSE
    )=0,
    "",
    VLOOKUP(
        $A38,
        _xlfn._xlws.FILTER(
            INDIRECT("'"&amp;H$14&amp;"'!A2:E1000"), (INDIRECT("'"&amp;H$14&amp;"'!B2:B1000")=$B38) * (INDIRECT("'"&amp;H$14&amp;"'!C2:C1000")=$C38)
        ),
        5,
        FALSE
    )
)</f>
        <v/>
      </c>
      <c r="I38" s="103">
        <f t="array" ref="I38">IF(
    VLOOKUP(
        $A38,
        _xlfn._xlws.FILTER(
            INDIRECT("'"&amp;I$14&amp;"'!A2:E1000"), (INDIRECT("'"&amp;I$14&amp;"'!B2:B1000")=$B38) * (INDIRECT("'"&amp;I$14&amp;"'!C2:C1000")=$C38)
        ),
        5,
        FALSE
    )=0,
    "",
    VLOOKUP(
        $A38,
        _xlfn._xlws.FILTER(
            INDIRECT("'"&amp;I$14&amp;"'!A2:E1000"), (INDIRECT("'"&amp;I$14&amp;"'!B2:B1000")=$B38) * (INDIRECT("'"&amp;I$14&amp;"'!C2:C1000")=$C38)
        ),
        5,
        FALSE
    )
)</f>
        <v/>
      </c>
      <c r="J38" s="103">
        <f t="array" ref="J38">IF(
    VLOOKUP(
        $A38,
        _xlfn._xlws.FILTER(
            INDIRECT("'"&amp;J$14&amp;"'!A2:E1000"), (INDIRECT("'"&amp;J$14&amp;"'!B2:B1000")=$B38) * (INDIRECT("'"&amp;J$14&amp;"'!C2:C1000")=$C38)
        ),
        5,
        FALSE
    )=0,
    "",
    VLOOKUP(
        $A38,
        _xlfn._xlws.FILTER(
            INDIRECT("'"&amp;J$14&amp;"'!A2:E1000"), (INDIRECT("'"&amp;J$14&amp;"'!B2:B1000")=$B38) * (INDIRECT("'"&amp;J$14&amp;"'!C2:C1000")=$C38)
        ),
        5,
        FALSE
    )
)</f>
        <v/>
      </c>
      <c r="K38" s="103">
        <f t="array" ref="K38">IF(
    VLOOKUP(
        $A38,
        _xlfn._xlws.FILTER(
            INDIRECT("'"&amp;K$14&amp;"'!A2:E1000"), (INDIRECT("'"&amp;K$14&amp;"'!B2:B1000")=$B38) * (INDIRECT("'"&amp;K$14&amp;"'!C2:C1000")=$C38)
        ),
        5,
        FALSE
    )=0,
    "",
    VLOOKUP(
        $A38,
        _xlfn._xlws.FILTER(
            INDIRECT("'"&amp;K$14&amp;"'!A2:E1000"), (INDIRECT("'"&amp;K$14&amp;"'!B2:B1000")=$B38) * (INDIRECT("'"&amp;K$14&amp;"'!C2:C1000")=$C38)
        ),
        5,
        FALSE
    )
)</f>
        <v/>
      </c>
      <c r="L38" s="103">
        <f t="array" ref="L38">IF(
    VLOOKUP(
        $A38,
        _xlfn._xlws.FILTER(
            INDIRECT("'"&amp;L$14&amp;"'!A2:E1000"), (INDIRECT("'"&amp;L$14&amp;"'!B2:B1000")=$B38) * (INDIRECT("'"&amp;L$14&amp;"'!C2:C1000")=$C38)
        ),
        5,
        FALSE
    )=0,
    "",
    VLOOKUP(
        $A38,
        _xlfn._xlws.FILTER(
            INDIRECT("'"&amp;L$14&amp;"'!A2:E1000"), (INDIRECT("'"&amp;L$14&amp;"'!B2:B1000")=$B38) * (INDIRECT("'"&amp;L$14&amp;"'!C2:C1000")=$C38)
        ),
        5,
        FALSE
    )
)</f>
        <v/>
      </c>
      <c r="M38" s="103">
        <f t="array" ref="M38">IF(
    VLOOKUP(
        $A38,
        _xlfn._xlws.FILTER(
            INDIRECT("'"&amp;M$14&amp;"'!A2:E1000"), (INDIRECT("'"&amp;M$14&amp;"'!B2:B1000")=$B38) * (INDIRECT("'"&amp;M$14&amp;"'!C2:C1000")=$C38)
        ),
        5,
        FALSE
    )=0,
    "",
    VLOOKUP(
        $A38,
        _xlfn._xlws.FILTER(
            INDIRECT("'"&amp;M$14&amp;"'!A2:E1000"), (INDIRECT("'"&amp;M$14&amp;"'!B2:B1000")=$B38) * (INDIRECT("'"&amp;M$14&amp;"'!C2:C1000")=$C38)
        ),
        5,
        FALSE
    )
)</f>
        <v/>
      </c>
      <c r="N38" s="103">
        <f t="array" ref="N38">IF(
    VLOOKUP(
        $A38,
        _xlfn._xlws.FILTER(
            INDIRECT("'"&amp;N$14&amp;"'!A2:E1000"), (INDIRECT("'"&amp;N$14&amp;"'!B2:B1000")=$B38) * (INDIRECT("'"&amp;N$14&amp;"'!C2:C1000")=$C38)
        ),
        5,
        FALSE
    )=0,
    "",
    VLOOKUP(
        $A38,
        _xlfn._xlws.FILTER(
            INDIRECT("'"&amp;N$14&amp;"'!A2:E1000"), (INDIRECT("'"&amp;N$14&amp;"'!B2:B1000")=$B38) * (INDIRECT("'"&amp;N$14&amp;"'!C2:C1000")=$C38)
        ),
        5,
        FALSE
    )
)</f>
        <v/>
      </c>
      <c r="O38" s="103">
        <f t="array" ref="O38">IF(
    VLOOKUP(
        $A38,
        _xlfn._xlws.FILTER(
            INDIRECT("'"&amp;O$14&amp;"'!A2:E1000"), (INDIRECT("'"&amp;O$14&amp;"'!B2:B1000")=$B38) * (INDIRECT("'"&amp;O$14&amp;"'!C2:C1000")=$C38)
        ),
        5,
        FALSE
    )=0,
    "",
    VLOOKUP(
        $A38,
        _xlfn._xlws.FILTER(
            INDIRECT("'"&amp;O$14&amp;"'!A2:E1000"), (INDIRECT("'"&amp;O$14&amp;"'!B2:B1000")=$B38) * (INDIRECT("'"&amp;O$14&amp;"'!C2:C1000")=$C38)
        ),
        5,
        FALSE
    )
)</f>
        <v/>
      </c>
      <c r="P38" s="103">
        <f t="array" ref="P38">IF(
    VLOOKUP(
        $A38,
        _xlfn._xlws.FILTER(
            INDIRECT("'"&amp;P$14&amp;"'!A2:E1000"), (INDIRECT("'"&amp;P$14&amp;"'!B2:B1000")=$B38) * (INDIRECT("'"&amp;P$14&amp;"'!C2:C1000")=$C38)
        ),
        5,
        FALSE
    )=0,
    "",
    VLOOKUP(
        $A38,
        _xlfn._xlws.FILTER(
            INDIRECT("'"&amp;P$14&amp;"'!A2:E1000"), (INDIRECT("'"&amp;P$14&amp;"'!B2:B1000")=$B38) * (INDIRECT("'"&amp;P$14&amp;"'!C2:C1000")=$C38)
        ),
        5,
        FALSE
    )
)</f>
        <v/>
      </c>
      <c r="Q38" s="103">
        <f t="array" ref="Q38">IF(
    VLOOKUP(
        $A38,
        _xlfn._xlws.FILTER(
            INDIRECT("'"&amp;Q$14&amp;"'!A2:E1000"), (INDIRECT("'"&amp;Q$14&amp;"'!B2:B1000")=$B38) * (INDIRECT("'"&amp;Q$14&amp;"'!C2:C1000")=$C38)
        ),
        5,
        FALSE
    )=0,
    "",
    VLOOKUP(
        $A38,
        _xlfn._xlws.FILTER(
            INDIRECT("'"&amp;Q$14&amp;"'!A2:E1000"), (INDIRECT("'"&amp;Q$14&amp;"'!B2:B1000")=$B38) * (INDIRECT("'"&amp;Q$14&amp;"'!C2:C1000")=$C38)
        ),
        5,
        FALSE
    )
)</f>
        <v/>
      </c>
    </row>
    <row r="39"/>
    <row r="40" ht="15.75" customHeight="1">
      <c r="A40" s="108" t="inlineStr">
        <is>
          <t>Regional</t>
        </is>
      </c>
      <c r="B40" s="98" t="inlineStr">
        <is>
          <t>Municípios</t>
        </is>
      </c>
      <c r="C40" s="98" t="inlineStr">
        <is>
          <t>UVR</t>
        </is>
      </c>
      <c r="D40" s="99" t="inlineStr">
        <is>
          <t>11.24</t>
        </is>
      </c>
      <c r="E40" s="100" t="inlineStr">
        <is>
          <t>12.24</t>
        </is>
      </c>
      <c r="F40" s="101" t="inlineStr">
        <is>
          <t>01.25</t>
        </is>
      </c>
      <c r="G40" s="101" t="inlineStr">
        <is>
          <t>02.25</t>
        </is>
      </c>
      <c r="H40" s="101" t="inlineStr">
        <is>
          <t>03.25</t>
        </is>
      </c>
      <c r="I40" s="101" t="inlineStr">
        <is>
          <t>04.25</t>
        </is>
      </c>
      <c r="J40" s="101" t="inlineStr">
        <is>
          <t>05.25</t>
        </is>
      </c>
      <c r="K40" s="101" t="inlineStr">
        <is>
          <t>06.25</t>
        </is>
      </c>
      <c r="L40" s="102" t="inlineStr">
        <is>
          <t>07.25</t>
        </is>
      </c>
      <c r="M40" s="102" t="inlineStr">
        <is>
          <t>08.25</t>
        </is>
      </c>
      <c r="N40" s="102" t="inlineStr">
        <is>
          <t>09.25</t>
        </is>
      </c>
      <c r="O40" s="102" t="inlineStr">
        <is>
          <t>10.25</t>
        </is>
      </c>
      <c r="P40" s="102" t="inlineStr">
        <is>
          <t>11.25</t>
        </is>
      </c>
      <c r="Q40" s="102" t="inlineStr">
        <is>
          <t>12.25</t>
        </is>
      </c>
    </row>
    <row r="41" ht="15.75" customHeight="1">
      <c r="A41" s="54" t="inlineStr">
        <is>
          <t>Larissa</t>
        </is>
      </c>
      <c r="B41" s="50" t="inlineStr">
        <is>
          <t>Foz do Iguaçu</t>
        </is>
      </c>
      <c r="C41" s="50" t="n">
        <v>1</v>
      </c>
      <c r="D41" s="103">
        <f t="array" ref="D41">IF(
    VLOOKUP(
        $A41,
        _xlfn._xlws.FILTER(
            INDIRECT("'"&amp;D$14&amp;"'!A2:E1000"), (INDIRECT("'"&amp;D$14&amp;"'!B2:B1000")=$B41) * (INDIRECT("'"&amp;D$14&amp;"'!C2:C1000")=$C41)
        ),
        5,
        FALSE
    )=0,
    "",
    VLOOKUP(
        $A41,
        _xlfn._xlws.FILTER(
            INDIRECT("'"&amp;D$14&amp;"'!A2:E1000"), (INDIRECT("'"&amp;D$14&amp;"'!B2:B1000")=$B41) * (INDIRECT("'"&amp;D$14&amp;"'!C2:C1000")=$C41)
        ),
        5,
        FALSE
    )
)</f>
        <v/>
      </c>
      <c r="E41" s="103">
        <f t="array" ref="E41">IF(
    VLOOKUP(
        $A41,
        _xlfn._xlws.FILTER(
            INDIRECT("'"&amp;E$14&amp;"'!A2:E1000"), (INDIRECT("'"&amp;E$14&amp;"'!B2:B1000")=$B41) * (INDIRECT("'"&amp;E$14&amp;"'!C2:C1000")=$C41)
        ),
        5,
        FALSE
    )=0,
    "",
    VLOOKUP(
        $A41,
        _xlfn._xlws.FILTER(
            INDIRECT("'"&amp;E$14&amp;"'!A2:E1000"), (INDIRECT("'"&amp;E$14&amp;"'!B2:B1000")=$B41) * (INDIRECT("'"&amp;E$14&amp;"'!C2:C1000")=$C41)
        ),
        5,
        FALSE
    )
)</f>
        <v/>
      </c>
      <c r="F41" s="103">
        <f t="array" ref="F41">IF(
    VLOOKUP(
        $A41,
        _xlfn._xlws.FILTER(
            INDIRECT("'"&amp;F$14&amp;"'!A2:E1000"), (INDIRECT("'"&amp;F$14&amp;"'!B2:B1000")=$B41) * (INDIRECT("'"&amp;F$14&amp;"'!C2:C1000")=$C41)
        ),
        5,
        FALSE
    )=0,
    "",
    VLOOKUP(
        $A41,
        _xlfn._xlws.FILTER(
            INDIRECT("'"&amp;F$14&amp;"'!A2:E1000"), (INDIRECT("'"&amp;F$14&amp;"'!B2:B1000")=$B41) * (INDIRECT("'"&amp;F$14&amp;"'!C2:C1000")=$C41)
        ),
        5,
        FALSE
    )
)</f>
        <v/>
      </c>
      <c r="G41" s="103">
        <f t="array" ref="G41">IF(
    VLOOKUP(
        $A41,
        _xlfn._xlws.FILTER(
            INDIRECT("'"&amp;G$14&amp;"'!A2:E1000"), (INDIRECT("'"&amp;G$14&amp;"'!B2:B1000")=$B41) * (INDIRECT("'"&amp;G$14&amp;"'!C2:C1000")=$C41)
        ),
        5,
        FALSE
    )=0,
    "",
    VLOOKUP(
        $A41,
        _xlfn._xlws.FILTER(
            INDIRECT("'"&amp;G$14&amp;"'!A2:E1000"), (INDIRECT("'"&amp;G$14&amp;"'!B2:B1000")=$B41) * (INDIRECT("'"&amp;G$14&amp;"'!C2:C1000")=$C41)
        ),
        5,
        FALSE
    )
)</f>
        <v/>
      </c>
      <c r="H41" s="103">
        <f t="array" ref="H41">IF(
    VLOOKUP(
        $A41,
        _xlfn._xlws.FILTER(
            INDIRECT("'"&amp;H$14&amp;"'!A2:E1000"), (INDIRECT("'"&amp;H$14&amp;"'!B2:B1000")=$B41) * (INDIRECT("'"&amp;H$14&amp;"'!C2:C1000")=$C41)
        ),
        5,
        FALSE
    )=0,
    "",
    VLOOKUP(
        $A41,
        _xlfn._xlws.FILTER(
            INDIRECT("'"&amp;H$14&amp;"'!A2:E1000"), (INDIRECT("'"&amp;H$14&amp;"'!B2:B1000")=$B41) * (INDIRECT("'"&amp;H$14&amp;"'!C2:C1000")=$C41)
        ),
        5,
        FALSE
    )
)</f>
        <v/>
      </c>
      <c r="I41" s="103">
        <f t="array" ref="I41">IF(
    VLOOKUP(
        $A41,
        _xlfn._xlws.FILTER(
            INDIRECT("'"&amp;I$14&amp;"'!A2:E1000"), (INDIRECT("'"&amp;I$14&amp;"'!B2:B1000")=$B41) * (INDIRECT("'"&amp;I$14&amp;"'!C2:C1000")=$C41)
        ),
        5,
        FALSE
    )=0,
    "",
    VLOOKUP(
        $A41,
        _xlfn._xlws.FILTER(
            INDIRECT("'"&amp;I$14&amp;"'!A2:E1000"), (INDIRECT("'"&amp;I$14&amp;"'!B2:B1000")=$B41) * (INDIRECT("'"&amp;I$14&amp;"'!C2:C1000")=$C41)
        ),
        5,
        FALSE
    )
)</f>
        <v/>
      </c>
      <c r="J41" s="103">
        <f t="array" ref="J41">IF(
    VLOOKUP(
        $A41,
        _xlfn._xlws.FILTER(
            INDIRECT("'"&amp;J$14&amp;"'!A2:E1000"), (INDIRECT("'"&amp;J$14&amp;"'!B2:B1000")=$B41) * (INDIRECT("'"&amp;J$14&amp;"'!C2:C1000")=$C41)
        ),
        5,
        FALSE
    )=0,
    "",
    VLOOKUP(
        $A41,
        _xlfn._xlws.FILTER(
            INDIRECT("'"&amp;J$14&amp;"'!A2:E1000"), (INDIRECT("'"&amp;J$14&amp;"'!B2:B1000")=$B41) * (INDIRECT("'"&amp;J$14&amp;"'!C2:C1000")=$C41)
        ),
        5,
        FALSE
    )
)</f>
        <v/>
      </c>
      <c r="K41" s="103">
        <f t="array" ref="K41">IF(
    VLOOKUP(
        $A41,
        _xlfn._xlws.FILTER(
            INDIRECT("'"&amp;K$14&amp;"'!A2:E1000"), (INDIRECT("'"&amp;K$14&amp;"'!B2:B1000")=$B41) * (INDIRECT("'"&amp;K$14&amp;"'!C2:C1000")=$C41)
        ),
        5,
        FALSE
    )=0,
    "",
    VLOOKUP(
        $A41,
        _xlfn._xlws.FILTER(
            INDIRECT("'"&amp;K$14&amp;"'!A2:E1000"), (INDIRECT("'"&amp;K$14&amp;"'!B2:B1000")=$B41) * (INDIRECT("'"&amp;K$14&amp;"'!C2:C1000")=$C41)
        ),
        5,
        FALSE
    )
)</f>
        <v/>
      </c>
      <c r="L41" s="103">
        <f t="array" ref="L41">IF(
    VLOOKUP(
        $A41,
        _xlfn._xlws.FILTER(
            INDIRECT("'"&amp;L$14&amp;"'!A2:E1000"), (INDIRECT("'"&amp;L$14&amp;"'!B2:B1000")=$B41) * (INDIRECT("'"&amp;L$14&amp;"'!C2:C1000")=$C41)
        ),
        5,
        FALSE
    )=0,
    "",
    VLOOKUP(
        $A41,
        _xlfn._xlws.FILTER(
            INDIRECT("'"&amp;L$14&amp;"'!A2:E1000"), (INDIRECT("'"&amp;L$14&amp;"'!B2:B1000")=$B41) * (INDIRECT("'"&amp;L$14&amp;"'!C2:C1000")=$C41)
        ),
        5,
        FALSE
    )
)</f>
        <v/>
      </c>
      <c r="M41" s="103">
        <f t="array" ref="M41">IF(
    VLOOKUP(
        $A41,
        _xlfn._xlws.FILTER(
            INDIRECT("'"&amp;M$14&amp;"'!A2:E1000"), (INDIRECT("'"&amp;M$14&amp;"'!B2:B1000")=$B41) * (INDIRECT("'"&amp;M$14&amp;"'!C2:C1000")=$C41)
        ),
        5,
        FALSE
    )=0,
    "",
    VLOOKUP(
        $A41,
        _xlfn._xlws.FILTER(
            INDIRECT("'"&amp;M$14&amp;"'!A2:E1000"), (INDIRECT("'"&amp;M$14&amp;"'!B2:B1000")=$B41) * (INDIRECT("'"&amp;M$14&amp;"'!C2:C1000")=$C41)
        ),
        5,
        FALSE
    )
)</f>
        <v/>
      </c>
      <c r="N41" s="103">
        <f t="array" ref="N41">IF(
    VLOOKUP(
        $A41,
        _xlfn._xlws.FILTER(
            INDIRECT("'"&amp;N$14&amp;"'!A2:E1000"), (INDIRECT("'"&amp;N$14&amp;"'!B2:B1000")=$B41) * (INDIRECT("'"&amp;N$14&amp;"'!C2:C1000")=$C41)
        ),
        5,
        FALSE
    )=0,
    "",
    VLOOKUP(
        $A41,
        _xlfn._xlws.FILTER(
            INDIRECT("'"&amp;N$14&amp;"'!A2:E1000"), (INDIRECT("'"&amp;N$14&amp;"'!B2:B1000")=$B41) * (INDIRECT("'"&amp;N$14&amp;"'!C2:C1000")=$C41)
        ),
        5,
        FALSE
    )
)</f>
        <v/>
      </c>
      <c r="O41" s="103">
        <f t="array" ref="O41">IF(
    VLOOKUP(
        $A41,
        _xlfn._xlws.FILTER(
            INDIRECT("'"&amp;O$14&amp;"'!A2:E1000"), (INDIRECT("'"&amp;O$14&amp;"'!B2:B1000")=$B41) * (INDIRECT("'"&amp;O$14&amp;"'!C2:C1000")=$C41)
        ),
        5,
        FALSE
    )=0,
    "",
    VLOOKUP(
        $A41,
        _xlfn._xlws.FILTER(
            INDIRECT("'"&amp;O$14&amp;"'!A2:E1000"), (INDIRECT("'"&amp;O$14&amp;"'!B2:B1000")=$B41) * (INDIRECT("'"&amp;O$14&amp;"'!C2:C1000")=$C41)
        ),
        5,
        FALSE
    )
)</f>
        <v/>
      </c>
      <c r="P41" s="103">
        <f t="array" ref="P41">IF(
    VLOOKUP(
        $A41,
        _xlfn._xlws.FILTER(
            INDIRECT("'"&amp;P$14&amp;"'!A2:E1000"), (INDIRECT("'"&amp;P$14&amp;"'!B2:B1000")=$B41) * (INDIRECT("'"&amp;P$14&amp;"'!C2:C1000")=$C41)
        ),
        5,
        FALSE
    )=0,
    "",
    VLOOKUP(
        $A41,
        _xlfn._xlws.FILTER(
            INDIRECT("'"&amp;P$14&amp;"'!A2:E1000"), (INDIRECT("'"&amp;P$14&amp;"'!B2:B1000")=$B41) * (INDIRECT("'"&amp;P$14&amp;"'!C2:C1000")=$C41)
        ),
        5,
        FALSE
    )
)</f>
        <v/>
      </c>
      <c r="Q41" s="103">
        <f t="array" ref="Q41">IF(
    VLOOKUP(
        $A41,
        _xlfn._xlws.FILTER(
            INDIRECT("'"&amp;Q$14&amp;"'!A2:E1000"), (INDIRECT("'"&amp;Q$14&amp;"'!B2:B1000")=$B41) * (INDIRECT("'"&amp;Q$14&amp;"'!C2:C1000")=$C41)
        ),
        5,
        FALSE
    )=0,
    "",
    VLOOKUP(
        $A41,
        _xlfn._xlws.FILTER(
            INDIRECT("'"&amp;Q$14&amp;"'!A2:E1000"), (INDIRECT("'"&amp;Q$14&amp;"'!B2:B1000")=$B41) * (INDIRECT("'"&amp;Q$14&amp;"'!C2:C1000")=$C41)
        ),
        5,
        FALSE
    )
)</f>
        <v/>
      </c>
    </row>
    <row r="42">
      <c r="A42" s="54" t="inlineStr">
        <is>
          <t>Larissa</t>
        </is>
      </c>
      <c r="B42" s="50" t="inlineStr">
        <is>
          <t>Foz do Iguaçu</t>
        </is>
      </c>
      <c r="C42" s="50" t="n">
        <v>2</v>
      </c>
      <c r="D42" s="103">
        <f t="array" ref="D42">IF(
    VLOOKUP(
        $A42,
        _xlfn._xlws.FILTER(
            INDIRECT("'"&amp;D$14&amp;"'!A2:E1000"), (INDIRECT("'"&amp;D$14&amp;"'!B2:B1000")=$B42) * (INDIRECT("'"&amp;D$14&amp;"'!C2:C1000")=$C42)
        ),
        5,
        FALSE
    )=0,
    "",
    VLOOKUP(
        $A42,
        _xlfn._xlws.FILTER(
            INDIRECT("'"&amp;D$14&amp;"'!A2:E1000"), (INDIRECT("'"&amp;D$14&amp;"'!B2:B1000")=$B42) * (INDIRECT("'"&amp;D$14&amp;"'!C2:C1000")=$C42)
        ),
        5,
        FALSE
    )
)</f>
        <v/>
      </c>
      <c r="E42" s="103">
        <f t="array" ref="E42">IF(
    VLOOKUP(
        $A42,
        _xlfn._xlws.FILTER(
            INDIRECT("'"&amp;E$14&amp;"'!A2:E1000"), (INDIRECT("'"&amp;E$14&amp;"'!B2:B1000")=$B42) * (INDIRECT("'"&amp;E$14&amp;"'!C2:C1000")=$C42)
        ),
        5,
        FALSE
    )=0,
    "",
    VLOOKUP(
        $A42,
        _xlfn._xlws.FILTER(
            INDIRECT("'"&amp;E$14&amp;"'!A2:E1000"), (INDIRECT("'"&amp;E$14&amp;"'!B2:B1000")=$B42) * (INDIRECT("'"&amp;E$14&amp;"'!C2:C1000")=$C42)
        ),
        5,
        FALSE
    )
)</f>
        <v/>
      </c>
      <c r="F42" s="103">
        <f t="array" ref="F42">IF(
    VLOOKUP(
        $A42,
        _xlfn._xlws.FILTER(
            INDIRECT("'"&amp;F$14&amp;"'!A2:E1000"), (INDIRECT("'"&amp;F$14&amp;"'!B2:B1000")=$B42) * (INDIRECT("'"&amp;F$14&amp;"'!C2:C1000")=$C42)
        ),
        5,
        FALSE
    )=0,
    "",
    VLOOKUP(
        $A42,
        _xlfn._xlws.FILTER(
            INDIRECT("'"&amp;F$14&amp;"'!A2:E1000"), (INDIRECT("'"&amp;F$14&amp;"'!B2:B1000")=$B42) * (INDIRECT("'"&amp;F$14&amp;"'!C2:C1000")=$C42)
        ),
        5,
        FALSE
    )
)</f>
        <v/>
      </c>
      <c r="G42" s="103">
        <f t="array" ref="G42">IF(
    VLOOKUP(
        $A42,
        _xlfn._xlws.FILTER(
            INDIRECT("'"&amp;G$14&amp;"'!A2:E1000"), (INDIRECT("'"&amp;G$14&amp;"'!B2:B1000")=$B42) * (INDIRECT("'"&amp;G$14&amp;"'!C2:C1000")=$C42)
        ),
        5,
        FALSE
    )=0,
    "",
    VLOOKUP(
        $A42,
        _xlfn._xlws.FILTER(
            INDIRECT("'"&amp;G$14&amp;"'!A2:E1000"), (INDIRECT("'"&amp;G$14&amp;"'!B2:B1000")=$B42) * (INDIRECT("'"&amp;G$14&amp;"'!C2:C1000")=$C42)
        ),
        5,
        FALSE
    )
)</f>
        <v/>
      </c>
      <c r="H42" s="103">
        <f t="array" ref="H42">IF(
    VLOOKUP(
        $A42,
        _xlfn._xlws.FILTER(
            INDIRECT("'"&amp;H$14&amp;"'!A2:E1000"), (INDIRECT("'"&amp;H$14&amp;"'!B2:B1000")=$B42) * (INDIRECT("'"&amp;H$14&amp;"'!C2:C1000")=$C42)
        ),
        5,
        FALSE
    )=0,
    "",
    VLOOKUP(
        $A42,
        _xlfn._xlws.FILTER(
            INDIRECT("'"&amp;H$14&amp;"'!A2:E1000"), (INDIRECT("'"&amp;H$14&amp;"'!B2:B1000")=$B42) * (INDIRECT("'"&amp;H$14&amp;"'!C2:C1000")=$C42)
        ),
        5,
        FALSE
    )
)</f>
        <v/>
      </c>
      <c r="I42" s="103">
        <f t="array" ref="I42">IF(
    VLOOKUP(
        $A42,
        _xlfn._xlws.FILTER(
            INDIRECT("'"&amp;I$14&amp;"'!A2:E1000"), (INDIRECT("'"&amp;I$14&amp;"'!B2:B1000")=$B42) * (INDIRECT("'"&amp;I$14&amp;"'!C2:C1000")=$C42)
        ),
        5,
        FALSE
    )=0,
    "",
    VLOOKUP(
        $A42,
        _xlfn._xlws.FILTER(
            INDIRECT("'"&amp;I$14&amp;"'!A2:E1000"), (INDIRECT("'"&amp;I$14&amp;"'!B2:B1000")=$B42) * (INDIRECT("'"&amp;I$14&amp;"'!C2:C1000")=$C42)
        ),
        5,
        FALSE
    )
)</f>
        <v/>
      </c>
      <c r="J42" s="103">
        <f t="array" ref="J42">IF(
    VLOOKUP(
        $A42,
        _xlfn._xlws.FILTER(
            INDIRECT("'"&amp;J$14&amp;"'!A2:E1000"), (INDIRECT("'"&amp;J$14&amp;"'!B2:B1000")=$B42) * (INDIRECT("'"&amp;J$14&amp;"'!C2:C1000")=$C42)
        ),
        5,
        FALSE
    )=0,
    "",
    VLOOKUP(
        $A42,
        _xlfn._xlws.FILTER(
            INDIRECT("'"&amp;J$14&amp;"'!A2:E1000"), (INDIRECT("'"&amp;J$14&amp;"'!B2:B1000")=$B42) * (INDIRECT("'"&amp;J$14&amp;"'!C2:C1000")=$C42)
        ),
        5,
        FALSE
    )
)</f>
        <v/>
      </c>
      <c r="K42" s="103">
        <f t="array" ref="K42">IF(
    VLOOKUP(
        $A42,
        _xlfn._xlws.FILTER(
            INDIRECT("'"&amp;K$14&amp;"'!A2:E1000"), (INDIRECT("'"&amp;K$14&amp;"'!B2:B1000")=$B42) * (INDIRECT("'"&amp;K$14&amp;"'!C2:C1000")=$C42)
        ),
        5,
        FALSE
    )=0,
    "",
    VLOOKUP(
        $A42,
        _xlfn._xlws.FILTER(
            INDIRECT("'"&amp;K$14&amp;"'!A2:E1000"), (INDIRECT("'"&amp;K$14&amp;"'!B2:B1000")=$B42) * (INDIRECT("'"&amp;K$14&amp;"'!C2:C1000")=$C42)
        ),
        5,
        FALSE
    )
)</f>
        <v/>
      </c>
      <c r="L42" s="103">
        <f t="array" ref="L42">IF(
    VLOOKUP(
        $A42,
        _xlfn._xlws.FILTER(
            INDIRECT("'"&amp;L$14&amp;"'!A2:E1000"), (INDIRECT("'"&amp;L$14&amp;"'!B2:B1000")=$B42) * (INDIRECT("'"&amp;L$14&amp;"'!C2:C1000")=$C42)
        ),
        5,
        FALSE
    )=0,
    "",
    VLOOKUP(
        $A42,
        _xlfn._xlws.FILTER(
            INDIRECT("'"&amp;L$14&amp;"'!A2:E1000"), (INDIRECT("'"&amp;L$14&amp;"'!B2:B1000")=$B42) * (INDIRECT("'"&amp;L$14&amp;"'!C2:C1000")=$C42)
        ),
        5,
        FALSE
    )
)</f>
        <v/>
      </c>
      <c r="M42" s="103">
        <f t="array" ref="M42">IF(
    VLOOKUP(
        $A42,
        _xlfn._xlws.FILTER(
            INDIRECT("'"&amp;M$14&amp;"'!A2:E1000"), (INDIRECT("'"&amp;M$14&amp;"'!B2:B1000")=$B42) * (INDIRECT("'"&amp;M$14&amp;"'!C2:C1000")=$C42)
        ),
        5,
        FALSE
    )=0,
    "",
    VLOOKUP(
        $A42,
        _xlfn._xlws.FILTER(
            INDIRECT("'"&amp;M$14&amp;"'!A2:E1000"), (INDIRECT("'"&amp;M$14&amp;"'!B2:B1000")=$B42) * (INDIRECT("'"&amp;M$14&amp;"'!C2:C1000")=$C42)
        ),
        5,
        FALSE
    )
)</f>
        <v/>
      </c>
      <c r="N42" s="103">
        <f t="array" ref="N42">IF(
    VLOOKUP(
        $A42,
        _xlfn._xlws.FILTER(
            INDIRECT("'"&amp;N$14&amp;"'!A2:E1000"), (INDIRECT("'"&amp;N$14&amp;"'!B2:B1000")=$B42) * (INDIRECT("'"&amp;N$14&amp;"'!C2:C1000")=$C42)
        ),
        5,
        FALSE
    )=0,
    "",
    VLOOKUP(
        $A42,
        _xlfn._xlws.FILTER(
            INDIRECT("'"&amp;N$14&amp;"'!A2:E1000"), (INDIRECT("'"&amp;N$14&amp;"'!B2:B1000")=$B42) * (INDIRECT("'"&amp;N$14&amp;"'!C2:C1000")=$C42)
        ),
        5,
        FALSE
    )
)</f>
        <v/>
      </c>
      <c r="O42" s="103">
        <f t="array" ref="O42">IF(
    VLOOKUP(
        $A42,
        _xlfn._xlws.FILTER(
            INDIRECT("'"&amp;O$14&amp;"'!A2:E1000"), (INDIRECT("'"&amp;O$14&amp;"'!B2:B1000")=$B42) * (INDIRECT("'"&amp;O$14&amp;"'!C2:C1000")=$C42)
        ),
        5,
        FALSE
    )=0,
    "",
    VLOOKUP(
        $A42,
        _xlfn._xlws.FILTER(
            INDIRECT("'"&amp;O$14&amp;"'!A2:E1000"), (INDIRECT("'"&amp;O$14&amp;"'!B2:B1000")=$B42) * (INDIRECT("'"&amp;O$14&amp;"'!C2:C1000")=$C42)
        ),
        5,
        FALSE
    )
)</f>
        <v/>
      </c>
      <c r="P42" s="103">
        <f t="array" ref="P42">IF(
    VLOOKUP(
        $A42,
        _xlfn._xlws.FILTER(
            INDIRECT("'"&amp;P$14&amp;"'!A2:E1000"), (INDIRECT("'"&amp;P$14&amp;"'!B2:B1000")=$B42) * (INDIRECT("'"&amp;P$14&amp;"'!C2:C1000")=$C42)
        ),
        5,
        FALSE
    )=0,
    "",
    VLOOKUP(
        $A42,
        _xlfn._xlws.FILTER(
            INDIRECT("'"&amp;P$14&amp;"'!A2:E1000"), (INDIRECT("'"&amp;P$14&amp;"'!B2:B1000")=$B42) * (INDIRECT("'"&amp;P$14&amp;"'!C2:C1000")=$C42)
        ),
        5,
        FALSE
    )
)</f>
        <v/>
      </c>
      <c r="Q42" s="103">
        <f t="array" ref="Q42">IF(
    VLOOKUP(
        $A42,
        _xlfn._xlws.FILTER(
            INDIRECT("'"&amp;Q$14&amp;"'!A2:E1000"), (INDIRECT("'"&amp;Q$14&amp;"'!B2:B1000")=$B42) * (INDIRECT("'"&amp;Q$14&amp;"'!C2:C1000")=$C42)
        ),
        5,
        FALSE
    )=0,
    "",
    VLOOKUP(
        $A42,
        _xlfn._xlws.FILTER(
            INDIRECT("'"&amp;Q$14&amp;"'!A2:E1000"), (INDIRECT("'"&amp;Q$14&amp;"'!B2:B1000")=$B42) * (INDIRECT("'"&amp;Q$14&amp;"'!C2:C1000")=$C42)
        ),
        5,
        FALSE
    )
)</f>
        <v/>
      </c>
    </row>
    <row r="43">
      <c r="A43" s="54" t="inlineStr">
        <is>
          <t>Larissa</t>
        </is>
      </c>
      <c r="B43" s="50" t="inlineStr">
        <is>
          <t>Foz do Iguaçu</t>
        </is>
      </c>
      <c r="C43" s="50" t="n">
        <v>3</v>
      </c>
      <c r="D43" s="103">
        <f t="array" ref="D43">IF(
    VLOOKUP(
        $A43,
        _xlfn._xlws.FILTER(
            INDIRECT("'"&amp;D$14&amp;"'!A2:E1000"), (INDIRECT("'"&amp;D$14&amp;"'!B2:B1000")=$B43) * (INDIRECT("'"&amp;D$14&amp;"'!C2:C1000")=$C43)
        ),
        5,
        FALSE
    )=0,
    "",
    VLOOKUP(
        $A43,
        _xlfn._xlws.FILTER(
            INDIRECT("'"&amp;D$14&amp;"'!A2:E1000"), (INDIRECT("'"&amp;D$14&amp;"'!B2:B1000")=$B43) * (INDIRECT("'"&amp;D$14&amp;"'!C2:C1000")=$C43)
        ),
        5,
        FALSE
    )
)</f>
        <v/>
      </c>
      <c r="E43" s="103">
        <f t="array" ref="E43">IF(
    VLOOKUP(
        $A43,
        _xlfn._xlws.FILTER(
            INDIRECT("'"&amp;E$14&amp;"'!A2:E1000"), (INDIRECT("'"&amp;E$14&amp;"'!B2:B1000")=$B43) * (INDIRECT("'"&amp;E$14&amp;"'!C2:C1000")=$C43)
        ),
        5,
        FALSE
    )=0,
    "",
    VLOOKUP(
        $A43,
        _xlfn._xlws.FILTER(
            INDIRECT("'"&amp;E$14&amp;"'!A2:E1000"), (INDIRECT("'"&amp;E$14&amp;"'!B2:B1000")=$B43) * (INDIRECT("'"&amp;E$14&amp;"'!C2:C1000")=$C43)
        ),
        5,
        FALSE
    )
)</f>
        <v/>
      </c>
      <c r="F43" s="103">
        <f t="array" ref="F43">IF(
    VLOOKUP(
        $A43,
        _xlfn._xlws.FILTER(
            INDIRECT("'"&amp;F$14&amp;"'!A2:E1000"), (INDIRECT("'"&amp;F$14&amp;"'!B2:B1000")=$B43) * (INDIRECT("'"&amp;F$14&amp;"'!C2:C1000")=$C43)
        ),
        5,
        FALSE
    )=0,
    "",
    VLOOKUP(
        $A43,
        _xlfn._xlws.FILTER(
            INDIRECT("'"&amp;F$14&amp;"'!A2:E1000"), (INDIRECT("'"&amp;F$14&amp;"'!B2:B1000")=$B43) * (INDIRECT("'"&amp;F$14&amp;"'!C2:C1000")=$C43)
        ),
        5,
        FALSE
    )
)</f>
        <v/>
      </c>
      <c r="G43" s="103">
        <f t="array" ref="G43">IF(
    VLOOKUP(
        $A43,
        _xlfn._xlws.FILTER(
            INDIRECT("'"&amp;G$14&amp;"'!A2:E1000"), (INDIRECT("'"&amp;G$14&amp;"'!B2:B1000")=$B43) * (INDIRECT("'"&amp;G$14&amp;"'!C2:C1000")=$C43)
        ),
        5,
        FALSE
    )=0,
    "",
    VLOOKUP(
        $A43,
        _xlfn._xlws.FILTER(
            INDIRECT("'"&amp;G$14&amp;"'!A2:E1000"), (INDIRECT("'"&amp;G$14&amp;"'!B2:B1000")=$B43) * (INDIRECT("'"&amp;G$14&amp;"'!C2:C1000")=$C43)
        ),
        5,
        FALSE
    )
)</f>
        <v/>
      </c>
      <c r="H43" s="103">
        <f t="array" ref="H43">IF(
    VLOOKUP(
        $A43,
        _xlfn._xlws.FILTER(
            INDIRECT("'"&amp;H$14&amp;"'!A2:E1000"), (INDIRECT("'"&amp;H$14&amp;"'!B2:B1000")=$B43) * (INDIRECT("'"&amp;H$14&amp;"'!C2:C1000")=$C43)
        ),
        5,
        FALSE
    )=0,
    "",
    VLOOKUP(
        $A43,
        _xlfn._xlws.FILTER(
            INDIRECT("'"&amp;H$14&amp;"'!A2:E1000"), (INDIRECT("'"&amp;H$14&amp;"'!B2:B1000")=$B43) * (INDIRECT("'"&amp;H$14&amp;"'!C2:C1000")=$C43)
        ),
        5,
        FALSE
    )
)</f>
        <v/>
      </c>
      <c r="I43" s="103">
        <f t="array" ref="I43">IF(
    VLOOKUP(
        $A43,
        _xlfn._xlws.FILTER(
            INDIRECT("'"&amp;I$14&amp;"'!A2:E1000"), (INDIRECT("'"&amp;I$14&amp;"'!B2:B1000")=$B43) * (INDIRECT("'"&amp;I$14&amp;"'!C2:C1000")=$C43)
        ),
        5,
        FALSE
    )=0,
    "",
    VLOOKUP(
        $A43,
        _xlfn._xlws.FILTER(
            INDIRECT("'"&amp;I$14&amp;"'!A2:E1000"), (INDIRECT("'"&amp;I$14&amp;"'!B2:B1000")=$B43) * (INDIRECT("'"&amp;I$14&amp;"'!C2:C1000")=$C43)
        ),
        5,
        FALSE
    )
)</f>
        <v/>
      </c>
      <c r="J43" s="103">
        <f t="array" ref="J43">IF(
    VLOOKUP(
        $A43,
        _xlfn._xlws.FILTER(
            INDIRECT("'"&amp;J$14&amp;"'!A2:E1000"), (INDIRECT("'"&amp;J$14&amp;"'!B2:B1000")=$B43) * (INDIRECT("'"&amp;J$14&amp;"'!C2:C1000")=$C43)
        ),
        5,
        FALSE
    )=0,
    "",
    VLOOKUP(
        $A43,
        _xlfn._xlws.FILTER(
            INDIRECT("'"&amp;J$14&amp;"'!A2:E1000"), (INDIRECT("'"&amp;J$14&amp;"'!B2:B1000")=$B43) * (INDIRECT("'"&amp;J$14&amp;"'!C2:C1000")=$C43)
        ),
        5,
        FALSE
    )
)</f>
        <v/>
      </c>
      <c r="K43" s="103">
        <f t="array" ref="K43">IF(
    VLOOKUP(
        $A43,
        _xlfn._xlws.FILTER(
            INDIRECT("'"&amp;K$14&amp;"'!A2:E1000"), (INDIRECT("'"&amp;K$14&amp;"'!B2:B1000")=$B43) * (INDIRECT("'"&amp;K$14&amp;"'!C2:C1000")=$C43)
        ),
        5,
        FALSE
    )=0,
    "",
    VLOOKUP(
        $A43,
        _xlfn._xlws.FILTER(
            INDIRECT("'"&amp;K$14&amp;"'!A2:E1000"), (INDIRECT("'"&amp;K$14&amp;"'!B2:B1000")=$B43) * (INDIRECT("'"&amp;K$14&amp;"'!C2:C1000")=$C43)
        ),
        5,
        FALSE
    )
)</f>
        <v/>
      </c>
      <c r="L43" s="103">
        <f t="array" ref="L43">IF(
    VLOOKUP(
        $A43,
        _xlfn._xlws.FILTER(
            INDIRECT("'"&amp;L$14&amp;"'!A2:E1000"), (INDIRECT("'"&amp;L$14&amp;"'!B2:B1000")=$B43) * (INDIRECT("'"&amp;L$14&amp;"'!C2:C1000")=$C43)
        ),
        5,
        FALSE
    )=0,
    "",
    VLOOKUP(
        $A43,
        _xlfn._xlws.FILTER(
            INDIRECT("'"&amp;L$14&amp;"'!A2:E1000"), (INDIRECT("'"&amp;L$14&amp;"'!B2:B1000")=$B43) * (INDIRECT("'"&amp;L$14&amp;"'!C2:C1000")=$C43)
        ),
        5,
        FALSE
    )
)</f>
        <v/>
      </c>
      <c r="M43" s="103">
        <f t="array" ref="M43">IF(
    VLOOKUP(
        $A43,
        _xlfn._xlws.FILTER(
            INDIRECT("'"&amp;M$14&amp;"'!A2:E1000"), (INDIRECT("'"&amp;M$14&amp;"'!B2:B1000")=$B43) * (INDIRECT("'"&amp;M$14&amp;"'!C2:C1000")=$C43)
        ),
        5,
        FALSE
    )=0,
    "",
    VLOOKUP(
        $A43,
        _xlfn._xlws.FILTER(
            INDIRECT("'"&amp;M$14&amp;"'!A2:E1000"), (INDIRECT("'"&amp;M$14&amp;"'!B2:B1000")=$B43) * (INDIRECT("'"&amp;M$14&amp;"'!C2:C1000")=$C43)
        ),
        5,
        FALSE
    )
)</f>
        <v/>
      </c>
      <c r="N43" s="103">
        <f t="array" ref="N43">IF(
    VLOOKUP(
        $A43,
        _xlfn._xlws.FILTER(
            INDIRECT("'"&amp;N$14&amp;"'!A2:E1000"), (INDIRECT("'"&amp;N$14&amp;"'!B2:B1000")=$B43) * (INDIRECT("'"&amp;N$14&amp;"'!C2:C1000")=$C43)
        ),
        5,
        FALSE
    )=0,
    "",
    VLOOKUP(
        $A43,
        _xlfn._xlws.FILTER(
            INDIRECT("'"&amp;N$14&amp;"'!A2:E1000"), (INDIRECT("'"&amp;N$14&amp;"'!B2:B1000")=$B43) * (INDIRECT("'"&amp;N$14&amp;"'!C2:C1000")=$C43)
        ),
        5,
        FALSE
    )
)</f>
        <v/>
      </c>
      <c r="O43" s="103">
        <f t="array" ref="O43">IF(
    VLOOKUP(
        $A43,
        _xlfn._xlws.FILTER(
            INDIRECT("'"&amp;O$14&amp;"'!A2:E1000"), (INDIRECT("'"&amp;O$14&amp;"'!B2:B1000")=$B43) * (INDIRECT("'"&amp;O$14&amp;"'!C2:C1000")=$C43)
        ),
        5,
        FALSE
    )=0,
    "",
    VLOOKUP(
        $A43,
        _xlfn._xlws.FILTER(
            INDIRECT("'"&amp;O$14&amp;"'!A2:E1000"), (INDIRECT("'"&amp;O$14&amp;"'!B2:B1000")=$B43) * (INDIRECT("'"&amp;O$14&amp;"'!C2:C1000")=$C43)
        ),
        5,
        FALSE
    )
)</f>
        <v/>
      </c>
      <c r="P43" s="103">
        <f t="array" ref="P43">IF(
    VLOOKUP(
        $A43,
        _xlfn._xlws.FILTER(
            INDIRECT("'"&amp;P$14&amp;"'!A2:E1000"), (INDIRECT("'"&amp;P$14&amp;"'!B2:B1000")=$B43) * (INDIRECT("'"&amp;P$14&amp;"'!C2:C1000")=$C43)
        ),
        5,
        FALSE
    )=0,
    "",
    VLOOKUP(
        $A43,
        _xlfn._xlws.FILTER(
            INDIRECT("'"&amp;P$14&amp;"'!A2:E1000"), (INDIRECT("'"&amp;P$14&amp;"'!B2:B1000")=$B43) * (INDIRECT("'"&amp;P$14&amp;"'!C2:C1000")=$C43)
        ),
        5,
        FALSE
    )
)</f>
        <v/>
      </c>
      <c r="Q43" s="103">
        <f t="array" ref="Q43">IF(
    VLOOKUP(
        $A43,
        _xlfn._xlws.FILTER(
            INDIRECT("'"&amp;Q$14&amp;"'!A2:E1000"), (INDIRECT("'"&amp;Q$14&amp;"'!B2:B1000")=$B43) * (INDIRECT("'"&amp;Q$14&amp;"'!C2:C1000")=$C43)
        ),
        5,
        FALSE
    )=0,
    "",
    VLOOKUP(
        $A43,
        _xlfn._xlws.FILTER(
            INDIRECT("'"&amp;Q$14&amp;"'!A2:E1000"), (INDIRECT("'"&amp;Q$14&amp;"'!B2:B1000")=$B43) * (INDIRECT("'"&amp;Q$14&amp;"'!C2:C1000")=$C43)
        ),
        5,
        FALSE
    )
)</f>
        <v/>
      </c>
    </row>
    <row r="44">
      <c r="A44" s="54" t="inlineStr">
        <is>
          <t>Larissa</t>
        </is>
      </c>
      <c r="B44" s="50" t="inlineStr">
        <is>
          <t>Foz do Iguaçu</t>
        </is>
      </c>
      <c r="C44" s="50" t="n">
        <v>4</v>
      </c>
      <c r="D44" s="103">
        <f t="array" ref="D44">IF(
    VLOOKUP(
        $A44,
        _xlfn._xlws.FILTER(
            INDIRECT("'"&amp;D$14&amp;"'!A2:E1000"), (INDIRECT("'"&amp;D$14&amp;"'!B2:B1000")=$B44) * (INDIRECT("'"&amp;D$14&amp;"'!C2:C1000")=$C44)
        ),
        5,
        FALSE
    )=0,
    "",
    VLOOKUP(
        $A44,
        _xlfn._xlws.FILTER(
            INDIRECT("'"&amp;D$14&amp;"'!A2:E1000"), (INDIRECT("'"&amp;D$14&amp;"'!B2:B1000")=$B44) * (INDIRECT("'"&amp;D$14&amp;"'!C2:C1000")=$C44)
        ),
        5,
        FALSE
    )
)</f>
        <v/>
      </c>
      <c r="E44" s="103">
        <f t="array" ref="E44">IF(
    VLOOKUP(
        $A44,
        _xlfn._xlws.FILTER(
            INDIRECT("'"&amp;E$14&amp;"'!A2:E1000"), (INDIRECT("'"&amp;E$14&amp;"'!B2:B1000")=$B44) * (INDIRECT("'"&amp;E$14&amp;"'!C2:C1000")=$C44)
        ),
        5,
        FALSE
    )=0,
    "",
    VLOOKUP(
        $A44,
        _xlfn._xlws.FILTER(
            INDIRECT("'"&amp;E$14&amp;"'!A2:E1000"), (INDIRECT("'"&amp;E$14&amp;"'!B2:B1000")=$B44) * (INDIRECT("'"&amp;E$14&amp;"'!C2:C1000")=$C44)
        ),
        5,
        FALSE
    )
)</f>
        <v/>
      </c>
      <c r="F44" s="103">
        <f t="array" ref="F44">IF(
    VLOOKUP(
        $A44,
        _xlfn._xlws.FILTER(
            INDIRECT("'"&amp;F$14&amp;"'!A2:E1000"), (INDIRECT("'"&amp;F$14&amp;"'!B2:B1000")=$B44) * (INDIRECT("'"&amp;F$14&amp;"'!C2:C1000")=$C44)
        ),
        5,
        FALSE
    )=0,
    "",
    VLOOKUP(
        $A44,
        _xlfn._xlws.FILTER(
            INDIRECT("'"&amp;F$14&amp;"'!A2:E1000"), (INDIRECT("'"&amp;F$14&amp;"'!B2:B1000")=$B44) * (INDIRECT("'"&amp;F$14&amp;"'!C2:C1000")=$C44)
        ),
        5,
        FALSE
    )
)</f>
        <v/>
      </c>
      <c r="G44" s="103">
        <f t="array" ref="G44">IF(
    VLOOKUP(
        $A44,
        _xlfn._xlws.FILTER(
            INDIRECT("'"&amp;G$14&amp;"'!A2:E1000"), (INDIRECT("'"&amp;G$14&amp;"'!B2:B1000")=$B44) * (INDIRECT("'"&amp;G$14&amp;"'!C2:C1000")=$C44)
        ),
        5,
        FALSE
    )=0,
    "",
    VLOOKUP(
        $A44,
        _xlfn._xlws.FILTER(
            INDIRECT("'"&amp;G$14&amp;"'!A2:E1000"), (INDIRECT("'"&amp;G$14&amp;"'!B2:B1000")=$B44) * (INDIRECT("'"&amp;G$14&amp;"'!C2:C1000")=$C44)
        ),
        5,
        FALSE
    )
)</f>
        <v/>
      </c>
      <c r="H44" s="103">
        <f t="array" ref="H44">IF(
    VLOOKUP(
        $A44,
        _xlfn._xlws.FILTER(
            INDIRECT("'"&amp;H$14&amp;"'!A2:E1000"), (INDIRECT("'"&amp;H$14&amp;"'!B2:B1000")=$B44) * (INDIRECT("'"&amp;H$14&amp;"'!C2:C1000")=$C44)
        ),
        5,
        FALSE
    )=0,
    "",
    VLOOKUP(
        $A44,
        _xlfn._xlws.FILTER(
            INDIRECT("'"&amp;H$14&amp;"'!A2:E1000"), (INDIRECT("'"&amp;H$14&amp;"'!B2:B1000")=$B44) * (INDIRECT("'"&amp;H$14&amp;"'!C2:C1000")=$C44)
        ),
        5,
        FALSE
    )
)</f>
        <v/>
      </c>
      <c r="I44" s="103">
        <f t="array" ref="I44">IF(
    VLOOKUP(
        $A44,
        _xlfn._xlws.FILTER(
            INDIRECT("'"&amp;I$14&amp;"'!A2:E1000"), (INDIRECT("'"&amp;I$14&amp;"'!B2:B1000")=$B44) * (INDIRECT("'"&amp;I$14&amp;"'!C2:C1000")=$C44)
        ),
        5,
        FALSE
    )=0,
    "",
    VLOOKUP(
        $A44,
        _xlfn._xlws.FILTER(
            INDIRECT("'"&amp;I$14&amp;"'!A2:E1000"), (INDIRECT("'"&amp;I$14&amp;"'!B2:B1000")=$B44) * (INDIRECT("'"&amp;I$14&amp;"'!C2:C1000")=$C44)
        ),
        5,
        FALSE
    )
)</f>
        <v/>
      </c>
      <c r="J44" s="103">
        <f t="array" ref="J44">IF(
    VLOOKUP(
        $A44,
        _xlfn._xlws.FILTER(
            INDIRECT("'"&amp;J$14&amp;"'!A2:E1000"), (INDIRECT("'"&amp;J$14&amp;"'!B2:B1000")=$B44) * (INDIRECT("'"&amp;J$14&amp;"'!C2:C1000")=$C44)
        ),
        5,
        FALSE
    )=0,
    "",
    VLOOKUP(
        $A44,
        _xlfn._xlws.FILTER(
            INDIRECT("'"&amp;J$14&amp;"'!A2:E1000"), (INDIRECT("'"&amp;J$14&amp;"'!B2:B1000")=$B44) * (INDIRECT("'"&amp;J$14&amp;"'!C2:C1000")=$C44)
        ),
        5,
        FALSE
    )
)</f>
        <v/>
      </c>
      <c r="K44" s="103">
        <f t="array" ref="K44">IF(
    VLOOKUP(
        $A44,
        _xlfn._xlws.FILTER(
            INDIRECT("'"&amp;K$14&amp;"'!A2:E1000"), (INDIRECT("'"&amp;K$14&amp;"'!B2:B1000")=$B44) * (INDIRECT("'"&amp;K$14&amp;"'!C2:C1000")=$C44)
        ),
        5,
        FALSE
    )=0,
    "",
    VLOOKUP(
        $A44,
        _xlfn._xlws.FILTER(
            INDIRECT("'"&amp;K$14&amp;"'!A2:E1000"), (INDIRECT("'"&amp;K$14&amp;"'!B2:B1000")=$B44) * (INDIRECT("'"&amp;K$14&amp;"'!C2:C1000")=$C44)
        ),
        5,
        FALSE
    )
)</f>
        <v/>
      </c>
      <c r="L44" s="103">
        <f t="array" ref="L44">IF(
    VLOOKUP(
        $A44,
        _xlfn._xlws.FILTER(
            INDIRECT("'"&amp;L$14&amp;"'!A2:E1000"), (INDIRECT("'"&amp;L$14&amp;"'!B2:B1000")=$B44) * (INDIRECT("'"&amp;L$14&amp;"'!C2:C1000")=$C44)
        ),
        5,
        FALSE
    )=0,
    "",
    VLOOKUP(
        $A44,
        _xlfn._xlws.FILTER(
            INDIRECT("'"&amp;L$14&amp;"'!A2:E1000"), (INDIRECT("'"&amp;L$14&amp;"'!B2:B1000")=$B44) * (INDIRECT("'"&amp;L$14&amp;"'!C2:C1000")=$C44)
        ),
        5,
        FALSE
    )
)</f>
        <v/>
      </c>
      <c r="M44" s="103">
        <f t="array" ref="M44">IF(
    VLOOKUP(
        $A44,
        _xlfn._xlws.FILTER(
            INDIRECT("'"&amp;M$14&amp;"'!A2:E1000"), (INDIRECT("'"&amp;M$14&amp;"'!B2:B1000")=$B44) * (INDIRECT("'"&amp;M$14&amp;"'!C2:C1000")=$C44)
        ),
        5,
        FALSE
    )=0,
    "",
    VLOOKUP(
        $A44,
        _xlfn._xlws.FILTER(
            INDIRECT("'"&amp;M$14&amp;"'!A2:E1000"), (INDIRECT("'"&amp;M$14&amp;"'!B2:B1000")=$B44) * (INDIRECT("'"&amp;M$14&amp;"'!C2:C1000")=$C44)
        ),
        5,
        FALSE
    )
)</f>
        <v/>
      </c>
      <c r="N44" s="103">
        <f t="array" ref="N44">IF(
    VLOOKUP(
        $A44,
        _xlfn._xlws.FILTER(
            INDIRECT("'"&amp;N$14&amp;"'!A2:E1000"), (INDIRECT("'"&amp;N$14&amp;"'!B2:B1000")=$B44) * (INDIRECT("'"&amp;N$14&amp;"'!C2:C1000")=$C44)
        ),
        5,
        FALSE
    )=0,
    "",
    VLOOKUP(
        $A44,
        _xlfn._xlws.FILTER(
            INDIRECT("'"&amp;N$14&amp;"'!A2:E1000"), (INDIRECT("'"&amp;N$14&amp;"'!B2:B1000")=$B44) * (INDIRECT("'"&amp;N$14&amp;"'!C2:C1000")=$C44)
        ),
        5,
        FALSE
    )
)</f>
        <v/>
      </c>
      <c r="O44" s="103">
        <f t="array" ref="O44">IF(
    VLOOKUP(
        $A44,
        _xlfn._xlws.FILTER(
            INDIRECT("'"&amp;O$14&amp;"'!A2:E1000"), (INDIRECT("'"&amp;O$14&amp;"'!B2:B1000")=$B44) * (INDIRECT("'"&amp;O$14&amp;"'!C2:C1000")=$C44)
        ),
        5,
        FALSE
    )=0,
    "",
    VLOOKUP(
        $A44,
        _xlfn._xlws.FILTER(
            INDIRECT("'"&amp;O$14&amp;"'!A2:E1000"), (INDIRECT("'"&amp;O$14&amp;"'!B2:B1000")=$B44) * (INDIRECT("'"&amp;O$14&amp;"'!C2:C1000")=$C44)
        ),
        5,
        FALSE
    )
)</f>
        <v/>
      </c>
      <c r="P44" s="103">
        <f t="array" ref="P44">IF(
    VLOOKUP(
        $A44,
        _xlfn._xlws.FILTER(
            INDIRECT("'"&amp;P$14&amp;"'!A2:E1000"), (INDIRECT("'"&amp;P$14&amp;"'!B2:B1000")=$B44) * (INDIRECT("'"&amp;P$14&amp;"'!C2:C1000")=$C44)
        ),
        5,
        FALSE
    )=0,
    "",
    VLOOKUP(
        $A44,
        _xlfn._xlws.FILTER(
            INDIRECT("'"&amp;P$14&amp;"'!A2:E1000"), (INDIRECT("'"&amp;P$14&amp;"'!B2:B1000")=$B44) * (INDIRECT("'"&amp;P$14&amp;"'!C2:C1000")=$C44)
        ),
        5,
        FALSE
    )
)</f>
        <v/>
      </c>
      <c r="Q44" s="103">
        <f t="array" ref="Q44">IF(
    VLOOKUP(
        $A44,
        _xlfn._xlws.FILTER(
            INDIRECT("'"&amp;Q$14&amp;"'!A2:E1000"), (INDIRECT("'"&amp;Q$14&amp;"'!B2:B1000")=$B44) * (INDIRECT("'"&amp;Q$14&amp;"'!C2:C1000")=$C44)
        ),
        5,
        FALSE
    )=0,
    "",
    VLOOKUP(
        $A44,
        _xlfn._xlws.FILTER(
            INDIRECT("'"&amp;Q$14&amp;"'!A2:E1000"), (INDIRECT("'"&amp;Q$14&amp;"'!B2:B1000")=$B44) * (INDIRECT("'"&amp;Q$14&amp;"'!C2:C1000")=$C44)
        ),
        5,
        FALSE
    )
)</f>
        <v/>
      </c>
    </row>
    <row r="45">
      <c r="A45" s="54" t="inlineStr">
        <is>
          <t>Larissa</t>
        </is>
      </c>
      <c r="B45" s="50" t="inlineStr">
        <is>
          <t>Foz do Iguaçu</t>
        </is>
      </c>
      <c r="C45" s="50" t="n">
        <v>5</v>
      </c>
      <c r="D45" s="103">
        <f t="array" ref="D45">IF(
    VLOOKUP(
        $A45,
        _xlfn._xlws.FILTER(
            INDIRECT("'"&amp;D$14&amp;"'!A2:E1000"), (INDIRECT("'"&amp;D$14&amp;"'!B2:B1000")=$B45) * (INDIRECT("'"&amp;D$14&amp;"'!C2:C1000")=$C45)
        ),
        5,
        FALSE
    )=0,
    "",
    VLOOKUP(
        $A45,
        _xlfn._xlws.FILTER(
            INDIRECT("'"&amp;D$14&amp;"'!A2:E1000"), (INDIRECT("'"&amp;D$14&amp;"'!B2:B1000")=$B45) * (INDIRECT("'"&amp;D$14&amp;"'!C2:C1000")=$C45)
        ),
        5,
        FALSE
    )
)</f>
        <v/>
      </c>
      <c r="E45" s="103">
        <f t="array" ref="E45">IF(
    VLOOKUP(
        $A45,
        _xlfn._xlws.FILTER(
            INDIRECT("'"&amp;E$14&amp;"'!A2:E1000"), (INDIRECT("'"&amp;E$14&amp;"'!B2:B1000")=$B45) * (INDIRECT("'"&amp;E$14&amp;"'!C2:C1000")=$C45)
        ),
        5,
        FALSE
    )=0,
    "",
    VLOOKUP(
        $A45,
        _xlfn._xlws.FILTER(
            INDIRECT("'"&amp;E$14&amp;"'!A2:E1000"), (INDIRECT("'"&amp;E$14&amp;"'!B2:B1000")=$B45) * (INDIRECT("'"&amp;E$14&amp;"'!C2:C1000")=$C45)
        ),
        5,
        FALSE
    )
)</f>
        <v/>
      </c>
      <c r="F45" s="103">
        <f t="array" ref="F45">IF(
    VLOOKUP(
        $A45,
        _xlfn._xlws.FILTER(
            INDIRECT("'"&amp;F$14&amp;"'!A2:E1000"), (INDIRECT("'"&amp;F$14&amp;"'!B2:B1000")=$B45) * (INDIRECT("'"&amp;F$14&amp;"'!C2:C1000")=$C45)
        ),
        5,
        FALSE
    )=0,
    "",
    VLOOKUP(
        $A45,
        _xlfn._xlws.FILTER(
            INDIRECT("'"&amp;F$14&amp;"'!A2:E1000"), (INDIRECT("'"&amp;F$14&amp;"'!B2:B1000")=$B45) * (INDIRECT("'"&amp;F$14&amp;"'!C2:C1000")=$C45)
        ),
        5,
        FALSE
    )
)</f>
        <v/>
      </c>
      <c r="G45" s="103">
        <f t="array" ref="G45">IF(
    VLOOKUP(
        $A45,
        _xlfn._xlws.FILTER(
            INDIRECT("'"&amp;G$14&amp;"'!A2:E1000"), (INDIRECT("'"&amp;G$14&amp;"'!B2:B1000")=$B45) * (INDIRECT("'"&amp;G$14&amp;"'!C2:C1000")=$C45)
        ),
        5,
        FALSE
    )=0,
    "",
    VLOOKUP(
        $A45,
        _xlfn._xlws.FILTER(
            INDIRECT("'"&amp;G$14&amp;"'!A2:E1000"), (INDIRECT("'"&amp;G$14&amp;"'!B2:B1000")=$B45) * (INDIRECT("'"&amp;G$14&amp;"'!C2:C1000")=$C45)
        ),
        5,
        FALSE
    )
)</f>
        <v/>
      </c>
      <c r="H45" s="103">
        <f t="array" ref="H45">IF(
    VLOOKUP(
        $A45,
        _xlfn._xlws.FILTER(
            INDIRECT("'"&amp;H$14&amp;"'!A2:E1000"), (INDIRECT("'"&amp;H$14&amp;"'!B2:B1000")=$B45) * (INDIRECT("'"&amp;H$14&amp;"'!C2:C1000")=$C45)
        ),
        5,
        FALSE
    )=0,
    "",
    VLOOKUP(
        $A45,
        _xlfn._xlws.FILTER(
            INDIRECT("'"&amp;H$14&amp;"'!A2:E1000"), (INDIRECT("'"&amp;H$14&amp;"'!B2:B1000")=$B45) * (INDIRECT("'"&amp;H$14&amp;"'!C2:C1000")=$C45)
        ),
        5,
        FALSE
    )
)</f>
        <v/>
      </c>
      <c r="I45" s="103">
        <f t="array" ref="I45">IF(
    VLOOKUP(
        $A45,
        _xlfn._xlws.FILTER(
            INDIRECT("'"&amp;I$14&amp;"'!A2:E1000"), (INDIRECT("'"&amp;I$14&amp;"'!B2:B1000")=$B45) * (INDIRECT("'"&amp;I$14&amp;"'!C2:C1000")=$C45)
        ),
        5,
        FALSE
    )=0,
    "",
    VLOOKUP(
        $A45,
        _xlfn._xlws.FILTER(
            INDIRECT("'"&amp;I$14&amp;"'!A2:E1000"), (INDIRECT("'"&amp;I$14&amp;"'!B2:B1000")=$B45) * (INDIRECT("'"&amp;I$14&amp;"'!C2:C1000")=$C45)
        ),
        5,
        FALSE
    )
)</f>
        <v/>
      </c>
      <c r="J45" s="103">
        <f t="array" ref="J45">IF(
    VLOOKUP(
        $A45,
        _xlfn._xlws.FILTER(
            INDIRECT("'"&amp;J$14&amp;"'!A2:E1000"), (INDIRECT("'"&amp;J$14&amp;"'!B2:B1000")=$B45) * (INDIRECT("'"&amp;J$14&amp;"'!C2:C1000")=$C45)
        ),
        5,
        FALSE
    )=0,
    "",
    VLOOKUP(
        $A45,
        _xlfn._xlws.FILTER(
            INDIRECT("'"&amp;J$14&amp;"'!A2:E1000"), (INDIRECT("'"&amp;J$14&amp;"'!B2:B1000")=$B45) * (INDIRECT("'"&amp;J$14&amp;"'!C2:C1000")=$C45)
        ),
        5,
        FALSE
    )
)</f>
        <v/>
      </c>
      <c r="K45" s="103">
        <f t="array" ref="K45">IF(
    VLOOKUP(
        $A45,
        _xlfn._xlws.FILTER(
            INDIRECT("'"&amp;K$14&amp;"'!A2:E1000"), (INDIRECT("'"&amp;K$14&amp;"'!B2:B1000")=$B45) * (INDIRECT("'"&amp;K$14&amp;"'!C2:C1000")=$C45)
        ),
        5,
        FALSE
    )=0,
    "",
    VLOOKUP(
        $A45,
        _xlfn._xlws.FILTER(
            INDIRECT("'"&amp;K$14&amp;"'!A2:E1000"), (INDIRECT("'"&amp;K$14&amp;"'!B2:B1000")=$B45) * (INDIRECT("'"&amp;K$14&amp;"'!C2:C1000")=$C45)
        ),
        5,
        FALSE
    )
)</f>
        <v/>
      </c>
      <c r="L45" s="103">
        <f t="array" ref="L45">IF(
    VLOOKUP(
        $A45,
        _xlfn._xlws.FILTER(
            INDIRECT("'"&amp;L$14&amp;"'!A2:E1000"), (INDIRECT("'"&amp;L$14&amp;"'!B2:B1000")=$B45) * (INDIRECT("'"&amp;L$14&amp;"'!C2:C1000")=$C45)
        ),
        5,
        FALSE
    )=0,
    "",
    VLOOKUP(
        $A45,
        _xlfn._xlws.FILTER(
            INDIRECT("'"&amp;L$14&amp;"'!A2:E1000"), (INDIRECT("'"&amp;L$14&amp;"'!B2:B1000")=$B45) * (INDIRECT("'"&amp;L$14&amp;"'!C2:C1000")=$C45)
        ),
        5,
        FALSE
    )
)</f>
        <v/>
      </c>
      <c r="M45" s="103">
        <f t="array" ref="M45">IF(
    VLOOKUP(
        $A45,
        _xlfn._xlws.FILTER(
            INDIRECT("'"&amp;M$14&amp;"'!A2:E1000"), (INDIRECT("'"&amp;M$14&amp;"'!B2:B1000")=$B45) * (INDIRECT("'"&amp;M$14&amp;"'!C2:C1000")=$C45)
        ),
        5,
        FALSE
    )=0,
    "",
    VLOOKUP(
        $A45,
        _xlfn._xlws.FILTER(
            INDIRECT("'"&amp;M$14&amp;"'!A2:E1000"), (INDIRECT("'"&amp;M$14&amp;"'!B2:B1000")=$B45) * (INDIRECT("'"&amp;M$14&amp;"'!C2:C1000")=$C45)
        ),
        5,
        FALSE
    )
)</f>
        <v/>
      </c>
      <c r="N45" s="103">
        <f t="array" ref="N45">IF(
    VLOOKUP(
        $A45,
        _xlfn._xlws.FILTER(
            INDIRECT("'"&amp;N$14&amp;"'!A2:E1000"), (INDIRECT("'"&amp;N$14&amp;"'!B2:B1000")=$B45) * (INDIRECT("'"&amp;N$14&amp;"'!C2:C1000")=$C45)
        ),
        5,
        FALSE
    )=0,
    "",
    VLOOKUP(
        $A45,
        _xlfn._xlws.FILTER(
            INDIRECT("'"&amp;N$14&amp;"'!A2:E1000"), (INDIRECT("'"&amp;N$14&amp;"'!B2:B1000")=$B45) * (INDIRECT("'"&amp;N$14&amp;"'!C2:C1000")=$C45)
        ),
        5,
        FALSE
    )
)</f>
        <v/>
      </c>
      <c r="O45" s="103">
        <f t="array" ref="O45">IF(
    VLOOKUP(
        $A45,
        _xlfn._xlws.FILTER(
            INDIRECT("'"&amp;O$14&amp;"'!A2:E1000"), (INDIRECT("'"&amp;O$14&amp;"'!B2:B1000")=$B45) * (INDIRECT("'"&amp;O$14&amp;"'!C2:C1000")=$C45)
        ),
        5,
        FALSE
    )=0,
    "",
    VLOOKUP(
        $A45,
        _xlfn._xlws.FILTER(
            INDIRECT("'"&amp;O$14&amp;"'!A2:E1000"), (INDIRECT("'"&amp;O$14&amp;"'!B2:B1000")=$B45) * (INDIRECT("'"&amp;O$14&amp;"'!C2:C1000")=$C45)
        ),
        5,
        FALSE
    )
)</f>
        <v/>
      </c>
      <c r="P45" s="103">
        <f t="array" ref="P45">IF(
    VLOOKUP(
        $A45,
        _xlfn._xlws.FILTER(
            INDIRECT("'"&amp;P$14&amp;"'!A2:E1000"), (INDIRECT("'"&amp;P$14&amp;"'!B2:B1000")=$B45) * (INDIRECT("'"&amp;P$14&amp;"'!C2:C1000")=$C45)
        ),
        5,
        FALSE
    )=0,
    "",
    VLOOKUP(
        $A45,
        _xlfn._xlws.FILTER(
            INDIRECT("'"&amp;P$14&amp;"'!A2:E1000"), (INDIRECT("'"&amp;P$14&amp;"'!B2:B1000")=$B45) * (INDIRECT("'"&amp;P$14&amp;"'!C2:C1000")=$C45)
        ),
        5,
        FALSE
    )
)</f>
        <v/>
      </c>
      <c r="Q45" s="103">
        <f t="array" ref="Q45">IF(
    VLOOKUP(
        $A45,
        _xlfn._xlws.FILTER(
            INDIRECT("'"&amp;Q$14&amp;"'!A2:E1000"), (INDIRECT("'"&amp;Q$14&amp;"'!B2:B1000")=$B45) * (INDIRECT("'"&amp;Q$14&amp;"'!C2:C1000")=$C45)
        ),
        5,
        FALSE
    )=0,
    "",
    VLOOKUP(
        $A45,
        _xlfn._xlws.FILTER(
            INDIRECT("'"&amp;Q$14&amp;"'!A2:E1000"), (INDIRECT("'"&amp;Q$14&amp;"'!B2:B1000")=$B45) * (INDIRECT("'"&amp;Q$14&amp;"'!C2:C1000")=$C45)
        ),
        5,
        FALSE
    )
)</f>
        <v/>
      </c>
    </row>
    <row r="46">
      <c r="A46" s="54" t="inlineStr">
        <is>
          <t>Larissa</t>
        </is>
      </c>
      <c r="B46" s="50" t="inlineStr">
        <is>
          <t>Foz do Iguaçu</t>
        </is>
      </c>
      <c r="C46" s="50" t="n">
        <v>6</v>
      </c>
      <c r="D46" s="103">
        <f t="array" ref="D46">IF(
    VLOOKUP(
        $A46,
        _xlfn._xlws.FILTER(
            INDIRECT("'"&amp;D$14&amp;"'!A2:E1000"), (INDIRECT("'"&amp;D$14&amp;"'!B2:B1000")=$B46) * (INDIRECT("'"&amp;D$14&amp;"'!C2:C1000")=$C46)
        ),
        5,
        FALSE
    )=0,
    "",
    VLOOKUP(
        $A46,
        _xlfn._xlws.FILTER(
            INDIRECT("'"&amp;D$14&amp;"'!A2:E1000"), (INDIRECT("'"&amp;D$14&amp;"'!B2:B1000")=$B46) * (INDIRECT("'"&amp;D$14&amp;"'!C2:C1000")=$C46)
        ),
        5,
        FALSE
    )
)</f>
        <v/>
      </c>
      <c r="E46" s="103">
        <f t="array" ref="E46">IF(
    VLOOKUP(
        $A46,
        _xlfn._xlws.FILTER(
            INDIRECT("'"&amp;E$14&amp;"'!A2:E1000"), (INDIRECT("'"&amp;E$14&amp;"'!B2:B1000")=$B46) * (INDIRECT("'"&amp;E$14&amp;"'!C2:C1000")=$C46)
        ),
        5,
        FALSE
    )=0,
    "",
    VLOOKUP(
        $A46,
        _xlfn._xlws.FILTER(
            INDIRECT("'"&amp;E$14&amp;"'!A2:E1000"), (INDIRECT("'"&amp;E$14&amp;"'!B2:B1000")=$B46) * (INDIRECT("'"&amp;E$14&amp;"'!C2:C1000")=$C46)
        ),
        5,
        FALSE
    )
)</f>
        <v/>
      </c>
      <c r="F46" s="103">
        <f t="array" ref="F46">IF(
    VLOOKUP(
        $A46,
        _xlfn._xlws.FILTER(
            INDIRECT("'"&amp;F$14&amp;"'!A2:E1000"), (INDIRECT("'"&amp;F$14&amp;"'!B2:B1000")=$B46) * (INDIRECT("'"&amp;F$14&amp;"'!C2:C1000")=$C46)
        ),
        5,
        FALSE
    )=0,
    "",
    VLOOKUP(
        $A46,
        _xlfn._xlws.FILTER(
            INDIRECT("'"&amp;F$14&amp;"'!A2:E1000"), (INDIRECT("'"&amp;F$14&amp;"'!B2:B1000")=$B46) * (INDIRECT("'"&amp;F$14&amp;"'!C2:C1000")=$C46)
        ),
        5,
        FALSE
    )
)</f>
        <v/>
      </c>
      <c r="G46" s="103">
        <f t="array" ref="G46">IF(
    VLOOKUP(
        $A46,
        _xlfn._xlws.FILTER(
            INDIRECT("'"&amp;G$14&amp;"'!A2:E1000"), (INDIRECT("'"&amp;G$14&amp;"'!B2:B1000")=$B46) * (INDIRECT("'"&amp;G$14&amp;"'!C2:C1000")=$C46)
        ),
        5,
        FALSE
    )=0,
    "",
    VLOOKUP(
        $A46,
        _xlfn._xlws.FILTER(
            INDIRECT("'"&amp;G$14&amp;"'!A2:E1000"), (INDIRECT("'"&amp;G$14&amp;"'!B2:B1000")=$B46) * (INDIRECT("'"&amp;G$14&amp;"'!C2:C1000")=$C46)
        ),
        5,
        FALSE
    )
)</f>
        <v/>
      </c>
      <c r="H46" s="103">
        <f t="array" ref="H46">IF(
    VLOOKUP(
        $A46,
        _xlfn._xlws.FILTER(
            INDIRECT("'"&amp;H$14&amp;"'!A2:E1000"), (INDIRECT("'"&amp;H$14&amp;"'!B2:B1000")=$B46) * (INDIRECT("'"&amp;H$14&amp;"'!C2:C1000")=$C46)
        ),
        5,
        FALSE
    )=0,
    "",
    VLOOKUP(
        $A46,
        _xlfn._xlws.FILTER(
            INDIRECT("'"&amp;H$14&amp;"'!A2:E1000"), (INDIRECT("'"&amp;H$14&amp;"'!B2:B1000")=$B46) * (INDIRECT("'"&amp;H$14&amp;"'!C2:C1000")=$C46)
        ),
        5,
        FALSE
    )
)</f>
        <v/>
      </c>
      <c r="I46" s="103">
        <f t="array" ref="I46">IF(
    VLOOKUP(
        $A46,
        _xlfn._xlws.FILTER(
            INDIRECT("'"&amp;I$14&amp;"'!A2:E1000"), (INDIRECT("'"&amp;I$14&amp;"'!B2:B1000")=$B46) * (INDIRECT("'"&amp;I$14&amp;"'!C2:C1000")=$C46)
        ),
        5,
        FALSE
    )=0,
    "",
    VLOOKUP(
        $A46,
        _xlfn._xlws.FILTER(
            INDIRECT("'"&amp;I$14&amp;"'!A2:E1000"), (INDIRECT("'"&amp;I$14&amp;"'!B2:B1000")=$B46) * (INDIRECT("'"&amp;I$14&amp;"'!C2:C1000")=$C46)
        ),
        5,
        FALSE
    )
)</f>
        <v/>
      </c>
      <c r="J46" s="103">
        <f t="array" ref="J46">IF(
    VLOOKUP(
        $A46,
        _xlfn._xlws.FILTER(
            INDIRECT("'"&amp;J$14&amp;"'!A2:E1000"), (INDIRECT("'"&amp;J$14&amp;"'!B2:B1000")=$B46) * (INDIRECT("'"&amp;J$14&amp;"'!C2:C1000")=$C46)
        ),
        5,
        FALSE
    )=0,
    "",
    VLOOKUP(
        $A46,
        _xlfn._xlws.FILTER(
            INDIRECT("'"&amp;J$14&amp;"'!A2:E1000"), (INDIRECT("'"&amp;J$14&amp;"'!B2:B1000")=$B46) * (INDIRECT("'"&amp;J$14&amp;"'!C2:C1000")=$C46)
        ),
        5,
        FALSE
    )
)</f>
        <v/>
      </c>
      <c r="K46" s="103">
        <f t="array" ref="K46">IF(
    VLOOKUP(
        $A46,
        _xlfn._xlws.FILTER(
            INDIRECT("'"&amp;K$14&amp;"'!A2:E1000"), (INDIRECT("'"&amp;K$14&amp;"'!B2:B1000")=$B46) * (INDIRECT("'"&amp;K$14&amp;"'!C2:C1000")=$C46)
        ),
        5,
        FALSE
    )=0,
    "",
    VLOOKUP(
        $A46,
        _xlfn._xlws.FILTER(
            INDIRECT("'"&amp;K$14&amp;"'!A2:E1000"), (INDIRECT("'"&amp;K$14&amp;"'!B2:B1000")=$B46) * (INDIRECT("'"&amp;K$14&amp;"'!C2:C1000")=$C46)
        ),
        5,
        FALSE
    )
)</f>
        <v/>
      </c>
      <c r="L46" s="103">
        <f t="array" ref="L46">IF(
    VLOOKUP(
        $A46,
        _xlfn._xlws.FILTER(
            INDIRECT("'"&amp;L$14&amp;"'!A2:E1000"), (INDIRECT("'"&amp;L$14&amp;"'!B2:B1000")=$B46) * (INDIRECT("'"&amp;L$14&amp;"'!C2:C1000")=$C46)
        ),
        5,
        FALSE
    )=0,
    "",
    VLOOKUP(
        $A46,
        _xlfn._xlws.FILTER(
            INDIRECT("'"&amp;L$14&amp;"'!A2:E1000"), (INDIRECT("'"&amp;L$14&amp;"'!B2:B1000")=$B46) * (INDIRECT("'"&amp;L$14&amp;"'!C2:C1000")=$C46)
        ),
        5,
        FALSE
    )
)</f>
        <v/>
      </c>
      <c r="M46" s="103">
        <f t="array" ref="M46">IF(
    VLOOKUP(
        $A46,
        _xlfn._xlws.FILTER(
            INDIRECT("'"&amp;M$14&amp;"'!A2:E1000"), (INDIRECT("'"&amp;M$14&amp;"'!B2:B1000")=$B46) * (INDIRECT("'"&amp;M$14&amp;"'!C2:C1000")=$C46)
        ),
        5,
        FALSE
    )=0,
    "",
    VLOOKUP(
        $A46,
        _xlfn._xlws.FILTER(
            INDIRECT("'"&amp;M$14&amp;"'!A2:E1000"), (INDIRECT("'"&amp;M$14&amp;"'!B2:B1000")=$B46) * (INDIRECT("'"&amp;M$14&amp;"'!C2:C1000")=$C46)
        ),
        5,
        FALSE
    )
)</f>
        <v/>
      </c>
      <c r="N46" s="103">
        <f t="array" ref="N46">IF(
    VLOOKUP(
        $A46,
        _xlfn._xlws.FILTER(
            INDIRECT("'"&amp;N$14&amp;"'!A2:E1000"), (INDIRECT("'"&amp;N$14&amp;"'!B2:B1000")=$B46) * (INDIRECT("'"&amp;N$14&amp;"'!C2:C1000")=$C46)
        ),
        5,
        FALSE
    )=0,
    "",
    VLOOKUP(
        $A46,
        _xlfn._xlws.FILTER(
            INDIRECT("'"&amp;N$14&amp;"'!A2:E1000"), (INDIRECT("'"&amp;N$14&amp;"'!B2:B1000")=$B46) * (INDIRECT("'"&amp;N$14&amp;"'!C2:C1000")=$C46)
        ),
        5,
        FALSE
    )
)</f>
        <v/>
      </c>
      <c r="O46" s="103">
        <f t="array" ref="O46">IF(
    VLOOKUP(
        $A46,
        _xlfn._xlws.FILTER(
            INDIRECT("'"&amp;O$14&amp;"'!A2:E1000"), (INDIRECT("'"&amp;O$14&amp;"'!B2:B1000")=$B46) * (INDIRECT("'"&amp;O$14&amp;"'!C2:C1000")=$C46)
        ),
        5,
        FALSE
    )=0,
    "",
    VLOOKUP(
        $A46,
        _xlfn._xlws.FILTER(
            INDIRECT("'"&amp;O$14&amp;"'!A2:E1000"), (INDIRECT("'"&amp;O$14&amp;"'!B2:B1000")=$B46) * (INDIRECT("'"&amp;O$14&amp;"'!C2:C1000")=$C46)
        ),
        5,
        FALSE
    )
)</f>
        <v/>
      </c>
      <c r="P46" s="103">
        <f t="array" ref="P46">IF(
    VLOOKUP(
        $A46,
        _xlfn._xlws.FILTER(
            INDIRECT("'"&amp;P$14&amp;"'!A2:E1000"), (INDIRECT("'"&amp;P$14&amp;"'!B2:B1000")=$B46) * (INDIRECT("'"&amp;P$14&amp;"'!C2:C1000")=$C46)
        ),
        5,
        FALSE
    )=0,
    "",
    VLOOKUP(
        $A46,
        _xlfn._xlws.FILTER(
            INDIRECT("'"&amp;P$14&amp;"'!A2:E1000"), (INDIRECT("'"&amp;P$14&amp;"'!B2:B1000")=$B46) * (INDIRECT("'"&amp;P$14&amp;"'!C2:C1000")=$C46)
        ),
        5,
        FALSE
    )
)</f>
        <v/>
      </c>
      <c r="Q46" s="103">
        <f t="array" ref="Q46">IF(
    VLOOKUP(
        $A46,
        _xlfn._xlws.FILTER(
            INDIRECT("'"&amp;Q$14&amp;"'!A2:E1000"), (INDIRECT("'"&amp;Q$14&amp;"'!B2:B1000")=$B46) * (INDIRECT("'"&amp;Q$14&amp;"'!C2:C1000")=$C46)
        ),
        5,
        FALSE
    )=0,
    "",
    VLOOKUP(
        $A46,
        _xlfn._xlws.FILTER(
            INDIRECT("'"&amp;Q$14&amp;"'!A2:E1000"), (INDIRECT("'"&amp;Q$14&amp;"'!B2:B1000")=$B46) * (INDIRECT("'"&amp;Q$14&amp;"'!C2:C1000")=$C46)
        ),
        5,
        FALSE
    )
)</f>
        <v/>
      </c>
    </row>
    <row r="47">
      <c r="A47" s="54" t="inlineStr">
        <is>
          <t>Larissa</t>
        </is>
      </c>
      <c r="B47" s="50" t="inlineStr">
        <is>
          <t>Foz do Iguaçu</t>
        </is>
      </c>
      <c r="C47" s="50" t="n">
        <v>7</v>
      </c>
      <c r="D47" s="103">
        <f t="array" ref="D47">IF(
    VLOOKUP(
        $A47,
        _xlfn._xlws.FILTER(
            INDIRECT("'"&amp;D$14&amp;"'!A2:E1000"), (INDIRECT("'"&amp;D$14&amp;"'!B2:B1000")=$B47) * (INDIRECT("'"&amp;D$14&amp;"'!C2:C1000")=$C47)
        ),
        5,
        FALSE
    )=0,
    "",
    VLOOKUP(
        $A47,
        _xlfn._xlws.FILTER(
            INDIRECT("'"&amp;D$14&amp;"'!A2:E1000"), (INDIRECT("'"&amp;D$14&amp;"'!B2:B1000")=$B47) * (INDIRECT("'"&amp;D$14&amp;"'!C2:C1000")=$C47)
        ),
        5,
        FALSE
    )
)</f>
        <v/>
      </c>
      <c r="E47" s="103">
        <f t="array" ref="E47">IF(
    VLOOKUP(
        $A47,
        _xlfn._xlws.FILTER(
            INDIRECT("'"&amp;E$14&amp;"'!A2:E1000"), (INDIRECT("'"&amp;E$14&amp;"'!B2:B1000")=$B47) * (INDIRECT("'"&amp;E$14&amp;"'!C2:C1000")=$C47)
        ),
        5,
        FALSE
    )=0,
    "",
    VLOOKUP(
        $A47,
        _xlfn._xlws.FILTER(
            INDIRECT("'"&amp;E$14&amp;"'!A2:E1000"), (INDIRECT("'"&amp;E$14&amp;"'!B2:B1000")=$B47) * (INDIRECT("'"&amp;E$14&amp;"'!C2:C1000")=$C47)
        ),
        5,
        FALSE
    )
)</f>
        <v/>
      </c>
      <c r="F47" s="103">
        <f t="array" ref="F47">IF(
    VLOOKUP(
        $A47,
        _xlfn._xlws.FILTER(
            INDIRECT("'"&amp;F$14&amp;"'!A2:E1000"), (INDIRECT("'"&amp;F$14&amp;"'!B2:B1000")=$B47) * (INDIRECT("'"&amp;F$14&amp;"'!C2:C1000")=$C47)
        ),
        5,
        FALSE
    )=0,
    "",
    VLOOKUP(
        $A47,
        _xlfn._xlws.FILTER(
            INDIRECT("'"&amp;F$14&amp;"'!A2:E1000"), (INDIRECT("'"&amp;F$14&amp;"'!B2:B1000")=$B47) * (INDIRECT("'"&amp;F$14&amp;"'!C2:C1000")=$C47)
        ),
        5,
        FALSE
    )
)</f>
        <v/>
      </c>
      <c r="G47" s="103">
        <f t="array" ref="G47">IF(
    VLOOKUP(
        $A47,
        _xlfn._xlws.FILTER(
            INDIRECT("'"&amp;G$14&amp;"'!A2:E1000"), (INDIRECT("'"&amp;G$14&amp;"'!B2:B1000")=$B47) * (INDIRECT("'"&amp;G$14&amp;"'!C2:C1000")=$C47)
        ),
        5,
        FALSE
    )=0,
    "",
    VLOOKUP(
        $A47,
        _xlfn._xlws.FILTER(
            INDIRECT("'"&amp;G$14&amp;"'!A2:E1000"), (INDIRECT("'"&amp;G$14&amp;"'!B2:B1000")=$B47) * (INDIRECT("'"&amp;G$14&amp;"'!C2:C1000")=$C47)
        ),
        5,
        FALSE
    )
)</f>
        <v/>
      </c>
      <c r="H47" s="103">
        <f t="array" ref="H47">IF(
    VLOOKUP(
        $A47,
        _xlfn._xlws.FILTER(
            INDIRECT("'"&amp;H$14&amp;"'!A2:E1000"), (INDIRECT("'"&amp;H$14&amp;"'!B2:B1000")=$B47) * (INDIRECT("'"&amp;H$14&amp;"'!C2:C1000")=$C47)
        ),
        5,
        FALSE
    )=0,
    "",
    VLOOKUP(
        $A47,
        _xlfn._xlws.FILTER(
            INDIRECT("'"&amp;H$14&amp;"'!A2:E1000"), (INDIRECT("'"&amp;H$14&amp;"'!B2:B1000")=$B47) * (INDIRECT("'"&amp;H$14&amp;"'!C2:C1000")=$C47)
        ),
        5,
        FALSE
    )
)</f>
        <v/>
      </c>
      <c r="I47" s="103">
        <f t="array" ref="I47">IF(
    VLOOKUP(
        $A47,
        _xlfn._xlws.FILTER(
            INDIRECT("'"&amp;I$14&amp;"'!A2:E1000"), (INDIRECT("'"&amp;I$14&amp;"'!B2:B1000")=$B47) * (INDIRECT("'"&amp;I$14&amp;"'!C2:C1000")=$C47)
        ),
        5,
        FALSE
    )=0,
    "",
    VLOOKUP(
        $A47,
        _xlfn._xlws.FILTER(
            INDIRECT("'"&amp;I$14&amp;"'!A2:E1000"), (INDIRECT("'"&amp;I$14&amp;"'!B2:B1000")=$B47) * (INDIRECT("'"&amp;I$14&amp;"'!C2:C1000")=$C47)
        ),
        5,
        FALSE
    )
)</f>
        <v/>
      </c>
      <c r="J47" s="103">
        <f t="array" ref="J47">IF(
    VLOOKUP(
        $A47,
        _xlfn._xlws.FILTER(
            INDIRECT("'"&amp;J$14&amp;"'!A2:E1000"), (INDIRECT("'"&amp;J$14&amp;"'!B2:B1000")=$B47) * (INDIRECT("'"&amp;J$14&amp;"'!C2:C1000")=$C47)
        ),
        5,
        FALSE
    )=0,
    "",
    VLOOKUP(
        $A47,
        _xlfn._xlws.FILTER(
            INDIRECT("'"&amp;J$14&amp;"'!A2:E1000"), (INDIRECT("'"&amp;J$14&amp;"'!B2:B1000")=$B47) * (INDIRECT("'"&amp;J$14&amp;"'!C2:C1000")=$C47)
        ),
        5,
        FALSE
    )
)</f>
        <v/>
      </c>
      <c r="K47" s="103">
        <f t="array" ref="K47">IF(
    VLOOKUP(
        $A47,
        _xlfn._xlws.FILTER(
            INDIRECT("'"&amp;K$14&amp;"'!A2:E1000"), (INDIRECT("'"&amp;K$14&amp;"'!B2:B1000")=$B47) * (INDIRECT("'"&amp;K$14&amp;"'!C2:C1000")=$C47)
        ),
        5,
        FALSE
    )=0,
    "",
    VLOOKUP(
        $A47,
        _xlfn._xlws.FILTER(
            INDIRECT("'"&amp;K$14&amp;"'!A2:E1000"), (INDIRECT("'"&amp;K$14&amp;"'!B2:B1000")=$B47) * (INDIRECT("'"&amp;K$14&amp;"'!C2:C1000")=$C47)
        ),
        5,
        FALSE
    )
)</f>
        <v/>
      </c>
      <c r="L47" s="103">
        <f t="array" ref="L47">IF(
    VLOOKUP(
        $A47,
        _xlfn._xlws.FILTER(
            INDIRECT("'"&amp;L$14&amp;"'!A2:E1000"), (INDIRECT("'"&amp;L$14&amp;"'!B2:B1000")=$B47) * (INDIRECT("'"&amp;L$14&amp;"'!C2:C1000")=$C47)
        ),
        5,
        FALSE
    )=0,
    "",
    VLOOKUP(
        $A47,
        _xlfn._xlws.FILTER(
            INDIRECT("'"&amp;L$14&amp;"'!A2:E1000"), (INDIRECT("'"&amp;L$14&amp;"'!B2:B1000")=$B47) * (INDIRECT("'"&amp;L$14&amp;"'!C2:C1000")=$C47)
        ),
        5,
        FALSE
    )
)</f>
        <v/>
      </c>
      <c r="M47" s="103">
        <f t="array" ref="M47">IF(
    VLOOKUP(
        $A47,
        _xlfn._xlws.FILTER(
            INDIRECT("'"&amp;M$14&amp;"'!A2:E1000"), (INDIRECT("'"&amp;M$14&amp;"'!B2:B1000")=$B47) * (INDIRECT("'"&amp;M$14&amp;"'!C2:C1000")=$C47)
        ),
        5,
        FALSE
    )=0,
    "",
    VLOOKUP(
        $A47,
        _xlfn._xlws.FILTER(
            INDIRECT("'"&amp;M$14&amp;"'!A2:E1000"), (INDIRECT("'"&amp;M$14&amp;"'!B2:B1000")=$B47) * (INDIRECT("'"&amp;M$14&amp;"'!C2:C1000")=$C47)
        ),
        5,
        FALSE
    )
)</f>
        <v/>
      </c>
      <c r="N47" s="103">
        <f t="array" ref="N47">IF(
    VLOOKUP(
        $A47,
        _xlfn._xlws.FILTER(
            INDIRECT("'"&amp;N$14&amp;"'!A2:E1000"), (INDIRECT("'"&amp;N$14&amp;"'!B2:B1000")=$B47) * (INDIRECT("'"&amp;N$14&amp;"'!C2:C1000")=$C47)
        ),
        5,
        FALSE
    )=0,
    "",
    VLOOKUP(
        $A47,
        _xlfn._xlws.FILTER(
            INDIRECT("'"&amp;N$14&amp;"'!A2:E1000"), (INDIRECT("'"&amp;N$14&amp;"'!B2:B1000")=$B47) * (INDIRECT("'"&amp;N$14&amp;"'!C2:C1000")=$C47)
        ),
        5,
        FALSE
    )
)</f>
        <v/>
      </c>
      <c r="O47" s="103">
        <f t="array" ref="O47">IF(
    VLOOKUP(
        $A47,
        _xlfn._xlws.FILTER(
            INDIRECT("'"&amp;O$14&amp;"'!A2:E1000"), (INDIRECT("'"&amp;O$14&amp;"'!B2:B1000")=$B47) * (INDIRECT("'"&amp;O$14&amp;"'!C2:C1000")=$C47)
        ),
        5,
        FALSE
    )=0,
    "",
    VLOOKUP(
        $A47,
        _xlfn._xlws.FILTER(
            INDIRECT("'"&amp;O$14&amp;"'!A2:E1000"), (INDIRECT("'"&amp;O$14&amp;"'!B2:B1000")=$B47) * (INDIRECT("'"&amp;O$14&amp;"'!C2:C1000")=$C47)
        ),
        5,
        FALSE
    )
)</f>
        <v/>
      </c>
      <c r="P47" s="103">
        <f t="array" ref="P47">IF(
    VLOOKUP(
        $A47,
        _xlfn._xlws.FILTER(
            INDIRECT("'"&amp;P$14&amp;"'!A2:E1000"), (INDIRECT("'"&amp;P$14&amp;"'!B2:B1000")=$B47) * (INDIRECT("'"&amp;P$14&amp;"'!C2:C1000")=$C47)
        ),
        5,
        FALSE
    )=0,
    "",
    VLOOKUP(
        $A47,
        _xlfn._xlws.FILTER(
            INDIRECT("'"&amp;P$14&amp;"'!A2:E1000"), (INDIRECT("'"&amp;P$14&amp;"'!B2:B1000")=$B47) * (INDIRECT("'"&amp;P$14&amp;"'!C2:C1000")=$C47)
        ),
        5,
        FALSE
    )
)</f>
        <v/>
      </c>
      <c r="Q47" s="103">
        <f t="array" ref="Q47">IF(
    VLOOKUP(
        $A47,
        _xlfn._xlws.FILTER(
            INDIRECT("'"&amp;Q$14&amp;"'!A2:E1000"), (INDIRECT("'"&amp;Q$14&amp;"'!B2:B1000")=$B47) * (INDIRECT("'"&amp;Q$14&amp;"'!C2:C1000")=$C47)
        ),
        5,
        FALSE
    )=0,
    "",
    VLOOKUP(
        $A47,
        _xlfn._xlws.FILTER(
            INDIRECT("'"&amp;Q$14&amp;"'!A2:E1000"), (INDIRECT("'"&amp;Q$14&amp;"'!B2:B1000")=$B47) * (INDIRECT("'"&amp;Q$14&amp;"'!C2:C1000")=$C47)
        ),
        5,
        FALSE
    )
)</f>
        <v/>
      </c>
    </row>
    <row r="48">
      <c r="A48" s="54" t="inlineStr">
        <is>
          <t>Larissa</t>
        </is>
      </c>
      <c r="B48" s="50" t="inlineStr">
        <is>
          <t>Foz do Iguaçu</t>
        </is>
      </c>
      <c r="C48" s="50" t="n">
        <v>8</v>
      </c>
      <c r="D48" s="103">
        <f t="array" ref="D48">IF(
    VLOOKUP(
        $A48,
        _xlfn._xlws.FILTER(
            INDIRECT("'"&amp;D$14&amp;"'!A2:E1000"), (INDIRECT("'"&amp;D$14&amp;"'!B2:B1000")=$B48) * (INDIRECT("'"&amp;D$14&amp;"'!C2:C1000")=$C48)
        ),
        5,
        FALSE
    )=0,
    "",
    VLOOKUP(
        $A48,
        _xlfn._xlws.FILTER(
            INDIRECT("'"&amp;D$14&amp;"'!A2:E1000"), (INDIRECT("'"&amp;D$14&amp;"'!B2:B1000")=$B48) * (INDIRECT("'"&amp;D$14&amp;"'!C2:C1000")=$C48)
        ),
        5,
        FALSE
    )
)</f>
        <v/>
      </c>
      <c r="E48" s="103">
        <f t="array" ref="E48">IF(
    VLOOKUP(
        $A48,
        _xlfn._xlws.FILTER(
            INDIRECT("'"&amp;E$14&amp;"'!A2:E1000"), (INDIRECT("'"&amp;E$14&amp;"'!B2:B1000")=$B48) * (INDIRECT("'"&amp;E$14&amp;"'!C2:C1000")=$C48)
        ),
        5,
        FALSE
    )=0,
    "",
    VLOOKUP(
        $A48,
        _xlfn._xlws.FILTER(
            INDIRECT("'"&amp;E$14&amp;"'!A2:E1000"), (INDIRECT("'"&amp;E$14&amp;"'!B2:B1000")=$B48) * (INDIRECT("'"&amp;E$14&amp;"'!C2:C1000")=$C48)
        ),
        5,
        FALSE
    )
)</f>
        <v/>
      </c>
      <c r="F48" s="103">
        <f t="array" ref="F48">IF(
    VLOOKUP(
        $A48,
        _xlfn._xlws.FILTER(
            INDIRECT("'"&amp;F$14&amp;"'!A2:E1000"), (INDIRECT("'"&amp;F$14&amp;"'!B2:B1000")=$B48) * (INDIRECT("'"&amp;F$14&amp;"'!C2:C1000")=$C48)
        ),
        5,
        FALSE
    )=0,
    "",
    VLOOKUP(
        $A48,
        _xlfn._xlws.FILTER(
            INDIRECT("'"&amp;F$14&amp;"'!A2:E1000"), (INDIRECT("'"&amp;F$14&amp;"'!B2:B1000")=$B48) * (INDIRECT("'"&amp;F$14&amp;"'!C2:C1000")=$C48)
        ),
        5,
        FALSE
    )
)</f>
        <v/>
      </c>
      <c r="G48" s="103">
        <f t="array" ref="G48">IF(
    VLOOKUP(
        $A48,
        _xlfn._xlws.FILTER(
            INDIRECT("'"&amp;G$14&amp;"'!A2:E1000"), (INDIRECT("'"&amp;G$14&amp;"'!B2:B1000")=$B48) * (INDIRECT("'"&amp;G$14&amp;"'!C2:C1000")=$C48)
        ),
        5,
        FALSE
    )=0,
    "",
    VLOOKUP(
        $A48,
        _xlfn._xlws.FILTER(
            INDIRECT("'"&amp;G$14&amp;"'!A2:E1000"), (INDIRECT("'"&amp;G$14&amp;"'!B2:B1000")=$B48) * (INDIRECT("'"&amp;G$14&amp;"'!C2:C1000")=$C48)
        ),
        5,
        FALSE
    )
)</f>
        <v/>
      </c>
      <c r="H48" s="103">
        <f t="array" ref="H48">IF(
    VLOOKUP(
        $A48,
        _xlfn._xlws.FILTER(
            INDIRECT("'"&amp;H$14&amp;"'!A2:E1000"), (INDIRECT("'"&amp;H$14&amp;"'!B2:B1000")=$B48) * (INDIRECT("'"&amp;H$14&amp;"'!C2:C1000")=$C48)
        ),
        5,
        FALSE
    )=0,
    "",
    VLOOKUP(
        $A48,
        _xlfn._xlws.FILTER(
            INDIRECT("'"&amp;H$14&amp;"'!A2:E1000"), (INDIRECT("'"&amp;H$14&amp;"'!B2:B1000")=$B48) * (INDIRECT("'"&amp;H$14&amp;"'!C2:C1000")=$C48)
        ),
        5,
        FALSE
    )
)</f>
        <v/>
      </c>
      <c r="I48" s="103">
        <f t="array" ref="I48">IF(
    VLOOKUP(
        $A48,
        _xlfn._xlws.FILTER(
            INDIRECT("'"&amp;I$14&amp;"'!A2:E1000"), (INDIRECT("'"&amp;I$14&amp;"'!B2:B1000")=$B48) * (INDIRECT("'"&amp;I$14&amp;"'!C2:C1000")=$C48)
        ),
        5,
        FALSE
    )=0,
    "",
    VLOOKUP(
        $A48,
        _xlfn._xlws.FILTER(
            INDIRECT("'"&amp;I$14&amp;"'!A2:E1000"), (INDIRECT("'"&amp;I$14&amp;"'!B2:B1000")=$B48) * (INDIRECT("'"&amp;I$14&amp;"'!C2:C1000")=$C48)
        ),
        5,
        FALSE
    )
)</f>
        <v/>
      </c>
      <c r="J48" s="103">
        <f t="array" ref="J48">IF(
    VLOOKUP(
        $A48,
        _xlfn._xlws.FILTER(
            INDIRECT("'"&amp;J$14&amp;"'!A2:E1000"), (INDIRECT("'"&amp;J$14&amp;"'!B2:B1000")=$B48) * (INDIRECT("'"&amp;J$14&amp;"'!C2:C1000")=$C48)
        ),
        5,
        FALSE
    )=0,
    "",
    VLOOKUP(
        $A48,
        _xlfn._xlws.FILTER(
            INDIRECT("'"&amp;J$14&amp;"'!A2:E1000"), (INDIRECT("'"&amp;J$14&amp;"'!B2:B1000")=$B48) * (INDIRECT("'"&amp;J$14&amp;"'!C2:C1000")=$C48)
        ),
        5,
        FALSE
    )
)</f>
        <v/>
      </c>
      <c r="K48" s="103">
        <f t="array" ref="K48">IF(
    VLOOKUP(
        $A48,
        _xlfn._xlws.FILTER(
            INDIRECT("'"&amp;K$14&amp;"'!A2:E1000"), (INDIRECT("'"&amp;K$14&amp;"'!B2:B1000")=$B48) * (INDIRECT("'"&amp;K$14&amp;"'!C2:C1000")=$C48)
        ),
        5,
        FALSE
    )=0,
    "",
    VLOOKUP(
        $A48,
        _xlfn._xlws.FILTER(
            INDIRECT("'"&amp;K$14&amp;"'!A2:E1000"), (INDIRECT("'"&amp;K$14&amp;"'!B2:B1000")=$B48) * (INDIRECT("'"&amp;K$14&amp;"'!C2:C1000")=$C48)
        ),
        5,
        FALSE
    )
)</f>
        <v/>
      </c>
      <c r="L48" s="103">
        <f t="array" ref="L48">IF(
    VLOOKUP(
        $A48,
        _xlfn._xlws.FILTER(
            INDIRECT("'"&amp;L$14&amp;"'!A2:E1000"), (INDIRECT("'"&amp;L$14&amp;"'!B2:B1000")=$B48) * (INDIRECT("'"&amp;L$14&amp;"'!C2:C1000")=$C48)
        ),
        5,
        FALSE
    )=0,
    "",
    VLOOKUP(
        $A48,
        _xlfn._xlws.FILTER(
            INDIRECT("'"&amp;L$14&amp;"'!A2:E1000"), (INDIRECT("'"&amp;L$14&amp;"'!B2:B1000")=$B48) * (INDIRECT("'"&amp;L$14&amp;"'!C2:C1000")=$C48)
        ),
        5,
        FALSE
    )
)</f>
        <v/>
      </c>
      <c r="M48" s="103">
        <f t="array" ref="M48">IF(
    VLOOKUP(
        $A48,
        _xlfn._xlws.FILTER(
            INDIRECT("'"&amp;M$14&amp;"'!A2:E1000"), (INDIRECT("'"&amp;M$14&amp;"'!B2:B1000")=$B48) * (INDIRECT("'"&amp;M$14&amp;"'!C2:C1000")=$C48)
        ),
        5,
        FALSE
    )=0,
    "",
    VLOOKUP(
        $A48,
        _xlfn._xlws.FILTER(
            INDIRECT("'"&amp;M$14&amp;"'!A2:E1000"), (INDIRECT("'"&amp;M$14&amp;"'!B2:B1000")=$B48) * (INDIRECT("'"&amp;M$14&amp;"'!C2:C1000")=$C48)
        ),
        5,
        FALSE
    )
)</f>
        <v/>
      </c>
      <c r="N48" s="103">
        <f t="array" ref="N48">IF(
    VLOOKUP(
        $A48,
        _xlfn._xlws.FILTER(
            INDIRECT("'"&amp;N$14&amp;"'!A2:E1000"), (INDIRECT("'"&amp;N$14&amp;"'!B2:B1000")=$B48) * (INDIRECT("'"&amp;N$14&amp;"'!C2:C1000")=$C48)
        ),
        5,
        FALSE
    )=0,
    "",
    VLOOKUP(
        $A48,
        _xlfn._xlws.FILTER(
            INDIRECT("'"&amp;N$14&amp;"'!A2:E1000"), (INDIRECT("'"&amp;N$14&amp;"'!B2:B1000")=$B48) * (INDIRECT("'"&amp;N$14&amp;"'!C2:C1000")=$C48)
        ),
        5,
        FALSE
    )
)</f>
        <v/>
      </c>
      <c r="O48" s="103">
        <f t="array" ref="O48">IF(
    VLOOKUP(
        $A48,
        _xlfn._xlws.FILTER(
            INDIRECT("'"&amp;O$14&amp;"'!A2:E1000"), (INDIRECT("'"&amp;O$14&amp;"'!B2:B1000")=$B48) * (INDIRECT("'"&amp;O$14&amp;"'!C2:C1000")=$C48)
        ),
        5,
        FALSE
    )=0,
    "",
    VLOOKUP(
        $A48,
        _xlfn._xlws.FILTER(
            INDIRECT("'"&amp;O$14&amp;"'!A2:E1000"), (INDIRECT("'"&amp;O$14&amp;"'!B2:B1000")=$B48) * (INDIRECT("'"&amp;O$14&amp;"'!C2:C1000")=$C48)
        ),
        5,
        FALSE
    )
)</f>
        <v/>
      </c>
      <c r="P48" s="103">
        <f t="array" ref="P48">IF(
    VLOOKUP(
        $A48,
        _xlfn._xlws.FILTER(
            INDIRECT("'"&amp;P$14&amp;"'!A2:E1000"), (INDIRECT("'"&amp;P$14&amp;"'!B2:B1000")=$B48) * (INDIRECT("'"&amp;P$14&amp;"'!C2:C1000")=$C48)
        ),
        5,
        FALSE
    )=0,
    "",
    VLOOKUP(
        $A48,
        _xlfn._xlws.FILTER(
            INDIRECT("'"&amp;P$14&amp;"'!A2:E1000"), (INDIRECT("'"&amp;P$14&amp;"'!B2:B1000")=$B48) * (INDIRECT("'"&amp;P$14&amp;"'!C2:C1000")=$C48)
        ),
        5,
        FALSE
    )
)</f>
        <v/>
      </c>
      <c r="Q48" s="103">
        <f t="array" ref="Q48">IF(
    VLOOKUP(
        $A48,
        _xlfn._xlws.FILTER(
            INDIRECT("'"&amp;Q$14&amp;"'!A2:E1000"), (INDIRECT("'"&amp;Q$14&amp;"'!B2:B1000")=$B48) * (INDIRECT("'"&amp;Q$14&amp;"'!C2:C1000")=$C48)
        ),
        5,
        FALSE
    )=0,
    "",
    VLOOKUP(
        $A48,
        _xlfn._xlws.FILTER(
            INDIRECT("'"&amp;Q$14&amp;"'!A2:E1000"), (INDIRECT("'"&amp;Q$14&amp;"'!B2:B1000")=$B48) * (INDIRECT("'"&amp;Q$14&amp;"'!C2:C1000")=$C48)
        ),
        5,
        FALSE
    )
)</f>
        <v/>
      </c>
    </row>
    <row r="49">
      <c r="A49" s="54" t="inlineStr">
        <is>
          <t>Larissa</t>
        </is>
      </c>
      <c r="B49" s="50" t="inlineStr">
        <is>
          <t>Foz do Iguaçu</t>
        </is>
      </c>
      <c r="C49" s="50" t="n">
        <v>9</v>
      </c>
      <c r="D49" s="103">
        <f t="array" ref="D49">IF(
    VLOOKUP(
        $A49,
        _xlfn._xlws.FILTER(
            INDIRECT("'"&amp;D$14&amp;"'!A2:E1000"), (INDIRECT("'"&amp;D$14&amp;"'!B2:B1000")=$B49) * (INDIRECT("'"&amp;D$14&amp;"'!C2:C1000")=$C49)
        ),
        5,
        FALSE
    )=0,
    "",
    VLOOKUP(
        $A49,
        _xlfn._xlws.FILTER(
            INDIRECT("'"&amp;D$14&amp;"'!A2:E1000"), (INDIRECT("'"&amp;D$14&amp;"'!B2:B1000")=$B49) * (INDIRECT("'"&amp;D$14&amp;"'!C2:C1000")=$C49)
        ),
        5,
        FALSE
    )
)</f>
        <v/>
      </c>
      <c r="E49" s="103">
        <f t="array" ref="E49">IF(
    VLOOKUP(
        $A49,
        _xlfn._xlws.FILTER(
            INDIRECT("'"&amp;E$14&amp;"'!A2:E1000"), (INDIRECT("'"&amp;E$14&amp;"'!B2:B1000")=$B49) * (INDIRECT("'"&amp;E$14&amp;"'!C2:C1000")=$C49)
        ),
        5,
        FALSE
    )=0,
    "",
    VLOOKUP(
        $A49,
        _xlfn._xlws.FILTER(
            INDIRECT("'"&amp;E$14&amp;"'!A2:E1000"), (INDIRECT("'"&amp;E$14&amp;"'!B2:B1000")=$B49) * (INDIRECT("'"&amp;E$14&amp;"'!C2:C1000")=$C49)
        ),
        5,
        FALSE
    )
)</f>
        <v/>
      </c>
      <c r="F49" s="103">
        <f t="array" ref="F49">IF(
    VLOOKUP(
        $A49,
        _xlfn._xlws.FILTER(
            INDIRECT("'"&amp;F$14&amp;"'!A2:E1000"), (INDIRECT("'"&amp;F$14&amp;"'!B2:B1000")=$B49) * (INDIRECT("'"&amp;F$14&amp;"'!C2:C1000")=$C49)
        ),
        5,
        FALSE
    )=0,
    "",
    VLOOKUP(
        $A49,
        _xlfn._xlws.FILTER(
            INDIRECT("'"&amp;F$14&amp;"'!A2:E1000"), (INDIRECT("'"&amp;F$14&amp;"'!B2:B1000")=$B49) * (INDIRECT("'"&amp;F$14&amp;"'!C2:C1000")=$C49)
        ),
        5,
        FALSE
    )
)</f>
        <v/>
      </c>
      <c r="G49" s="103">
        <f t="array" ref="G49">IF(
    VLOOKUP(
        $A49,
        _xlfn._xlws.FILTER(
            INDIRECT("'"&amp;G$14&amp;"'!A2:E1000"), (INDIRECT("'"&amp;G$14&amp;"'!B2:B1000")=$B49) * (INDIRECT("'"&amp;G$14&amp;"'!C2:C1000")=$C49)
        ),
        5,
        FALSE
    )=0,
    "",
    VLOOKUP(
        $A49,
        _xlfn._xlws.FILTER(
            INDIRECT("'"&amp;G$14&amp;"'!A2:E1000"), (INDIRECT("'"&amp;G$14&amp;"'!B2:B1000")=$B49) * (INDIRECT("'"&amp;G$14&amp;"'!C2:C1000")=$C49)
        ),
        5,
        FALSE
    )
)</f>
        <v/>
      </c>
      <c r="H49" s="103">
        <f t="array" ref="H49">IF(
    VLOOKUP(
        $A49,
        _xlfn._xlws.FILTER(
            INDIRECT("'"&amp;H$14&amp;"'!A2:E1000"), (INDIRECT("'"&amp;H$14&amp;"'!B2:B1000")=$B49) * (INDIRECT("'"&amp;H$14&amp;"'!C2:C1000")=$C49)
        ),
        5,
        FALSE
    )=0,
    "",
    VLOOKUP(
        $A49,
        _xlfn._xlws.FILTER(
            INDIRECT("'"&amp;H$14&amp;"'!A2:E1000"), (INDIRECT("'"&amp;H$14&amp;"'!B2:B1000")=$B49) * (INDIRECT("'"&amp;H$14&amp;"'!C2:C1000")=$C49)
        ),
        5,
        FALSE
    )
)</f>
        <v/>
      </c>
      <c r="I49" s="103">
        <f t="array" ref="I49">IF(
    VLOOKUP(
        $A49,
        _xlfn._xlws.FILTER(
            INDIRECT("'"&amp;I$14&amp;"'!A2:E1000"), (INDIRECT("'"&amp;I$14&amp;"'!B2:B1000")=$B49) * (INDIRECT("'"&amp;I$14&amp;"'!C2:C1000")=$C49)
        ),
        5,
        FALSE
    )=0,
    "",
    VLOOKUP(
        $A49,
        _xlfn._xlws.FILTER(
            INDIRECT("'"&amp;I$14&amp;"'!A2:E1000"), (INDIRECT("'"&amp;I$14&amp;"'!B2:B1000")=$B49) * (INDIRECT("'"&amp;I$14&amp;"'!C2:C1000")=$C49)
        ),
        5,
        FALSE
    )
)</f>
        <v/>
      </c>
      <c r="J49" s="103">
        <f t="array" ref="J49">IF(
    VLOOKUP(
        $A49,
        _xlfn._xlws.FILTER(
            INDIRECT("'"&amp;J$14&amp;"'!A2:E1000"), (INDIRECT("'"&amp;J$14&amp;"'!B2:B1000")=$B49) * (INDIRECT("'"&amp;J$14&amp;"'!C2:C1000")=$C49)
        ),
        5,
        FALSE
    )=0,
    "",
    VLOOKUP(
        $A49,
        _xlfn._xlws.FILTER(
            INDIRECT("'"&amp;J$14&amp;"'!A2:E1000"), (INDIRECT("'"&amp;J$14&amp;"'!B2:B1000")=$B49) * (INDIRECT("'"&amp;J$14&amp;"'!C2:C1000")=$C49)
        ),
        5,
        FALSE
    )
)</f>
        <v/>
      </c>
      <c r="K49" s="103">
        <f t="array" ref="K49">IF(
    VLOOKUP(
        $A49,
        _xlfn._xlws.FILTER(
            INDIRECT("'"&amp;K$14&amp;"'!A2:E1000"), (INDIRECT("'"&amp;K$14&amp;"'!B2:B1000")=$B49) * (INDIRECT("'"&amp;K$14&amp;"'!C2:C1000")=$C49)
        ),
        5,
        FALSE
    )=0,
    "",
    VLOOKUP(
        $A49,
        _xlfn._xlws.FILTER(
            INDIRECT("'"&amp;K$14&amp;"'!A2:E1000"), (INDIRECT("'"&amp;K$14&amp;"'!B2:B1000")=$B49) * (INDIRECT("'"&amp;K$14&amp;"'!C2:C1000")=$C49)
        ),
        5,
        FALSE
    )
)</f>
        <v/>
      </c>
      <c r="L49" s="103">
        <f t="array" ref="L49">IF(
    VLOOKUP(
        $A49,
        _xlfn._xlws.FILTER(
            INDIRECT("'"&amp;L$14&amp;"'!A2:E1000"), (INDIRECT("'"&amp;L$14&amp;"'!B2:B1000")=$B49) * (INDIRECT("'"&amp;L$14&amp;"'!C2:C1000")=$C49)
        ),
        5,
        FALSE
    )=0,
    "",
    VLOOKUP(
        $A49,
        _xlfn._xlws.FILTER(
            INDIRECT("'"&amp;L$14&amp;"'!A2:E1000"), (INDIRECT("'"&amp;L$14&amp;"'!B2:B1000")=$B49) * (INDIRECT("'"&amp;L$14&amp;"'!C2:C1000")=$C49)
        ),
        5,
        FALSE
    )
)</f>
        <v/>
      </c>
      <c r="M49" s="103">
        <f t="array" ref="M49">IF(
    VLOOKUP(
        $A49,
        _xlfn._xlws.FILTER(
            INDIRECT("'"&amp;M$14&amp;"'!A2:E1000"), (INDIRECT("'"&amp;M$14&amp;"'!B2:B1000")=$B49) * (INDIRECT("'"&amp;M$14&amp;"'!C2:C1000")=$C49)
        ),
        5,
        FALSE
    )=0,
    "",
    VLOOKUP(
        $A49,
        _xlfn._xlws.FILTER(
            INDIRECT("'"&amp;M$14&amp;"'!A2:E1000"), (INDIRECT("'"&amp;M$14&amp;"'!B2:B1000")=$B49) * (INDIRECT("'"&amp;M$14&amp;"'!C2:C1000")=$C49)
        ),
        5,
        FALSE
    )
)</f>
        <v/>
      </c>
      <c r="N49" s="103">
        <f t="array" ref="N49">IF(
    VLOOKUP(
        $A49,
        _xlfn._xlws.FILTER(
            INDIRECT("'"&amp;N$14&amp;"'!A2:E1000"), (INDIRECT("'"&amp;N$14&amp;"'!B2:B1000")=$B49) * (INDIRECT("'"&amp;N$14&amp;"'!C2:C1000")=$C49)
        ),
        5,
        FALSE
    )=0,
    "",
    VLOOKUP(
        $A49,
        _xlfn._xlws.FILTER(
            INDIRECT("'"&amp;N$14&amp;"'!A2:E1000"), (INDIRECT("'"&amp;N$14&amp;"'!B2:B1000")=$B49) * (INDIRECT("'"&amp;N$14&amp;"'!C2:C1000")=$C49)
        ),
        5,
        FALSE
    )
)</f>
        <v/>
      </c>
      <c r="O49" s="103">
        <f t="array" ref="O49">IF(
    VLOOKUP(
        $A49,
        _xlfn._xlws.FILTER(
            INDIRECT("'"&amp;O$14&amp;"'!A2:E1000"), (INDIRECT("'"&amp;O$14&amp;"'!B2:B1000")=$B49) * (INDIRECT("'"&amp;O$14&amp;"'!C2:C1000")=$C49)
        ),
        5,
        FALSE
    )=0,
    "",
    VLOOKUP(
        $A49,
        _xlfn._xlws.FILTER(
            INDIRECT("'"&amp;O$14&amp;"'!A2:E1000"), (INDIRECT("'"&amp;O$14&amp;"'!B2:B1000")=$B49) * (INDIRECT("'"&amp;O$14&amp;"'!C2:C1000")=$C49)
        ),
        5,
        FALSE
    )
)</f>
        <v/>
      </c>
      <c r="P49" s="103">
        <f t="array" ref="P49">IF(
    VLOOKUP(
        $A49,
        _xlfn._xlws.FILTER(
            INDIRECT("'"&amp;P$14&amp;"'!A2:E1000"), (INDIRECT("'"&amp;P$14&amp;"'!B2:B1000")=$B49) * (INDIRECT("'"&amp;P$14&amp;"'!C2:C1000")=$C49)
        ),
        5,
        FALSE
    )=0,
    "",
    VLOOKUP(
        $A49,
        _xlfn._xlws.FILTER(
            INDIRECT("'"&amp;P$14&amp;"'!A2:E1000"), (INDIRECT("'"&amp;P$14&amp;"'!B2:B1000")=$B49) * (INDIRECT("'"&amp;P$14&amp;"'!C2:C1000")=$C49)
        ),
        5,
        FALSE
    )
)</f>
        <v/>
      </c>
      <c r="Q49" s="103">
        <f t="array" ref="Q49">IF(
    VLOOKUP(
        $A49,
        _xlfn._xlws.FILTER(
            INDIRECT("'"&amp;Q$14&amp;"'!A2:E1000"), (INDIRECT("'"&amp;Q$14&amp;"'!B2:B1000")=$B49) * (INDIRECT("'"&amp;Q$14&amp;"'!C2:C1000")=$C49)
        ),
        5,
        FALSE
    )=0,
    "",
    VLOOKUP(
        $A49,
        _xlfn._xlws.FILTER(
            INDIRECT("'"&amp;Q$14&amp;"'!A2:E1000"), (INDIRECT("'"&amp;Q$14&amp;"'!B2:B1000")=$B49) * (INDIRECT("'"&amp;Q$14&amp;"'!C2:C1000")=$C49)
        ),
        5,
        FALSE
    )
)</f>
        <v/>
      </c>
    </row>
    <row r="50">
      <c r="A50" s="54" t="inlineStr">
        <is>
          <t>Larissa</t>
        </is>
      </c>
      <c r="B50" s="50" t="inlineStr">
        <is>
          <t>Medianeira</t>
        </is>
      </c>
      <c r="C50" s="50" t="n">
        <v>1</v>
      </c>
      <c r="D50" s="103">
        <f t="array" ref="D50">IF(
    VLOOKUP(
        $A50,
        _xlfn._xlws.FILTER(
            INDIRECT("'"&amp;D$14&amp;"'!A2:E1000"), (INDIRECT("'"&amp;D$14&amp;"'!B2:B1000")=$B50) * (INDIRECT("'"&amp;D$14&amp;"'!C2:C1000")=$C50)
        ),
        5,
        FALSE
    )=0,
    "",
    VLOOKUP(
        $A50,
        _xlfn._xlws.FILTER(
            INDIRECT("'"&amp;D$14&amp;"'!A2:E1000"), (INDIRECT("'"&amp;D$14&amp;"'!B2:B1000")=$B50) * (INDIRECT("'"&amp;D$14&amp;"'!C2:C1000")=$C50)
        ),
        5,
        FALSE
    )
)</f>
        <v/>
      </c>
      <c r="E50" s="103">
        <f t="array" ref="E50">IF(
    VLOOKUP(
        $A50,
        _xlfn._xlws.FILTER(
            INDIRECT("'"&amp;E$14&amp;"'!A2:E1000"), (INDIRECT("'"&amp;E$14&amp;"'!B2:B1000")=$B50) * (INDIRECT("'"&amp;E$14&amp;"'!C2:C1000")=$C50)
        ),
        5,
        FALSE
    )=0,
    "",
    VLOOKUP(
        $A50,
        _xlfn._xlws.FILTER(
            INDIRECT("'"&amp;E$14&amp;"'!A2:E1000"), (INDIRECT("'"&amp;E$14&amp;"'!B2:B1000")=$B50) * (INDIRECT("'"&amp;E$14&amp;"'!C2:C1000")=$C50)
        ),
        5,
        FALSE
    )
)</f>
        <v/>
      </c>
      <c r="F50" s="103">
        <f t="array" ref="F50">IF(
    VLOOKUP(
        $A50,
        _xlfn._xlws.FILTER(
            INDIRECT("'"&amp;F$14&amp;"'!A2:E1000"), (INDIRECT("'"&amp;F$14&amp;"'!B2:B1000")=$B50) * (INDIRECT("'"&amp;F$14&amp;"'!C2:C1000")=$C50)
        ),
        5,
        FALSE
    )=0,
    "",
    VLOOKUP(
        $A50,
        _xlfn._xlws.FILTER(
            INDIRECT("'"&amp;F$14&amp;"'!A2:E1000"), (INDIRECT("'"&amp;F$14&amp;"'!B2:B1000")=$B50) * (INDIRECT("'"&amp;F$14&amp;"'!C2:C1000")=$C50)
        ),
        5,
        FALSE
    )
)</f>
        <v/>
      </c>
      <c r="G50" s="103">
        <f t="array" ref="G50">IF(
    VLOOKUP(
        $A50,
        _xlfn._xlws.FILTER(
            INDIRECT("'"&amp;G$14&amp;"'!A2:E1000"), (INDIRECT("'"&amp;G$14&amp;"'!B2:B1000")=$B50) * (INDIRECT("'"&amp;G$14&amp;"'!C2:C1000")=$C50)
        ),
        5,
        FALSE
    )=0,
    "",
    VLOOKUP(
        $A50,
        _xlfn._xlws.FILTER(
            INDIRECT("'"&amp;G$14&amp;"'!A2:E1000"), (INDIRECT("'"&amp;G$14&amp;"'!B2:B1000")=$B50) * (INDIRECT("'"&amp;G$14&amp;"'!C2:C1000")=$C50)
        ),
        5,
        FALSE
    )
)</f>
        <v/>
      </c>
      <c r="H50" s="103">
        <f t="array" ref="H50">IF(
    VLOOKUP(
        $A50,
        _xlfn._xlws.FILTER(
            INDIRECT("'"&amp;H$14&amp;"'!A2:E1000"), (INDIRECT("'"&amp;H$14&amp;"'!B2:B1000")=$B50) * (INDIRECT("'"&amp;H$14&amp;"'!C2:C1000")=$C50)
        ),
        5,
        FALSE
    )=0,
    "",
    VLOOKUP(
        $A50,
        _xlfn._xlws.FILTER(
            INDIRECT("'"&amp;H$14&amp;"'!A2:E1000"), (INDIRECT("'"&amp;H$14&amp;"'!B2:B1000")=$B50) * (INDIRECT("'"&amp;H$14&amp;"'!C2:C1000")=$C50)
        ),
        5,
        FALSE
    )
)</f>
        <v/>
      </c>
      <c r="I50" s="103">
        <f t="array" ref="I50">IF(
    VLOOKUP(
        $A50,
        _xlfn._xlws.FILTER(
            INDIRECT("'"&amp;I$14&amp;"'!A2:E1000"), (INDIRECT("'"&amp;I$14&amp;"'!B2:B1000")=$B50) * (INDIRECT("'"&amp;I$14&amp;"'!C2:C1000")=$C50)
        ),
        5,
        FALSE
    )=0,
    "",
    VLOOKUP(
        $A50,
        _xlfn._xlws.FILTER(
            INDIRECT("'"&amp;I$14&amp;"'!A2:E1000"), (INDIRECT("'"&amp;I$14&amp;"'!B2:B1000")=$B50) * (INDIRECT("'"&amp;I$14&amp;"'!C2:C1000")=$C50)
        ),
        5,
        FALSE
    )
)</f>
        <v/>
      </c>
      <c r="J50" s="103">
        <f t="array" ref="J50">IF(
    VLOOKUP(
        $A50,
        _xlfn._xlws.FILTER(
            INDIRECT("'"&amp;J$14&amp;"'!A2:E1000"), (INDIRECT("'"&amp;J$14&amp;"'!B2:B1000")=$B50) * (INDIRECT("'"&amp;J$14&amp;"'!C2:C1000")=$C50)
        ),
        5,
        FALSE
    )=0,
    "",
    VLOOKUP(
        $A50,
        _xlfn._xlws.FILTER(
            INDIRECT("'"&amp;J$14&amp;"'!A2:E1000"), (INDIRECT("'"&amp;J$14&amp;"'!B2:B1000")=$B50) * (INDIRECT("'"&amp;J$14&amp;"'!C2:C1000")=$C50)
        ),
        5,
        FALSE
    )
)</f>
        <v/>
      </c>
      <c r="K50" s="103">
        <f t="array" ref="K50">IF(
    VLOOKUP(
        $A50,
        _xlfn._xlws.FILTER(
            INDIRECT("'"&amp;K$14&amp;"'!A2:E1000"), (INDIRECT("'"&amp;K$14&amp;"'!B2:B1000")=$B50) * (INDIRECT("'"&amp;K$14&amp;"'!C2:C1000")=$C50)
        ),
        5,
        FALSE
    )=0,
    "",
    VLOOKUP(
        $A50,
        _xlfn._xlws.FILTER(
            INDIRECT("'"&amp;K$14&amp;"'!A2:E1000"), (INDIRECT("'"&amp;K$14&amp;"'!B2:B1000")=$B50) * (INDIRECT("'"&amp;K$14&amp;"'!C2:C1000")=$C50)
        ),
        5,
        FALSE
    )
)</f>
        <v/>
      </c>
      <c r="L50" s="103">
        <f t="array" ref="L50">IF(
    VLOOKUP(
        $A50,
        _xlfn._xlws.FILTER(
            INDIRECT("'"&amp;L$14&amp;"'!A2:E1000"), (INDIRECT("'"&amp;L$14&amp;"'!B2:B1000")=$B50) * (INDIRECT("'"&amp;L$14&amp;"'!C2:C1000")=$C50)
        ),
        5,
        FALSE
    )=0,
    "",
    VLOOKUP(
        $A50,
        _xlfn._xlws.FILTER(
            INDIRECT("'"&amp;L$14&amp;"'!A2:E1000"), (INDIRECT("'"&amp;L$14&amp;"'!B2:B1000")=$B50) * (INDIRECT("'"&amp;L$14&amp;"'!C2:C1000")=$C50)
        ),
        5,
        FALSE
    )
)</f>
        <v/>
      </c>
      <c r="M50" s="103">
        <f t="array" ref="M50">IF(
    VLOOKUP(
        $A50,
        _xlfn._xlws.FILTER(
            INDIRECT("'"&amp;M$14&amp;"'!A2:E1000"), (INDIRECT("'"&amp;M$14&amp;"'!B2:B1000")=$B50) * (INDIRECT("'"&amp;M$14&amp;"'!C2:C1000")=$C50)
        ),
        5,
        FALSE
    )=0,
    "",
    VLOOKUP(
        $A50,
        _xlfn._xlws.FILTER(
            INDIRECT("'"&amp;M$14&amp;"'!A2:E1000"), (INDIRECT("'"&amp;M$14&amp;"'!B2:B1000")=$B50) * (INDIRECT("'"&amp;M$14&amp;"'!C2:C1000")=$C50)
        ),
        5,
        FALSE
    )
)</f>
        <v/>
      </c>
      <c r="N50" s="103">
        <f t="array" ref="N50">IF(
    VLOOKUP(
        $A50,
        _xlfn._xlws.FILTER(
            INDIRECT("'"&amp;N$14&amp;"'!A2:E1000"), (INDIRECT("'"&amp;N$14&amp;"'!B2:B1000")=$B50) * (INDIRECT("'"&amp;N$14&amp;"'!C2:C1000")=$C50)
        ),
        5,
        FALSE
    )=0,
    "",
    VLOOKUP(
        $A50,
        _xlfn._xlws.FILTER(
            INDIRECT("'"&amp;N$14&amp;"'!A2:E1000"), (INDIRECT("'"&amp;N$14&amp;"'!B2:B1000")=$B50) * (INDIRECT("'"&amp;N$14&amp;"'!C2:C1000")=$C50)
        ),
        5,
        FALSE
    )
)</f>
        <v/>
      </c>
      <c r="O50" s="103">
        <f t="array" ref="O50">IF(
    VLOOKUP(
        $A50,
        _xlfn._xlws.FILTER(
            INDIRECT("'"&amp;O$14&amp;"'!A2:E1000"), (INDIRECT("'"&amp;O$14&amp;"'!B2:B1000")=$B50) * (INDIRECT("'"&amp;O$14&amp;"'!C2:C1000")=$C50)
        ),
        5,
        FALSE
    )=0,
    "",
    VLOOKUP(
        $A50,
        _xlfn._xlws.FILTER(
            INDIRECT("'"&amp;O$14&amp;"'!A2:E1000"), (INDIRECT("'"&amp;O$14&amp;"'!B2:B1000")=$B50) * (INDIRECT("'"&amp;O$14&amp;"'!C2:C1000")=$C50)
        ),
        5,
        FALSE
    )
)</f>
        <v/>
      </c>
      <c r="P50" s="103">
        <f t="array" ref="P50">IF(
    VLOOKUP(
        $A50,
        _xlfn._xlws.FILTER(
            INDIRECT("'"&amp;P$14&amp;"'!A2:E1000"), (INDIRECT("'"&amp;P$14&amp;"'!B2:B1000")=$B50) * (INDIRECT("'"&amp;P$14&amp;"'!C2:C1000")=$C50)
        ),
        5,
        FALSE
    )=0,
    "",
    VLOOKUP(
        $A50,
        _xlfn._xlws.FILTER(
            INDIRECT("'"&amp;P$14&amp;"'!A2:E1000"), (INDIRECT("'"&amp;P$14&amp;"'!B2:B1000")=$B50) * (INDIRECT("'"&amp;P$14&amp;"'!C2:C1000")=$C50)
        ),
        5,
        FALSE
    )
)</f>
        <v/>
      </c>
      <c r="Q50" s="103">
        <f t="array" ref="Q50">IF(
    VLOOKUP(
        $A50,
        _xlfn._xlws.FILTER(
            INDIRECT("'"&amp;Q$14&amp;"'!A2:E1000"), (INDIRECT("'"&amp;Q$14&amp;"'!B2:B1000")=$B50) * (INDIRECT("'"&amp;Q$14&amp;"'!C2:C1000")=$C50)
        ),
        5,
        FALSE
    )=0,
    "",
    VLOOKUP(
        $A50,
        _xlfn._xlws.FILTER(
            INDIRECT("'"&amp;Q$14&amp;"'!A2:E1000"), (INDIRECT("'"&amp;Q$14&amp;"'!B2:B1000")=$B50) * (INDIRECT("'"&amp;Q$14&amp;"'!C2:C1000")=$C50)
        ),
        5,
        FALSE
    )
)</f>
        <v/>
      </c>
    </row>
    <row r="51">
      <c r="A51" s="54" t="inlineStr">
        <is>
          <t>Larissa</t>
        </is>
      </c>
      <c r="B51" s="50" t="inlineStr">
        <is>
          <t>Santa Terezinha de Itaipu</t>
        </is>
      </c>
      <c r="C51" s="50" t="n">
        <v>1</v>
      </c>
      <c r="D51" s="103">
        <f t="array" ref="D51">IF(
    VLOOKUP(
        $A51,
        _xlfn._xlws.FILTER(
            INDIRECT("'"&amp;D$14&amp;"'!A2:E1000"), (INDIRECT("'"&amp;D$14&amp;"'!B2:B1000")=$B51) * (INDIRECT("'"&amp;D$14&amp;"'!C2:C1000")=$C51)
        ),
        5,
        FALSE
    )=0,
    "",
    VLOOKUP(
        $A51,
        _xlfn._xlws.FILTER(
            INDIRECT("'"&amp;D$14&amp;"'!A2:E1000"), (INDIRECT("'"&amp;D$14&amp;"'!B2:B1000")=$B51) * (INDIRECT("'"&amp;D$14&amp;"'!C2:C1000")=$C51)
        ),
        5,
        FALSE
    )
)</f>
        <v/>
      </c>
      <c r="E51" s="103">
        <f t="array" ref="E51">IF(
    VLOOKUP(
        $A51,
        _xlfn._xlws.FILTER(
            INDIRECT("'"&amp;E$14&amp;"'!A2:E1000"), (INDIRECT("'"&amp;E$14&amp;"'!B2:B1000")=$B51) * (INDIRECT("'"&amp;E$14&amp;"'!C2:C1000")=$C51)
        ),
        5,
        FALSE
    )=0,
    "",
    VLOOKUP(
        $A51,
        _xlfn._xlws.FILTER(
            INDIRECT("'"&amp;E$14&amp;"'!A2:E1000"), (INDIRECT("'"&amp;E$14&amp;"'!B2:B1000")=$B51) * (INDIRECT("'"&amp;E$14&amp;"'!C2:C1000")=$C51)
        ),
        5,
        FALSE
    )
)</f>
        <v/>
      </c>
      <c r="F51" s="103">
        <f t="array" ref="F51">IF(
    VLOOKUP(
        $A51,
        _xlfn._xlws.FILTER(
            INDIRECT("'"&amp;F$14&amp;"'!A2:E1000"), (INDIRECT("'"&amp;F$14&amp;"'!B2:B1000")=$B51) * (INDIRECT("'"&amp;F$14&amp;"'!C2:C1000")=$C51)
        ),
        5,
        FALSE
    )=0,
    "",
    VLOOKUP(
        $A51,
        _xlfn._xlws.FILTER(
            INDIRECT("'"&amp;F$14&amp;"'!A2:E1000"), (INDIRECT("'"&amp;F$14&amp;"'!B2:B1000")=$B51) * (INDIRECT("'"&amp;F$14&amp;"'!C2:C1000")=$C51)
        ),
        5,
        FALSE
    )
)</f>
        <v/>
      </c>
      <c r="G51" s="103">
        <f t="array" ref="G51">IF(
    VLOOKUP(
        $A51,
        _xlfn._xlws.FILTER(
            INDIRECT("'"&amp;G$14&amp;"'!A2:E1000"), (INDIRECT("'"&amp;G$14&amp;"'!B2:B1000")=$B51) * (INDIRECT("'"&amp;G$14&amp;"'!C2:C1000")=$C51)
        ),
        5,
        FALSE
    )=0,
    "",
    VLOOKUP(
        $A51,
        _xlfn._xlws.FILTER(
            INDIRECT("'"&amp;G$14&amp;"'!A2:E1000"), (INDIRECT("'"&amp;G$14&amp;"'!B2:B1000")=$B51) * (INDIRECT("'"&amp;G$14&amp;"'!C2:C1000")=$C51)
        ),
        5,
        FALSE
    )
)</f>
        <v/>
      </c>
      <c r="H51" s="103">
        <f t="array" ref="H51">IF(
    VLOOKUP(
        $A51,
        _xlfn._xlws.FILTER(
            INDIRECT("'"&amp;H$14&amp;"'!A2:E1000"), (INDIRECT("'"&amp;H$14&amp;"'!B2:B1000")=$B51) * (INDIRECT("'"&amp;H$14&amp;"'!C2:C1000")=$C51)
        ),
        5,
        FALSE
    )=0,
    "",
    VLOOKUP(
        $A51,
        _xlfn._xlws.FILTER(
            INDIRECT("'"&amp;H$14&amp;"'!A2:E1000"), (INDIRECT("'"&amp;H$14&amp;"'!B2:B1000")=$B51) * (INDIRECT("'"&amp;H$14&amp;"'!C2:C1000")=$C51)
        ),
        5,
        FALSE
    )
)</f>
        <v/>
      </c>
      <c r="I51" s="103">
        <f t="array" ref="I51">IF(
    VLOOKUP(
        $A51,
        _xlfn._xlws.FILTER(
            INDIRECT("'"&amp;I$14&amp;"'!A2:E1000"), (INDIRECT("'"&amp;I$14&amp;"'!B2:B1000")=$B51) * (INDIRECT("'"&amp;I$14&amp;"'!C2:C1000")=$C51)
        ),
        5,
        FALSE
    )=0,
    "",
    VLOOKUP(
        $A51,
        _xlfn._xlws.FILTER(
            INDIRECT("'"&amp;I$14&amp;"'!A2:E1000"), (INDIRECT("'"&amp;I$14&amp;"'!B2:B1000")=$B51) * (INDIRECT("'"&amp;I$14&amp;"'!C2:C1000")=$C51)
        ),
        5,
        FALSE
    )
)</f>
        <v/>
      </c>
      <c r="J51" s="103">
        <f t="array" ref="J51">IF(
    VLOOKUP(
        $A51,
        _xlfn._xlws.FILTER(
            INDIRECT("'"&amp;J$14&amp;"'!A2:E1000"), (INDIRECT("'"&amp;J$14&amp;"'!B2:B1000")=$B51) * (INDIRECT("'"&amp;J$14&amp;"'!C2:C1000")=$C51)
        ),
        5,
        FALSE
    )=0,
    "",
    VLOOKUP(
        $A51,
        _xlfn._xlws.FILTER(
            INDIRECT("'"&amp;J$14&amp;"'!A2:E1000"), (INDIRECT("'"&amp;J$14&amp;"'!B2:B1000")=$B51) * (INDIRECT("'"&amp;J$14&amp;"'!C2:C1000")=$C51)
        ),
        5,
        FALSE
    )
)</f>
        <v/>
      </c>
      <c r="K51" s="103">
        <f t="array" ref="K51">IF(
    VLOOKUP(
        $A51,
        _xlfn._xlws.FILTER(
            INDIRECT("'"&amp;K$14&amp;"'!A2:E1000"), (INDIRECT("'"&amp;K$14&amp;"'!B2:B1000")=$B51) * (INDIRECT("'"&amp;K$14&amp;"'!C2:C1000")=$C51)
        ),
        5,
        FALSE
    )=0,
    "",
    VLOOKUP(
        $A51,
        _xlfn._xlws.FILTER(
            INDIRECT("'"&amp;K$14&amp;"'!A2:E1000"), (INDIRECT("'"&amp;K$14&amp;"'!B2:B1000")=$B51) * (INDIRECT("'"&amp;K$14&amp;"'!C2:C1000")=$C51)
        ),
        5,
        FALSE
    )
)</f>
        <v/>
      </c>
      <c r="L51" s="103">
        <f t="array" ref="L51">IF(
    VLOOKUP(
        $A51,
        _xlfn._xlws.FILTER(
            INDIRECT("'"&amp;L$14&amp;"'!A2:E1000"), (INDIRECT("'"&amp;L$14&amp;"'!B2:B1000")=$B51) * (INDIRECT("'"&amp;L$14&amp;"'!C2:C1000")=$C51)
        ),
        5,
        FALSE
    )=0,
    "",
    VLOOKUP(
        $A51,
        _xlfn._xlws.FILTER(
            INDIRECT("'"&amp;L$14&amp;"'!A2:E1000"), (INDIRECT("'"&amp;L$14&amp;"'!B2:B1000")=$B51) * (INDIRECT("'"&amp;L$14&amp;"'!C2:C1000")=$C51)
        ),
        5,
        FALSE
    )
)</f>
        <v/>
      </c>
      <c r="M51" s="103">
        <f t="array" ref="M51">IF(
    VLOOKUP(
        $A51,
        _xlfn._xlws.FILTER(
            INDIRECT("'"&amp;M$14&amp;"'!A2:E1000"), (INDIRECT("'"&amp;M$14&amp;"'!B2:B1000")=$B51) * (INDIRECT("'"&amp;M$14&amp;"'!C2:C1000")=$C51)
        ),
        5,
        FALSE
    )=0,
    "",
    VLOOKUP(
        $A51,
        _xlfn._xlws.FILTER(
            INDIRECT("'"&amp;M$14&amp;"'!A2:E1000"), (INDIRECT("'"&amp;M$14&amp;"'!B2:B1000")=$B51) * (INDIRECT("'"&amp;M$14&amp;"'!C2:C1000")=$C51)
        ),
        5,
        FALSE
    )
)</f>
        <v/>
      </c>
      <c r="N51" s="103">
        <f t="array" ref="N51">IF(
    VLOOKUP(
        $A51,
        _xlfn._xlws.FILTER(
            INDIRECT("'"&amp;N$14&amp;"'!A2:E1000"), (INDIRECT("'"&amp;N$14&amp;"'!B2:B1000")=$B51) * (INDIRECT("'"&amp;N$14&amp;"'!C2:C1000")=$C51)
        ),
        5,
        FALSE
    )=0,
    "",
    VLOOKUP(
        $A51,
        _xlfn._xlws.FILTER(
            INDIRECT("'"&amp;N$14&amp;"'!A2:E1000"), (INDIRECT("'"&amp;N$14&amp;"'!B2:B1000")=$B51) * (INDIRECT("'"&amp;N$14&amp;"'!C2:C1000")=$C51)
        ),
        5,
        FALSE
    )
)</f>
        <v/>
      </c>
      <c r="O51" s="103">
        <f t="array" ref="O51">IF(
    VLOOKUP(
        $A51,
        _xlfn._xlws.FILTER(
            INDIRECT("'"&amp;O$14&amp;"'!A2:E1000"), (INDIRECT("'"&amp;O$14&amp;"'!B2:B1000")=$B51) * (INDIRECT("'"&amp;O$14&amp;"'!C2:C1000")=$C51)
        ),
        5,
        FALSE
    )=0,
    "",
    VLOOKUP(
        $A51,
        _xlfn._xlws.FILTER(
            INDIRECT("'"&amp;O$14&amp;"'!A2:E1000"), (INDIRECT("'"&amp;O$14&amp;"'!B2:B1000")=$B51) * (INDIRECT("'"&amp;O$14&amp;"'!C2:C1000")=$C51)
        ),
        5,
        FALSE
    )
)</f>
        <v/>
      </c>
      <c r="P51" s="103">
        <f t="array" ref="P51">IF(
    VLOOKUP(
        $A51,
        _xlfn._xlws.FILTER(
            INDIRECT("'"&amp;P$14&amp;"'!A2:E1000"), (INDIRECT("'"&amp;P$14&amp;"'!B2:B1000")=$B51) * (INDIRECT("'"&amp;P$14&amp;"'!C2:C1000")=$C51)
        ),
        5,
        FALSE
    )=0,
    "",
    VLOOKUP(
        $A51,
        _xlfn._xlws.FILTER(
            INDIRECT("'"&amp;P$14&amp;"'!A2:E1000"), (INDIRECT("'"&amp;P$14&amp;"'!B2:B1000")=$B51) * (INDIRECT("'"&amp;P$14&amp;"'!C2:C1000")=$C51)
        ),
        5,
        FALSE
    )
)</f>
        <v/>
      </c>
      <c r="Q51" s="103">
        <f t="array" ref="Q51">IF(
    VLOOKUP(
        $A51,
        _xlfn._xlws.FILTER(
            INDIRECT("'"&amp;Q$14&amp;"'!A2:E1000"), (INDIRECT("'"&amp;Q$14&amp;"'!B2:B1000")=$B51) * (INDIRECT("'"&amp;Q$14&amp;"'!C2:C1000")=$C51)
        ),
        5,
        FALSE
    )=0,
    "",
    VLOOKUP(
        $A51,
        _xlfn._xlws.FILTER(
            INDIRECT("'"&amp;Q$14&amp;"'!A2:E1000"), (INDIRECT("'"&amp;Q$14&amp;"'!B2:B1000")=$B51) * (INDIRECT("'"&amp;Q$14&amp;"'!C2:C1000")=$C51)
        ),
        5,
        FALSE
    )
)</f>
        <v/>
      </c>
    </row>
    <row r="52">
      <c r="A52" s="54" t="inlineStr">
        <is>
          <t>Larissa</t>
        </is>
      </c>
      <c r="B52" s="50" t="inlineStr">
        <is>
          <t>São Miguel do Iguaçu</t>
        </is>
      </c>
      <c r="C52" s="50" t="n">
        <v>1</v>
      </c>
      <c r="D52" s="103">
        <f t="array" ref="D52">IF(
    VLOOKUP(
        $A52,
        _xlfn._xlws.FILTER(
            INDIRECT("'"&amp;D$14&amp;"'!A2:E1000"), (INDIRECT("'"&amp;D$14&amp;"'!B2:B1000")=$B52) * (INDIRECT("'"&amp;D$14&amp;"'!C2:C1000")=$C52)
        ),
        5,
        FALSE
    )=0,
    "",
    VLOOKUP(
        $A52,
        _xlfn._xlws.FILTER(
            INDIRECT("'"&amp;D$14&amp;"'!A2:E1000"), (INDIRECT("'"&amp;D$14&amp;"'!B2:B1000")=$B52) * (INDIRECT("'"&amp;D$14&amp;"'!C2:C1000")=$C52)
        ),
        5,
        FALSE
    )
)</f>
        <v/>
      </c>
      <c r="E52" s="103">
        <f t="array" ref="E52">IF(
    VLOOKUP(
        $A52,
        _xlfn._xlws.FILTER(
            INDIRECT("'"&amp;E$14&amp;"'!A2:E1000"), (INDIRECT("'"&amp;E$14&amp;"'!B2:B1000")=$B52) * (INDIRECT("'"&amp;E$14&amp;"'!C2:C1000")=$C52)
        ),
        5,
        FALSE
    )=0,
    "",
    VLOOKUP(
        $A52,
        _xlfn._xlws.FILTER(
            INDIRECT("'"&amp;E$14&amp;"'!A2:E1000"), (INDIRECT("'"&amp;E$14&amp;"'!B2:B1000")=$B52) * (INDIRECT("'"&amp;E$14&amp;"'!C2:C1000")=$C52)
        ),
        5,
        FALSE
    )
)</f>
        <v/>
      </c>
      <c r="F52" s="103">
        <f t="array" ref="F52">IF(
    VLOOKUP(
        $A52,
        _xlfn._xlws.FILTER(
            INDIRECT("'"&amp;F$14&amp;"'!A2:E1000"), (INDIRECT("'"&amp;F$14&amp;"'!B2:B1000")=$B52) * (INDIRECT("'"&amp;F$14&amp;"'!C2:C1000")=$C52)
        ),
        5,
        FALSE
    )=0,
    "",
    VLOOKUP(
        $A52,
        _xlfn._xlws.FILTER(
            INDIRECT("'"&amp;F$14&amp;"'!A2:E1000"), (INDIRECT("'"&amp;F$14&amp;"'!B2:B1000")=$B52) * (INDIRECT("'"&amp;F$14&amp;"'!C2:C1000")=$C52)
        ),
        5,
        FALSE
    )
)</f>
        <v/>
      </c>
      <c r="G52" s="103">
        <f t="array" ref="G52">IF(
    VLOOKUP(
        $A52,
        _xlfn._xlws.FILTER(
            INDIRECT("'"&amp;G$14&amp;"'!A2:E1000"), (INDIRECT("'"&amp;G$14&amp;"'!B2:B1000")=$B52) * (INDIRECT("'"&amp;G$14&amp;"'!C2:C1000")=$C52)
        ),
        5,
        FALSE
    )=0,
    "",
    VLOOKUP(
        $A52,
        _xlfn._xlws.FILTER(
            INDIRECT("'"&amp;G$14&amp;"'!A2:E1000"), (INDIRECT("'"&amp;G$14&amp;"'!B2:B1000")=$B52) * (INDIRECT("'"&amp;G$14&amp;"'!C2:C1000")=$C52)
        ),
        5,
        FALSE
    )
)</f>
        <v/>
      </c>
      <c r="H52" s="103">
        <f t="array" ref="H52">IF(
    VLOOKUP(
        $A52,
        _xlfn._xlws.FILTER(
            INDIRECT("'"&amp;H$14&amp;"'!A2:E1000"), (INDIRECT("'"&amp;H$14&amp;"'!B2:B1000")=$B52) * (INDIRECT("'"&amp;H$14&amp;"'!C2:C1000")=$C52)
        ),
        5,
        FALSE
    )=0,
    "",
    VLOOKUP(
        $A52,
        _xlfn._xlws.FILTER(
            INDIRECT("'"&amp;H$14&amp;"'!A2:E1000"), (INDIRECT("'"&amp;H$14&amp;"'!B2:B1000")=$B52) * (INDIRECT("'"&amp;H$14&amp;"'!C2:C1000")=$C52)
        ),
        5,
        FALSE
    )
)</f>
        <v/>
      </c>
      <c r="I52" s="103">
        <f t="array" ref="I52">IF(
    VLOOKUP(
        $A52,
        _xlfn._xlws.FILTER(
            INDIRECT("'"&amp;I$14&amp;"'!A2:E1000"), (INDIRECT("'"&amp;I$14&amp;"'!B2:B1000")=$B52) * (INDIRECT("'"&amp;I$14&amp;"'!C2:C1000")=$C52)
        ),
        5,
        FALSE
    )=0,
    "",
    VLOOKUP(
        $A52,
        _xlfn._xlws.FILTER(
            INDIRECT("'"&amp;I$14&amp;"'!A2:E1000"), (INDIRECT("'"&amp;I$14&amp;"'!B2:B1000")=$B52) * (INDIRECT("'"&amp;I$14&amp;"'!C2:C1000")=$C52)
        ),
        5,
        FALSE
    )
)</f>
        <v/>
      </c>
      <c r="J52" s="103">
        <f t="array" ref="J52">IF(
    VLOOKUP(
        $A52,
        _xlfn._xlws.FILTER(
            INDIRECT("'"&amp;J$14&amp;"'!A2:E1000"), (INDIRECT("'"&amp;J$14&amp;"'!B2:B1000")=$B52) * (INDIRECT("'"&amp;J$14&amp;"'!C2:C1000")=$C52)
        ),
        5,
        FALSE
    )=0,
    "",
    VLOOKUP(
        $A52,
        _xlfn._xlws.FILTER(
            INDIRECT("'"&amp;J$14&amp;"'!A2:E1000"), (INDIRECT("'"&amp;J$14&amp;"'!B2:B1000")=$B52) * (INDIRECT("'"&amp;J$14&amp;"'!C2:C1000")=$C52)
        ),
        5,
        FALSE
    )
)</f>
        <v/>
      </c>
      <c r="K52" s="103">
        <f t="array" ref="K52">IF(
    VLOOKUP(
        $A52,
        _xlfn._xlws.FILTER(
            INDIRECT("'"&amp;K$14&amp;"'!A2:E1000"), (INDIRECT("'"&amp;K$14&amp;"'!B2:B1000")=$B52) * (INDIRECT("'"&amp;K$14&amp;"'!C2:C1000")=$C52)
        ),
        5,
        FALSE
    )=0,
    "",
    VLOOKUP(
        $A52,
        _xlfn._xlws.FILTER(
            INDIRECT("'"&amp;K$14&amp;"'!A2:E1000"), (INDIRECT("'"&amp;K$14&amp;"'!B2:B1000")=$B52) * (INDIRECT("'"&amp;K$14&amp;"'!C2:C1000")=$C52)
        ),
        5,
        FALSE
    )
)</f>
        <v/>
      </c>
      <c r="L52" s="103">
        <f t="array" ref="L52">IF(
    VLOOKUP(
        $A52,
        _xlfn._xlws.FILTER(
            INDIRECT("'"&amp;L$14&amp;"'!A2:E1000"), (INDIRECT("'"&amp;L$14&amp;"'!B2:B1000")=$B52) * (INDIRECT("'"&amp;L$14&amp;"'!C2:C1000")=$C52)
        ),
        5,
        FALSE
    )=0,
    "",
    VLOOKUP(
        $A52,
        _xlfn._xlws.FILTER(
            INDIRECT("'"&amp;L$14&amp;"'!A2:E1000"), (INDIRECT("'"&amp;L$14&amp;"'!B2:B1000")=$B52) * (INDIRECT("'"&amp;L$14&amp;"'!C2:C1000")=$C52)
        ),
        5,
        FALSE
    )
)</f>
        <v/>
      </c>
      <c r="M52" s="103">
        <f t="array" ref="M52">IF(
    VLOOKUP(
        $A52,
        _xlfn._xlws.FILTER(
            INDIRECT("'"&amp;M$14&amp;"'!A2:E1000"), (INDIRECT("'"&amp;M$14&amp;"'!B2:B1000")=$B52) * (INDIRECT("'"&amp;M$14&amp;"'!C2:C1000")=$C52)
        ),
        5,
        FALSE
    )=0,
    "",
    VLOOKUP(
        $A52,
        _xlfn._xlws.FILTER(
            INDIRECT("'"&amp;M$14&amp;"'!A2:E1000"), (INDIRECT("'"&amp;M$14&amp;"'!B2:B1000")=$B52) * (INDIRECT("'"&amp;M$14&amp;"'!C2:C1000")=$C52)
        ),
        5,
        FALSE
    )
)</f>
        <v/>
      </c>
      <c r="N52" s="103">
        <f t="array" ref="N52">IF(
    VLOOKUP(
        $A52,
        _xlfn._xlws.FILTER(
            INDIRECT("'"&amp;N$14&amp;"'!A2:E1000"), (INDIRECT("'"&amp;N$14&amp;"'!B2:B1000")=$B52) * (INDIRECT("'"&amp;N$14&amp;"'!C2:C1000")=$C52)
        ),
        5,
        FALSE
    )=0,
    "",
    VLOOKUP(
        $A52,
        _xlfn._xlws.FILTER(
            INDIRECT("'"&amp;N$14&amp;"'!A2:E1000"), (INDIRECT("'"&amp;N$14&amp;"'!B2:B1000")=$B52) * (INDIRECT("'"&amp;N$14&amp;"'!C2:C1000")=$C52)
        ),
        5,
        FALSE
    )
)</f>
        <v/>
      </c>
      <c r="O52" s="103">
        <f t="array" ref="O52">IF(
    VLOOKUP(
        $A52,
        _xlfn._xlws.FILTER(
            INDIRECT("'"&amp;O$14&amp;"'!A2:E1000"), (INDIRECT("'"&amp;O$14&amp;"'!B2:B1000")=$B52) * (INDIRECT("'"&amp;O$14&amp;"'!C2:C1000")=$C52)
        ),
        5,
        FALSE
    )=0,
    "",
    VLOOKUP(
        $A52,
        _xlfn._xlws.FILTER(
            INDIRECT("'"&amp;O$14&amp;"'!A2:E1000"), (INDIRECT("'"&amp;O$14&amp;"'!B2:B1000")=$B52) * (INDIRECT("'"&amp;O$14&amp;"'!C2:C1000")=$C52)
        ),
        5,
        FALSE
    )
)</f>
        <v/>
      </c>
      <c r="P52" s="103">
        <f t="array" ref="P52">IF(
    VLOOKUP(
        $A52,
        _xlfn._xlws.FILTER(
            INDIRECT("'"&amp;P$14&amp;"'!A2:E1000"), (INDIRECT("'"&amp;P$14&amp;"'!B2:B1000")=$B52) * (INDIRECT("'"&amp;P$14&amp;"'!C2:C1000")=$C52)
        ),
        5,
        FALSE
    )=0,
    "",
    VLOOKUP(
        $A52,
        _xlfn._xlws.FILTER(
            INDIRECT("'"&amp;P$14&amp;"'!A2:E1000"), (INDIRECT("'"&amp;P$14&amp;"'!B2:B1000")=$B52) * (INDIRECT("'"&amp;P$14&amp;"'!C2:C1000")=$C52)
        ),
        5,
        FALSE
    )
)</f>
        <v/>
      </c>
      <c r="Q52" s="103">
        <f t="array" ref="Q52">IF(
    VLOOKUP(
        $A52,
        _xlfn._xlws.FILTER(
            INDIRECT("'"&amp;Q$14&amp;"'!A2:E1000"), (INDIRECT("'"&amp;Q$14&amp;"'!B2:B1000")=$B52) * (INDIRECT("'"&amp;Q$14&amp;"'!C2:C1000")=$C52)
        ),
        5,
        FALSE
    )=0,
    "",
    VLOOKUP(
        $A52,
        _xlfn._xlws.FILTER(
            INDIRECT("'"&amp;Q$14&amp;"'!A2:E1000"), (INDIRECT("'"&amp;Q$14&amp;"'!B2:B1000")=$B52) * (INDIRECT("'"&amp;Q$14&amp;"'!C2:C1000")=$C52)
        ),
        5,
        FALSE
    )
)</f>
        <v/>
      </c>
    </row>
    <row r="53">
      <c r="A53" s="54" t="inlineStr">
        <is>
          <t>Larissa</t>
        </is>
      </c>
      <c r="B53" s="50" t="inlineStr">
        <is>
          <t>Serranopolis do Iguaçu</t>
        </is>
      </c>
      <c r="C53" s="50" t="n">
        <v>1</v>
      </c>
      <c r="D53" s="103">
        <f t="array" ref="D53">IF(
    VLOOKUP(
        $A53,
        _xlfn._xlws.FILTER(
            INDIRECT("'"&amp;D$14&amp;"'!A2:E1000"), (INDIRECT("'"&amp;D$14&amp;"'!B2:B1000")=$B53) * (INDIRECT("'"&amp;D$14&amp;"'!C2:C1000")=$C53)
        ),
        5,
        FALSE
    )=0,
    "",
    VLOOKUP(
        $A53,
        _xlfn._xlws.FILTER(
            INDIRECT("'"&amp;D$14&amp;"'!A2:E1000"), (INDIRECT("'"&amp;D$14&amp;"'!B2:B1000")=$B53) * (INDIRECT("'"&amp;D$14&amp;"'!C2:C1000")=$C53)
        ),
        5,
        FALSE
    )
)</f>
        <v/>
      </c>
      <c r="E53" s="103">
        <f t="array" ref="E53">IF(
    VLOOKUP(
        $A53,
        _xlfn._xlws.FILTER(
            INDIRECT("'"&amp;E$14&amp;"'!A2:E1000"), (INDIRECT("'"&amp;E$14&amp;"'!B2:B1000")=$B53) * (INDIRECT("'"&amp;E$14&amp;"'!C2:C1000")=$C53)
        ),
        5,
        FALSE
    )=0,
    "",
    VLOOKUP(
        $A53,
        _xlfn._xlws.FILTER(
            INDIRECT("'"&amp;E$14&amp;"'!A2:E1000"), (INDIRECT("'"&amp;E$14&amp;"'!B2:B1000")=$B53) * (INDIRECT("'"&amp;E$14&amp;"'!C2:C1000")=$C53)
        ),
        5,
        FALSE
    )
)</f>
        <v/>
      </c>
      <c r="F53" s="103">
        <f t="array" ref="F53">IF(
    VLOOKUP(
        $A53,
        _xlfn._xlws.FILTER(
            INDIRECT("'"&amp;F$14&amp;"'!A2:E1000"), (INDIRECT("'"&amp;F$14&amp;"'!B2:B1000")=$B53) * (INDIRECT("'"&amp;F$14&amp;"'!C2:C1000")=$C53)
        ),
        5,
        FALSE
    )=0,
    "",
    VLOOKUP(
        $A53,
        _xlfn._xlws.FILTER(
            INDIRECT("'"&amp;F$14&amp;"'!A2:E1000"), (INDIRECT("'"&amp;F$14&amp;"'!B2:B1000")=$B53) * (INDIRECT("'"&amp;F$14&amp;"'!C2:C1000")=$C53)
        ),
        5,
        FALSE
    )
)</f>
        <v/>
      </c>
      <c r="G53" s="103">
        <f t="array" ref="G53">IF(
    VLOOKUP(
        $A53,
        _xlfn._xlws.FILTER(
            INDIRECT("'"&amp;G$14&amp;"'!A2:E1000"), (INDIRECT("'"&amp;G$14&amp;"'!B2:B1000")=$B53) * (INDIRECT("'"&amp;G$14&amp;"'!C2:C1000")=$C53)
        ),
        5,
        FALSE
    )=0,
    "",
    VLOOKUP(
        $A53,
        _xlfn._xlws.FILTER(
            INDIRECT("'"&amp;G$14&amp;"'!A2:E1000"), (INDIRECT("'"&amp;G$14&amp;"'!B2:B1000")=$B53) * (INDIRECT("'"&amp;G$14&amp;"'!C2:C1000")=$C53)
        ),
        5,
        FALSE
    )
)</f>
        <v/>
      </c>
      <c r="H53" s="103">
        <f t="array" ref="H53">IF(
    VLOOKUP(
        $A53,
        _xlfn._xlws.FILTER(
            INDIRECT("'"&amp;H$14&amp;"'!A2:E1000"), (INDIRECT("'"&amp;H$14&amp;"'!B2:B1000")=$B53) * (INDIRECT("'"&amp;H$14&amp;"'!C2:C1000")=$C53)
        ),
        5,
        FALSE
    )=0,
    "",
    VLOOKUP(
        $A53,
        _xlfn._xlws.FILTER(
            INDIRECT("'"&amp;H$14&amp;"'!A2:E1000"), (INDIRECT("'"&amp;H$14&amp;"'!B2:B1000")=$B53) * (INDIRECT("'"&amp;H$14&amp;"'!C2:C1000")=$C53)
        ),
        5,
        FALSE
    )
)</f>
        <v/>
      </c>
      <c r="I53" s="103">
        <f t="array" ref="I53">IF(
    VLOOKUP(
        $A53,
        _xlfn._xlws.FILTER(
            INDIRECT("'"&amp;I$14&amp;"'!A2:E1000"), (INDIRECT("'"&amp;I$14&amp;"'!B2:B1000")=$B53) * (INDIRECT("'"&amp;I$14&amp;"'!C2:C1000")=$C53)
        ),
        5,
        FALSE
    )=0,
    "",
    VLOOKUP(
        $A53,
        _xlfn._xlws.FILTER(
            INDIRECT("'"&amp;I$14&amp;"'!A2:E1000"), (INDIRECT("'"&amp;I$14&amp;"'!B2:B1000")=$B53) * (INDIRECT("'"&amp;I$14&amp;"'!C2:C1000")=$C53)
        ),
        5,
        FALSE
    )
)</f>
        <v/>
      </c>
      <c r="J53" s="103">
        <f t="array" ref="J53">IF(
    VLOOKUP(
        $A53,
        _xlfn._xlws.FILTER(
            INDIRECT("'"&amp;J$14&amp;"'!A2:E1000"), (INDIRECT("'"&amp;J$14&amp;"'!B2:B1000")=$B53) * (INDIRECT("'"&amp;J$14&amp;"'!C2:C1000")=$C53)
        ),
        5,
        FALSE
    )=0,
    "",
    VLOOKUP(
        $A53,
        _xlfn._xlws.FILTER(
            INDIRECT("'"&amp;J$14&amp;"'!A2:E1000"), (INDIRECT("'"&amp;J$14&amp;"'!B2:B1000")=$B53) * (INDIRECT("'"&amp;J$14&amp;"'!C2:C1000")=$C53)
        ),
        5,
        FALSE
    )
)</f>
        <v/>
      </c>
      <c r="K53" s="103">
        <f t="array" ref="K53">IF(
    VLOOKUP(
        $A53,
        _xlfn._xlws.FILTER(
            INDIRECT("'"&amp;K$14&amp;"'!A2:E1000"), (INDIRECT("'"&amp;K$14&amp;"'!B2:B1000")=$B53) * (INDIRECT("'"&amp;K$14&amp;"'!C2:C1000")=$C53)
        ),
        5,
        FALSE
    )=0,
    "",
    VLOOKUP(
        $A53,
        _xlfn._xlws.FILTER(
            INDIRECT("'"&amp;K$14&amp;"'!A2:E1000"), (INDIRECT("'"&amp;K$14&amp;"'!B2:B1000")=$B53) * (INDIRECT("'"&amp;K$14&amp;"'!C2:C1000")=$C53)
        ),
        5,
        FALSE
    )
)</f>
        <v/>
      </c>
      <c r="L53" s="103">
        <f t="array" ref="L53">IF(
    VLOOKUP(
        $A53,
        _xlfn._xlws.FILTER(
            INDIRECT("'"&amp;L$14&amp;"'!A2:E1000"), (INDIRECT("'"&amp;L$14&amp;"'!B2:B1000")=$B53) * (INDIRECT("'"&amp;L$14&amp;"'!C2:C1000")=$C53)
        ),
        5,
        FALSE
    )=0,
    "",
    VLOOKUP(
        $A53,
        _xlfn._xlws.FILTER(
            INDIRECT("'"&amp;L$14&amp;"'!A2:E1000"), (INDIRECT("'"&amp;L$14&amp;"'!B2:B1000")=$B53) * (INDIRECT("'"&amp;L$14&amp;"'!C2:C1000")=$C53)
        ),
        5,
        FALSE
    )
)</f>
        <v/>
      </c>
      <c r="M53" s="103">
        <f t="array" ref="M53">IF(
    VLOOKUP(
        $A53,
        _xlfn._xlws.FILTER(
            INDIRECT("'"&amp;M$14&amp;"'!A2:E1000"), (INDIRECT("'"&amp;M$14&amp;"'!B2:B1000")=$B53) * (INDIRECT("'"&amp;M$14&amp;"'!C2:C1000")=$C53)
        ),
        5,
        FALSE
    )=0,
    "",
    VLOOKUP(
        $A53,
        _xlfn._xlws.FILTER(
            INDIRECT("'"&amp;M$14&amp;"'!A2:E1000"), (INDIRECT("'"&amp;M$14&amp;"'!B2:B1000")=$B53) * (INDIRECT("'"&amp;M$14&amp;"'!C2:C1000")=$C53)
        ),
        5,
        FALSE
    )
)</f>
        <v/>
      </c>
      <c r="N53" s="103">
        <f t="array" ref="N53">IF(
    VLOOKUP(
        $A53,
        _xlfn._xlws.FILTER(
            INDIRECT("'"&amp;N$14&amp;"'!A2:E1000"), (INDIRECT("'"&amp;N$14&amp;"'!B2:B1000")=$B53) * (INDIRECT("'"&amp;N$14&amp;"'!C2:C1000")=$C53)
        ),
        5,
        FALSE
    )=0,
    "",
    VLOOKUP(
        $A53,
        _xlfn._xlws.FILTER(
            INDIRECT("'"&amp;N$14&amp;"'!A2:E1000"), (INDIRECT("'"&amp;N$14&amp;"'!B2:B1000")=$B53) * (INDIRECT("'"&amp;N$14&amp;"'!C2:C1000")=$C53)
        ),
        5,
        FALSE
    )
)</f>
        <v/>
      </c>
      <c r="O53" s="103">
        <f t="array" ref="O53">IF(
    VLOOKUP(
        $A53,
        _xlfn._xlws.FILTER(
            INDIRECT("'"&amp;O$14&amp;"'!A2:E1000"), (INDIRECT("'"&amp;O$14&amp;"'!B2:B1000")=$B53) * (INDIRECT("'"&amp;O$14&amp;"'!C2:C1000")=$C53)
        ),
        5,
        FALSE
    )=0,
    "",
    VLOOKUP(
        $A53,
        _xlfn._xlws.FILTER(
            INDIRECT("'"&amp;O$14&amp;"'!A2:E1000"), (INDIRECT("'"&amp;O$14&amp;"'!B2:B1000")=$B53) * (INDIRECT("'"&amp;O$14&amp;"'!C2:C1000")=$C53)
        ),
        5,
        FALSE
    )
)</f>
        <v/>
      </c>
      <c r="P53" s="103">
        <f t="array" ref="P53">IF(
    VLOOKUP(
        $A53,
        _xlfn._xlws.FILTER(
            INDIRECT("'"&amp;P$14&amp;"'!A2:E1000"), (INDIRECT("'"&amp;P$14&amp;"'!B2:B1000")=$B53) * (INDIRECT("'"&amp;P$14&amp;"'!C2:C1000")=$C53)
        ),
        5,
        FALSE
    )=0,
    "",
    VLOOKUP(
        $A53,
        _xlfn._xlws.FILTER(
            INDIRECT("'"&amp;P$14&amp;"'!A2:E1000"), (INDIRECT("'"&amp;P$14&amp;"'!B2:B1000")=$B53) * (INDIRECT("'"&amp;P$14&amp;"'!C2:C1000")=$C53)
        ),
        5,
        FALSE
    )
)</f>
        <v/>
      </c>
      <c r="Q53" s="103">
        <f t="array" ref="Q53">IF(
    VLOOKUP(
        $A53,
        _xlfn._xlws.FILTER(
            INDIRECT("'"&amp;Q$14&amp;"'!A2:E1000"), (INDIRECT("'"&amp;Q$14&amp;"'!B2:B1000")=$B53) * (INDIRECT("'"&amp;Q$14&amp;"'!C2:C1000")=$C53)
        ),
        5,
        FALSE
    )=0,
    "",
    VLOOKUP(
        $A53,
        _xlfn._xlws.FILTER(
            INDIRECT("'"&amp;Q$14&amp;"'!A2:E1000"), (INDIRECT("'"&amp;Q$14&amp;"'!B2:B1000")=$B53) * (INDIRECT("'"&amp;Q$14&amp;"'!C2:C1000")=$C53)
        ),
        5,
        FALSE
    )
)</f>
        <v/>
      </c>
    </row>
    <row r="54"/>
    <row r="55" ht="15.75" customHeight="1">
      <c r="A55" s="109" t="inlineStr">
        <is>
          <t>Regional</t>
        </is>
      </c>
      <c r="B55" s="98" t="inlineStr">
        <is>
          <t>Municípios</t>
        </is>
      </c>
      <c r="C55" s="98" t="inlineStr">
        <is>
          <t>UVR</t>
        </is>
      </c>
      <c r="D55" s="99" t="inlineStr">
        <is>
          <t>11.24</t>
        </is>
      </c>
      <c r="E55" s="100" t="inlineStr">
        <is>
          <t>12.24</t>
        </is>
      </c>
      <c r="F55" s="101" t="inlineStr">
        <is>
          <t>01.25</t>
        </is>
      </c>
      <c r="G55" s="101" t="inlineStr">
        <is>
          <t>02.25</t>
        </is>
      </c>
      <c r="H55" s="101" t="inlineStr">
        <is>
          <t>03.25</t>
        </is>
      </c>
      <c r="I55" s="101" t="inlineStr">
        <is>
          <t>04.25</t>
        </is>
      </c>
      <c r="J55" s="101" t="inlineStr">
        <is>
          <t>05.25</t>
        </is>
      </c>
      <c r="K55" s="101" t="inlineStr">
        <is>
          <t>06.25</t>
        </is>
      </c>
      <c r="L55" s="102" t="inlineStr">
        <is>
          <t>07.25</t>
        </is>
      </c>
      <c r="M55" s="102" t="inlineStr">
        <is>
          <t>08.25</t>
        </is>
      </c>
      <c r="N55" s="102" t="inlineStr">
        <is>
          <t>09.25</t>
        </is>
      </c>
      <c r="O55" s="102" t="inlineStr">
        <is>
          <t>10.25</t>
        </is>
      </c>
      <c r="P55" s="102" t="inlineStr">
        <is>
          <t>11.25</t>
        </is>
      </c>
      <c r="Q55" s="102" t="inlineStr">
        <is>
          <t>12.25</t>
        </is>
      </c>
    </row>
    <row r="56">
      <c r="A56" s="56" t="inlineStr">
        <is>
          <t>Luana</t>
        </is>
      </c>
      <c r="B56" s="50" t="inlineStr">
        <is>
          <t>Diamante d'Oeste</t>
        </is>
      </c>
      <c r="C56" s="50" t="n">
        <v>1</v>
      </c>
      <c r="D56" s="103">
        <f t="array" ref="D56">IF(
    VLOOKUP(
        $A56,
        _xlfn._xlws.FILTER(
            INDIRECT("'"&amp;D$14&amp;"'!A2:E1000"), (INDIRECT("'"&amp;D$14&amp;"'!B2:B1000")=$B56) * (INDIRECT("'"&amp;D$14&amp;"'!C2:C1000")=$C56)
        ),
        5,
        FALSE
    )=0,
    "",
    VLOOKUP(
        $A56,
        _xlfn._xlws.FILTER(
            INDIRECT("'"&amp;D$14&amp;"'!A2:E1000"), (INDIRECT("'"&amp;D$14&amp;"'!B2:B1000")=$B56) * (INDIRECT("'"&amp;D$14&amp;"'!C2:C1000")=$C56)
        ),
        5,
        FALSE
    )
)</f>
        <v/>
      </c>
      <c r="E56" s="103">
        <f t="array" ref="E56">IF(
    VLOOKUP(
        $A56,
        _xlfn._xlws.FILTER(
            INDIRECT("'"&amp;E$14&amp;"'!A2:E1000"), (INDIRECT("'"&amp;E$14&amp;"'!B2:B1000")=$B56) * (INDIRECT("'"&amp;E$14&amp;"'!C2:C1000")=$C56)
        ),
        5,
        FALSE
    )=0,
    "",
    VLOOKUP(
        $A56,
        _xlfn._xlws.FILTER(
            INDIRECT("'"&amp;E$14&amp;"'!A2:E1000"), (INDIRECT("'"&amp;E$14&amp;"'!B2:B1000")=$B56) * (INDIRECT("'"&amp;E$14&amp;"'!C2:C1000")=$C56)
        ),
        5,
        FALSE
    )
)</f>
        <v/>
      </c>
      <c r="F56" s="103">
        <f t="array" ref="F56">IF(
    VLOOKUP(
        $A56,
        _xlfn._xlws.FILTER(
            INDIRECT("'"&amp;F$14&amp;"'!A2:E1000"), (INDIRECT("'"&amp;F$14&amp;"'!B2:B1000")=$B56) * (INDIRECT("'"&amp;F$14&amp;"'!C2:C1000")=$C56)
        ),
        5,
        FALSE
    )=0,
    "",
    VLOOKUP(
        $A56,
        _xlfn._xlws.FILTER(
            INDIRECT("'"&amp;F$14&amp;"'!A2:E1000"), (INDIRECT("'"&amp;F$14&amp;"'!B2:B1000")=$B56) * (INDIRECT("'"&amp;F$14&amp;"'!C2:C1000")=$C56)
        ),
        5,
        FALSE
    )
)</f>
        <v/>
      </c>
      <c r="G56" s="103">
        <f t="array" ref="G56">IF(
    VLOOKUP(
        $A56,
        _xlfn._xlws.FILTER(
            INDIRECT("'"&amp;G$14&amp;"'!A2:E1000"), (INDIRECT("'"&amp;G$14&amp;"'!B2:B1000")=$B56) * (INDIRECT("'"&amp;G$14&amp;"'!C2:C1000")=$C56)
        ),
        5,
        FALSE
    )=0,
    "",
    VLOOKUP(
        $A56,
        _xlfn._xlws.FILTER(
            INDIRECT("'"&amp;G$14&amp;"'!A2:E1000"), (INDIRECT("'"&amp;G$14&amp;"'!B2:B1000")=$B56) * (INDIRECT("'"&amp;G$14&amp;"'!C2:C1000")=$C56)
        ),
        5,
        FALSE
    )
)</f>
        <v/>
      </c>
      <c r="H56" s="103">
        <f t="array" ref="H56">IF(
    VLOOKUP(
        $A56,
        _xlfn._xlws.FILTER(
            INDIRECT("'"&amp;H$14&amp;"'!A2:E1000"), (INDIRECT("'"&amp;H$14&amp;"'!B2:B1000")=$B56) * (INDIRECT("'"&amp;H$14&amp;"'!C2:C1000")=$C56)
        ),
        5,
        FALSE
    )=0,
    "",
    VLOOKUP(
        $A56,
        _xlfn._xlws.FILTER(
            INDIRECT("'"&amp;H$14&amp;"'!A2:E1000"), (INDIRECT("'"&amp;H$14&amp;"'!B2:B1000")=$B56) * (INDIRECT("'"&amp;H$14&amp;"'!C2:C1000")=$C56)
        ),
        5,
        FALSE
    )
)</f>
        <v/>
      </c>
      <c r="I56" s="103">
        <f t="array" ref="I56">IF(
    VLOOKUP(
        $A56,
        _xlfn._xlws.FILTER(
            INDIRECT("'"&amp;I$14&amp;"'!A2:E1000"), (INDIRECT("'"&amp;I$14&amp;"'!B2:B1000")=$B56) * (INDIRECT("'"&amp;I$14&amp;"'!C2:C1000")=$C56)
        ),
        5,
        FALSE
    )=0,
    "",
    VLOOKUP(
        $A56,
        _xlfn._xlws.FILTER(
            INDIRECT("'"&amp;I$14&amp;"'!A2:E1000"), (INDIRECT("'"&amp;I$14&amp;"'!B2:B1000")=$B56) * (INDIRECT("'"&amp;I$14&amp;"'!C2:C1000")=$C56)
        ),
        5,
        FALSE
    )
)</f>
        <v/>
      </c>
      <c r="J56" s="103">
        <f t="array" ref="J56">IF(
    VLOOKUP(
        $A56,
        _xlfn._xlws.FILTER(
            INDIRECT("'"&amp;J$14&amp;"'!A2:E1000"), (INDIRECT("'"&amp;J$14&amp;"'!B2:B1000")=$B56) * (INDIRECT("'"&amp;J$14&amp;"'!C2:C1000")=$C56)
        ),
        5,
        FALSE
    )=0,
    "",
    VLOOKUP(
        $A56,
        _xlfn._xlws.FILTER(
            INDIRECT("'"&amp;J$14&amp;"'!A2:E1000"), (INDIRECT("'"&amp;J$14&amp;"'!B2:B1000")=$B56) * (INDIRECT("'"&amp;J$14&amp;"'!C2:C1000")=$C56)
        ),
        5,
        FALSE
    )
)</f>
        <v/>
      </c>
      <c r="K56" s="103">
        <f t="array" ref="K56">IF(
    VLOOKUP(
        $A56,
        _xlfn._xlws.FILTER(
            INDIRECT("'"&amp;K$14&amp;"'!A2:E1000"), (INDIRECT("'"&amp;K$14&amp;"'!B2:B1000")=$B56) * (INDIRECT("'"&amp;K$14&amp;"'!C2:C1000")=$C56)
        ),
        5,
        FALSE
    )=0,
    "",
    VLOOKUP(
        $A56,
        _xlfn._xlws.FILTER(
            INDIRECT("'"&amp;K$14&amp;"'!A2:E1000"), (INDIRECT("'"&amp;K$14&amp;"'!B2:B1000")=$B56) * (INDIRECT("'"&amp;K$14&amp;"'!C2:C1000")=$C56)
        ),
        5,
        FALSE
    )
)</f>
        <v/>
      </c>
      <c r="L56" s="103">
        <f t="array" ref="L56">IF(
    VLOOKUP(
        $A56,
        _xlfn._xlws.FILTER(
            INDIRECT("'"&amp;L$14&amp;"'!A2:E1000"), (INDIRECT("'"&amp;L$14&amp;"'!B2:B1000")=$B56) * (INDIRECT("'"&amp;L$14&amp;"'!C2:C1000")=$C56)
        ),
        5,
        FALSE
    )=0,
    "",
    VLOOKUP(
        $A56,
        _xlfn._xlws.FILTER(
            INDIRECT("'"&amp;L$14&amp;"'!A2:E1000"), (INDIRECT("'"&amp;L$14&amp;"'!B2:B1000")=$B56) * (INDIRECT("'"&amp;L$14&amp;"'!C2:C1000")=$C56)
        ),
        5,
        FALSE
    )
)</f>
        <v/>
      </c>
      <c r="M56" s="103">
        <f t="array" ref="M56">IF(
    VLOOKUP(
        $A56,
        _xlfn._xlws.FILTER(
            INDIRECT("'"&amp;M$14&amp;"'!A2:E1000"), (INDIRECT("'"&amp;M$14&amp;"'!B2:B1000")=$B56) * (INDIRECT("'"&amp;M$14&amp;"'!C2:C1000")=$C56)
        ),
        5,
        FALSE
    )=0,
    "",
    VLOOKUP(
        $A56,
        _xlfn._xlws.FILTER(
            INDIRECT("'"&amp;M$14&amp;"'!A2:E1000"), (INDIRECT("'"&amp;M$14&amp;"'!B2:B1000")=$B56) * (INDIRECT("'"&amp;M$14&amp;"'!C2:C1000")=$C56)
        ),
        5,
        FALSE
    )
)</f>
        <v/>
      </c>
      <c r="N56" s="103">
        <f t="array" ref="N56">IF(
    VLOOKUP(
        $A56,
        _xlfn._xlws.FILTER(
            INDIRECT("'"&amp;N$14&amp;"'!A2:E1000"), (INDIRECT("'"&amp;N$14&amp;"'!B2:B1000")=$B56) * (INDIRECT("'"&amp;N$14&amp;"'!C2:C1000")=$C56)
        ),
        5,
        FALSE
    )=0,
    "",
    VLOOKUP(
        $A56,
        _xlfn._xlws.FILTER(
            INDIRECT("'"&amp;N$14&amp;"'!A2:E1000"), (INDIRECT("'"&amp;N$14&amp;"'!B2:B1000")=$B56) * (INDIRECT("'"&amp;N$14&amp;"'!C2:C1000")=$C56)
        ),
        5,
        FALSE
    )
)</f>
        <v/>
      </c>
      <c r="O56" s="103">
        <f t="array" ref="O56">IF(
    VLOOKUP(
        $A56,
        _xlfn._xlws.FILTER(
            INDIRECT("'"&amp;O$14&amp;"'!A2:E1000"), (INDIRECT("'"&amp;O$14&amp;"'!B2:B1000")=$B56) * (INDIRECT("'"&amp;O$14&amp;"'!C2:C1000")=$C56)
        ),
        5,
        FALSE
    )=0,
    "",
    VLOOKUP(
        $A56,
        _xlfn._xlws.FILTER(
            INDIRECT("'"&amp;O$14&amp;"'!A2:E1000"), (INDIRECT("'"&amp;O$14&amp;"'!B2:B1000")=$B56) * (INDIRECT("'"&amp;O$14&amp;"'!C2:C1000")=$C56)
        ),
        5,
        FALSE
    )
)</f>
        <v/>
      </c>
      <c r="P56" s="103">
        <f t="array" ref="P56">IF(
    VLOOKUP(
        $A56,
        _xlfn._xlws.FILTER(
            INDIRECT("'"&amp;P$14&amp;"'!A2:E1000"), (INDIRECT("'"&amp;P$14&amp;"'!B2:B1000")=$B56) * (INDIRECT("'"&amp;P$14&amp;"'!C2:C1000")=$C56)
        ),
        5,
        FALSE
    )=0,
    "",
    VLOOKUP(
        $A56,
        _xlfn._xlws.FILTER(
            INDIRECT("'"&amp;P$14&amp;"'!A2:E1000"), (INDIRECT("'"&amp;P$14&amp;"'!B2:B1000")=$B56) * (INDIRECT("'"&amp;P$14&amp;"'!C2:C1000")=$C56)
        ),
        5,
        FALSE
    )
)</f>
        <v/>
      </c>
      <c r="Q56" s="103">
        <f t="array" ref="Q56">IF(
    VLOOKUP(
        $A56,
        _xlfn._xlws.FILTER(
            INDIRECT("'"&amp;Q$14&amp;"'!A2:E1000"), (INDIRECT("'"&amp;Q$14&amp;"'!B2:B1000")=$B56) * (INDIRECT("'"&amp;Q$14&amp;"'!C2:C1000")=$C56)
        ),
        5,
        FALSE
    )=0,
    "",
    VLOOKUP(
        $A56,
        _xlfn._xlws.FILTER(
            INDIRECT("'"&amp;Q$14&amp;"'!A2:E1000"), (INDIRECT("'"&amp;Q$14&amp;"'!B2:B1000")=$B56) * (INDIRECT("'"&amp;Q$14&amp;"'!C2:C1000")=$C56)
        ),
        5,
        FALSE
    )
)</f>
        <v/>
      </c>
    </row>
    <row r="57">
      <c r="A57" s="56" t="inlineStr">
        <is>
          <t>Luana</t>
        </is>
      </c>
      <c r="B57" s="50" t="inlineStr">
        <is>
          <t>Entre Rios do Oeste</t>
        </is>
      </c>
      <c r="C57" s="50" t="n">
        <v>1</v>
      </c>
      <c r="D57" s="103">
        <f t="array" ref="D57">IF(
    VLOOKUP(
        $A57,
        _xlfn._xlws.FILTER(
            INDIRECT("'"&amp;D$14&amp;"'!A2:E1000"), (INDIRECT("'"&amp;D$14&amp;"'!B2:B1000")=$B57) * (INDIRECT("'"&amp;D$14&amp;"'!C2:C1000")=$C57)
        ),
        5,
        FALSE
    )=0,
    "",
    VLOOKUP(
        $A57,
        _xlfn._xlws.FILTER(
            INDIRECT("'"&amp;D$14&amp;"'!A2:E1000"), (INDIRECT("'"&amp;D$14&amp;"'!B2:B1000")=$B57) * (INDIRECT("'"&amp;D$14&amp;"'!C2:C1000")=$C57)
        ),
        5,
        FALSE
    )
)</f>
        <v/>
      </c>
      <c r="E57" s="103">
        <f t="array" ref="E57">IF(
    VLOOKUP(
        $A57,
        _xlfn._xlws.FILTER(
            INDIRECT("'"&amp;E$14&amp;"'!A2:E1000"), (INDIRECT("'"&amp;E$14&amp;"'!B2:B1000")=$B57) * (INDIRECT("'"&amp;E$14&amp;"'!C2:C1000")=$C57)
        ),
        5,
        FALSE
    )=0,
    "",
    VLOOKUP(
        $A57,
        _xlfn._xlws.FILTER(
            INDIRECT("'"&amp;E$14&amp;"'!A2:E1000"), (INDIRECT("'"&amp;E$14&amp;"'!B2:B1000")=$B57) * (INDIRECT("'"&amp;E$14&amp;"'!C2:C1000")=$C57)
        ),
        5,
        FALSE
    )
)</f>
        <v/>
      </c>
      <c r="F57" s="103">
        <f t="array" ref="F57">IF(
    VLOOKUP(
        $A57,
        _xlfn._xlws.FILTER(
            INDIRECT("'"&amp;F$14&amp;"'!A2:E1000"), (INDIRECT("'"&amp;F$14&amp;"'!B2:B1000")=$B57) * (INDIRECT("'"&amp;F$14&amp;"'!C2:C1000")=$C57)
        ),
        5,
        FALSE
    )=0,
    "",
    VLOOKUP(
        $A57,
        _xlfn._xlws.FILTER(
            INDIRECT("'"&amp;F$14&amp;"'!A2:E1000"), (INDIRECT("'"&amp;F$14&amp;"'!B2:B1000")=$B57) * (INDIRECT("'"&amp;F$14&amp;"'!C2:C1000")=$C57)
        ),
        5,
        FALSE
    )
)</f>
        <v/>
      </c>
      <c r="G57" s="103">
        <f t="array" ref="G57">IF(
    VLOOKUP(
        $A57,
        _xlfn._xlws.FILTER(
            INDIRECT("'"&amp;G$14&amp;"'!A2:E1000"), (INDIRECT("'"&amp;G$14&amp;"'!B2:B1000")=$B57) * (INDIRECT("'"&amp;G$14&amp;"'!C2:C1000")=$C57)
        ),
        5,
        FALSE
    )=0,
    "",
    VLOOKUP(
        $A57,
        _xlfn._xlws.FILTER(
            INDIRECT("'"&amp;G$14&amp;"'!A2:E1000"), (INDIRECT("'"&amp;G$14&amp;"'!B2:B1000")=$B57) * (INDIRECT("'"&amp;G$14&amp;"'!C2:C1000")=$C57)
        ),
        5,
        FALSE
    )
)</f>
        <v/>
      </c>
      <c r="H57" s="103">
        <f t="array" ref="H57">IF(
    VLOOKUP(
        $A57,
        _xlfn._xlws.FILTER(
            INDIRECT("'"&amp;H$14&amp;"'!A2:E1000"), (INDIRECT("'"&amp;H$14&amp;"'!B2:B1000")=$B57) * (INDIRECT("'"&amp;H$14&amp;"'!C2:C1000")=$C57)
        ),
        5,
        FALSE
    )=0,
    "",
    VLOOKUP(
        $A57,
        _xlfn._xlws.FILTER(
            INDIRECT("'"&amp;H$14&amp;"'!A2:E1000"), (INDIRECT("'"&amp;H$14&amp;"'!B2:B1000")=$B57) * (INDIRECT("'"&amp;H$14&amp;"'!C2:C1000")=$C57)
        ),
        5,
        FALSE
    )
)</f>
        <v/>
      </c>
      <c r="I57" s="103">
        <f t="array" ref="I57">IF(
    VLOOKUP(
        $A57,
        _xlfn._xlws.FILTER(
            INDIRECT("'"&amp;I$14&amp;"'!A2:E1000"), (INDIRECT("'"&amp;I$14&amp;"'!B2:B1000")=$B57) * (INDIRECT("'"&amp;I$14&amp;"'!C2:C1000")=$C57)
        ),
        5,
        FALSE
    )=0,
    "",
    VLOOKUP(
        $A57,
        _xlfn._xlws.FILTER(
            INDIRECT("'"&amp;I$14&amp;"'!A2:E1000"), (INDIRECT("'"&amp;I$14&amp;"'!B2:B1000")=$B57) * (INDIRECT("'"&amp;I$14&amp;"'!C2:C1000")=$C57)
        ),
        5,
        FALSE
    )
)</f>
        <v/>
      </c>
      <c r="J57" s="103">
        <f t="array" ref="J57">IF(
    VLOOKUP(
        $A57,
        _xlfn._xlws.FILTER(
            INDIRECT("'"&amp;J$14&amp;"'!A2:E1000"), (INDIRECT("'"&amp;J$14&amp;"'!B2:B1000")=$B57) * (INDIRECT("'"&amp;J$14&amp;"'!C2:C1000")=$C57)
        ),
        5,
        FALSE
    )=0,
    "",
    VLOOKUP(
        $A57,
        _xlfn._xlws.FILTER(
            INDIRECT("'"&amp;J$14&amp;"'!A2:E1000"), (INDIRECT("'"&amp;J$14&amp;"'!B2:B1000")=$B57) * (INDIRECT("'"&amp;J$14&amp;"'!C2:C1000")=$C57)
        ),
        5,
        FALSE
    )
)</f>
        <v/>
      </c>
      <c r="K57" s="103">
        <f t="array" ref="K57">IF(
    VLOOKUP(
        $A57,
        _xlfn._xlws.FILTER(
            INDIRECT("'"&amp;K$14&amp;"'!A2:E1000"), (INDIRECT("'"&amp;K$14&amp;"'!B2:B1000")=$B57) * (INDIRECT("'"&amp;K$14&amp;"'!C2:C1000")=$C57)
        ),
        5,
        FALSE
    )=0,
    "",
    VLOOKUP(
        $A57,
        _xlfn._xlws.FILTER(
            INDIRECT("'"&amp;K$14&amp;"'!A2:E1000"), (INDIRECT("'"&amp;K$14&amp;"'!B2:B1000")=$B57) * (INDIRECT("'"&amp;K$14&amp;"'!C2:C1000")=$C57)
        ),
        5,
        FALSE
    )
)</f>
        <v/>
      </c>
      <c r="L57" s="103">
        <f t="array" ref="L57">IF(
    VLOOKUP(
        $A57,
        _xlfn._xlws.FILTER(
            INDIRECT("'"&amp;L$14&amp;"'!A2:E1000"), (INDIRECT("'"&amp;L$14&amp;"'!B2:B1000")=$B57) * (INDIRECT("'"&amp;L$14&amp;"'!C2:C1000")=$C57)
        ),
        5,
        FALSE
    )=0,
    "",
    VLOOKUP(
        $A57,
        _xlfn._xlws.FILTER(
            INDIRECT("'"&amp;L$14&amp;"'!A2:E1000"), (INDIRECT("'"&amp;L$14&amp;"'!B2:B1000")=$B57) * (INDIRECT("'"&amp;L$14&amp;"'!C2:C1000")=$C57)
        ),
        5,
        FALSE
    )
)</f>
        <v/>
      </c>
      <c r="M57" s="103">
        <f t="array" ref="M57">IF(
    VLOOKUP(
        $A57,
        _xlfn._xlws.FILTER(
            INDIRECT("'"&amp;M$14&amp;"'!A2:E1000"), (INDIRECT("'"&amp;M$14&amp;"'!B2:B1000")=$B57) * (INDIRECT("'"&amp;M$14&amp;"'!C2:C1000")=$C57)
        ),
        5,
        FALSE
    )=0,
    "",
    VLOOKUP(
        $A57,
        _xlfn._xlws.FILTER(
            INDIRECT("'"&amp;M$14&amp;"'!A2:E1000"), (INDIRECT("'"&amp;M$14&amp;"'!B2:B1000")=$B57) * (INDIRECT("'"&amp;M$14&amp;"'!C2:C1000")=$C57)
        ),
        5,
        FALSE
    )
)</f>
        <v/>
      </c>
      <c r="N57" s="103">
        <f t="array" ref="N57">IF(
    VLOOKUP(
        $A57,
        _xlfn._xlws.FILTER(
            INDIRECT("'"&amp;N$14&amp;"'!A2:E1000"), (INDIRECT("'"&amp;N$14&amp;"'!B2:B1000")=$B57) * (INDIRECT("'"&amp;N$14&amp;"'!C2:C1000")=$C57)
        ),
        5,
        FALSE
    )=0,
    "",
    VLOOKUP(
        $A57,
        _xlfn._xlws.FILTER(
            INDIRECT("'"&amp;N$14&amp;"'!A2:E1000"), (INDIRECT("'"&amp;N$14&amp;"'!B2:B1000")=$B57) * (INDIRECT("'"&amp;N$14&amp;"'!C2:C1000")=$C57)
        ),
        5,
        FALSE
    )
)</f>
        <v/>
      </c>
      <c r="O57" s="103">
        <f t="array" ref="O57">IF(
    VLOOKUP(
        $A57,
        _xlfn._xlws.FILTER(
            INDIRECT("'"&amp;O$14&amp;"'!A2:E1000"), (INDIRECT("'"&amp;O$14&amp;"'!B2:B1000")=$B57) * (INDIRECT("'"&amp;O$14&amp;"'!C2:C1000")=$C57)
        ),
        5,
        FALSE
    )=0,
    "",
    VLOOKUP(
        $A57,
        _xlfn._xlws.FILTER(
            INDIRECT("'"&amp;O$14&amp;"'!A2:E1000"), (INDIRECT("'"&amp;O$14&amp;"'!B2:B1000")=$B57) * (INDIRECT("'"&amp;O$14&amp;"'!C2:C1000")=$C57)
        ),
        5,
        FALSE
    )
)</f>
        <v/>
      </c>
      <c r="P57" s="103">
        <f t="array" ref="P57">IF(
    VLOOKUP(
        $A57,
        _xlfn._xlws.FILTER(
            INDIRECT("'"&amp;P$14&amp;"'!A2:E1000"), (INDIRECT("'"&amp;P$14&amp;"'!B2:B1000")=$B57) * (INDIRECT("'"&amp;P$14&amp;"'!C2:C1000")=$C57)
        ),
        5,
        FALSE
    )=0,
    "",
    VLOOKUP(
        $A57,
        _xlfn._xlws.FILTER(
            INDIRECT("'"&amp;P$14&amp;"'!A2:E1000"), (INDIRECT("'"&amp;P$14&amp;"'!B2:B1000")=$B57) * (INDIRECT("'"&amp;P$14&amp;"'!C2:C1000")=$C57)
        ),
        5,
        FALSE
    )
)</f>
        <v/>
      </c>
      <c r="Q57" s="103">
        <f t="array" ref="Q57">IF(
    VLOOKUP(
        $A57,
        _xlfn._xlws.FILTER(
            INDIRECT("'"&amp;Q$14&amp;"'!A2:E1000"), (INDIRECT("'"&amp;Q$14&amp;"'!B2:B1000")=$B57) * (INDIRECT("'"&amp;Q$14&amp;"'!C2:C1000")=$C57)
        ),
        5,
        FALSE
    )=0,
    "",
    VLOOKUP(
        $A57,
        _xlfn._xlws.FILTER(
            INDIRECT("'"&amp;Q$14&amp;"'!A2:E1000"), (INDIRECT("'"&amp;Q$14&amp;"'!B2:B1000")=$B57) * (INDIRECT("'"&amp;Q$14&amp;"'!C2:C1000")=$C57)
        ),
        5,
        FALSE
    )
)</f>
        <v/>
      </c>
    </row>
    <row r="58">
      <c r="A58" s="56" t="inlineStr">
        <is>
          <t>Luana</t>
        </is>
      </c>
      <c r="B58" s="50" t="inlineStr">
        <is>
          <t>Itaipulândia</t>
        </is>
      </c>
      <c r="C58" s="50" t="n">
        <v>1</v>
      </c>
      <c r="D58" s="103">
        <f t="array" ref="D58">IF(
    VLOOKUP(
        $A58,
        _xlfn._xlws.FILTER(
            INDIRECT("'"&amp;D$14&amp;"'!A2:E1000"), (INDIRECT("'"&amp;D$14&amp;"'!B2:B1000")=$B58) * (INDIRECT("'"&amp;D$14&amp;"'!C2:C1000")=$C58)
        ),
        5,
        FALSE
    )=0,
    "",
    VLOOKUP(
        $A58,
        _xlfn._xlws.FILTER(
            INDIRECT("'"&amp;D$14&amp;"'!A2:E1000"), (INDIRECT("'"&amp;D$14&amp;"'!B2:B1000")=$B58) * (INDIRECT("'"&amp;D$14&amp;"'!C2:C1000")=$C58)
        ),
        5,
        FALSE
    )
)</f>
        <v/>
      </c>
      <c r="E58" s="103">
        <f t="array" ref="E58">IF(
    VLOOKUP(
        $A58,
        _xlfn._xlws.FILTER(
            INDIRECT("'"&amp;E$14&amp;"'!A2:E1000"), (INDIRECT("'"&amp;E$14&amp;"'!B2:B1000")=$B58) * (INDIRECT("'"&amp;E$14&amp;"'!C2:C1000")=$C58)
        ),
        5,
        FALSE
    )=0,
    "",
    VLOOKUP(
        $A58,
        _xlfn._xlws.FILTER(
            INDIRECT("'"&amp;E$14&amp;"'!A2:E1000"), (INDIRECT("'"&amp;E$14&amp;"'!B2:B1000")=$B58) * (INDIRECT("'"&amp;E$14&amp;"'!C2:C1000")=$C58)
        ),
        5,
        FALSE
    )
)</f>
        <v/>
      </c>
      <c r="F58" s="103">
        <f t="array" ref="F58">IF(
    VLOOKUP(
        $A58,
        _xlfn._xlws.FILTER(
            INDIRECT("'"&amp;F$14&amp;"'!A2:E1000"), (INDIRECT("'"&amp;F$14&amp;"'!B2:B1000")=$B58) * (INDIRECT("'"&amp;F$14&amp;"'!C2:C1000")=$C58)
        ),
        5,
        FALSE
    )=0,
    "",
    VLOOKUP(
        $A58,
        _xlfn._xlws.FILTER(
            INDIRECT("'"&amp;F$14&amp;"'!A2:E1000"), (INDIRECT("'"&amp;F$14&amp;"'!B2:B1000")=$B58) * (INDIRECT("'"&amp;F$14&amp;"'!C2:C1000")=$C58)
        ),
        5,
        FALSE
    )
)</f>
        <v/>
      </c>
      <c r="G58" s="103">
        <f t="array" ref="G58">IF(
    VLOOKUP(
        $A58,
        _xlfn._xlws.FILTER(
            INDIRECT("'"&amp;G$14&amp;"'!A2:E1000"), (INDIRECT("'"&amp;G$14&amp;"'!B2:B1000")=$B58) * (INDIRECT("'"&amp;G$14&amp;"'!C2:C1000")=$C58)
        ),
        5,
        FALSE
    )=0,
    "",
    VLOOKUP(
        $A58,
        _xlfn._xlws.FILTER(
            INDIRECT("'"&amp;G$14&amp;"'!A2:E1000"), (INDIRECT("'"&amp;G$14&amp;"'!B2:B1000")=$B58) * (INDIRECT("'"&amp;G$14&amp;"'!C2:C1000")=$C58)
        ),
        5,
        FALSE
    )
)</f>
        <v/>
      </c>
      <c r="H58" s="103">
        <f t="array" ref="H58">IF(
    VLOOKUP(
        $A58,
        _xlfn._xlws.FILTER(
            INDIRECT("'"&amp;H$14&amp;"'!A2:E1000"), (INDIRECT("'"&amp;H$14&amp;"'!B2:B1000")=$B58) * (INDIRECT("'"&amp;H$14&amp;"'!C2:C1000")=$C58)
        ),
        5,
        FALSE
    )=0,
    "",
    VLOOKUP(
        $A58,
        _xlfn._xlws.FILTER(
            INDIRECT("'"&amp;H$14&amp;"'!A2:E1000"), (INDIRECT("'"&amp;H$14&amp;"'!B2:B1000")=$B58) * (INDIRECT("'"&amp;H$14&amp;"'!C2:C1000")=$C58)
        ),
        5,
        FALSE
    )
)</f>
        <v/>
      </c>
      <c r="I58" s="103">
        <f t="array" ref="I58">IF(
    VLOOKUP(
        $A58,
        _xlfn._xlws.FILTER(
            INDIRECT("'"&amp;I$14&amp;"'!A2:E1000"), (INDIRECT("'"&amp;I$14&amp;"'!B2:B1000")=$B58) * (INDIRECT("'"&amp;I$14&amp;"'!C2:C1000")=$C58)
        ),
        5,
        FALSE
    )=0,
    "",
    VLOOKUP(
        $A58,
        _xlfn._xlws.FILTER(
            INDIRECT("'"&amp;I$14&amp;"'!A2:E1000"), (INDIRECT("'"&amp;I$14&amp;"'!B2:B1000")=$B58) * (INDIRECT("'"&amp;I$14&amp;"'!C2:C1000")=$C58)
        ),
        5,
        FALSE
    )
)</f>
        <v/>
      </c>
      <c r="J58" s="103">
        <f t="array" ref="J58">IF(
    VLOOKUP(
        $A58,
        _xlfn._xlws.FILTER(
            INDIRECT("'"&amp;J$14&amp;"'!A2:E1000"), (INDIRECT("'"&amp;J$14&amp;"'!B2:B1000")=$B58) * (INDIRECT("'"&amp;J$14&amp;"'!C2:C1000")=$C58)
        ),
        5,
        FALSE
    )=0,
    "",
    VLOOKUP(
        $A58,
        _xlfn._xlws.FILTER(
            INDIRECT("'"&amp;J$14&amp;"'!A2:E1000"), (INDIRECT("'"&amp;J$14&amp;"'!B2:B1000")=$B58) * (INDIRECT("'"&amp;J$14&amp;"'!C2:C1000")=$C58)
        ),
        5,
        FALSE
    )
)</f>
        <v/>
      </c>
      <c r="K58" s="103">
        <f t="array" ref="K58">IF(
    VLOOKUP(
        $A58,
        _xlfn._xlws.FILTER(
            INDIRECT("'"&amp;K$14&amp;"'!A2:E1000"), (INDIRECT("'"&amp;K$14&amp;"'!B2:B1000")=$B58) * (INDIRECT("'"&amp;K$14&amp;"'!C2:C1000")=$C58)
        ),
        5,
        FALSE
    )=0,
    "",
    VLOOKUP(
        $A58,
        _xlfn._xlws.FILTER(
            INDIRECT("'"&amp;K$14&amp;"'!A2:E1000"), (INDIRECT("'"&amp;K$14&amp;"'!B2:B1000")=$B58) * (INDIRECT("'"&amp;K$14&amp;"'!C2:C1000")=$C58)
        ),
        5,
        FALSE
    )
)</f>
        <v/>
      </c>
      <c r="L58" s="103">
        <f t="array" ref="L58">IF(
    VLOOKUP(
        $A58,
        _xlfn._xlws.FILTER(
            INDIRECT("'"&amp;L$14&amp;"'!A2:E1000"), (INDIRECT("'"&amp;L$14&amp;"'!B2:B1000")=$B58) * (INDIRECT("'"&amp;L$14&amp;"'!C2:C1000")=$C58)
        ),
        5,
        FALSE
    )=0,
    "",
    VLOOKUP(
        $A58,
        _xlfn._xlws.FILTER(
            INDIRECT("'"&amp;L$14&amp;"'!A2:E1000"), (INDIRECT("'"&amp;L$14&amp;"'!B2:B1000")=$B58) * (INDIRECT("'"&amp;L$14&amp;"'!C2:C1000")=$C58)
        ),
        5,
        FALSE
    )
)</f>
        <v/>
      </c>
      <c r="M58" s="103">
        <f t="array" ref="M58">IF(
    VLOOKUP(
        $A58,
        _xlfn._xlws.FILTER(
            INDIRECT("'"&amp;M$14&amp;"'!A2:E1000"), (INDIRECT("'"&amp;M$14&amp;"'!B2:B1000")=$B58) * (INDIRECT("'"&amp;M$14&amp;"'!C2:C1000")=$C58)
        ),
        5,
        FALSE
    )=0,
    "",
    VLOOKUP(
        $A58,
        _xlfn._xlws.FILTER(
            INDIRECT("'"&amp;M$14&amp;"'!A2:E1000"), (INDIRECT("'"&amp;M$14&amp;"'!B2:B1000")=$B58) * (INDIRECT("'"&amp;M$14&amp;"'!C2:C1000")=$C58)
        ),
        5,
        FALSE
    )
)</f>
        <v/>
      </c>
      <c r="N58" s="103">
        <f t="array" ref="N58">IF(
    VLOOKUP(
        $A58,
        _xlfn._xlws.FILTER(
            INDIRECT("'"&amp;N$14&amp;"'!A2:E1000"), (INDIRECT("'"&amp;N$14&amp;"'!B2:B1000")=$B58) * (INDIRECT("'"&amp;N$14&amp;"'!C2:C1000")=$C58)
        ),
        5,
        FALSE
    )=0,
    "",
    VLOOKUP(
        $A58,
        _xlfn._xlws.FILTER(
            INDIRECT("'"&amp;N$14&amp;"'!A2:E1000"), (INDIRECT("'"&amp;N$14&amp;"'!B2:B1000")=$B58) * (INDIRECT("'"&amp;N$14&amp;"'!C2:C1000")=$C58)
        ),
        5,
        FALSE
    )
)</f>
        <v/>
      </c>
      <c r="O58" s="103">
        <f t="array" ref="O58">IF(
    VLOOKUP(
        $A58,
        _xlfn._xlws.FILTER(
            INDIRECT("'"&amp;O$14&amp;"'!A2:E1000"), (INDIRECT("'"&amp;O$14&amp;"'!B2:B1000")=$B58) * (INDIRECT("'"&amp;O$14&amp;"'!C2:C1000")=$C58)
        ),
        5,
        FALSE
    )=0,
    "",
    VLOOKUP(
        $A58,
        _xlfn._xlws.FILTER(
            INDIRECT("'"&amp;O$14&amp;"'!A2:E1000"), (INDIRECT("'"&amp;O$14&amp;"'!B2:B1000")=$B58) * (INDIRECT("'"&amp;O$14&amp;"'!C2:C1000")=$C58)
        ),
        5,
        FALSE
    )
)</f>
        <v/>
      </c>
      <c r="P58" s="103">
        <f t="array" ref="P58">IF(
    VLOOKUP(
        $A58,
        _xlfn._xlws.FILTER(
            INDIRECT("'"&amp;P$14&amp;"'!A2:E1000"), (INDIRECT("'"&amp;P$14&amp;"'!B2:B1000")=$B58) * (INDIRECT("'"&amp;P$14&amp;"'!C2:C1000")=$C58)
        ),
        5,
        FALSE
    )=0,
    "",
    VLOOKUP(
        $A58,
        _xlfn._xlws.FILTER(
            INDIRECT("'"&amp;P$14&amp;"'!A2:E1000"), (INDIRECT("'"&amp;P$14&amp;"'!B2:B1000")=$B58) * (INDIRECT("'"&amp;P$14&amp;"'!C2:C1000")=$C58)
        ),
        5,
        FALSE
    )
)</f>
        <v/>
      </c>
      <c r="Q58" s="103">
        <f t="array" ref="Q58">IF(
    VLOOKUP(
        $A58,
        _xlfn._xlws.FILTER(
            INDIRECT("'"&amp;Q$14&amp;"'!A2:E1000"), (INDIRECT("'"&amp;Q$14&amp;"'!B2:B1000")=$B58) * (INDIRECT("'"&amp;Q$14&amp;"'!C2:C1000")=$C58)
        ),
        5,
        FALSE
    )=0,
    "",
    VLOOKUP(
        $A58,
        _xlfn._xlws.FILTER(
            INDIRECT("'"&amp;Q$14&amp;"'!A2:E1000"), (INDIRECT("'"&amp;Q$14&amp;"'!B2:B1000")=$B58) * (INDIRECT("'"&amp;Q$14&amp;"'!C2:C1000")=$C58)
        ),
        5,
        FALSE
    )
)</f>
        <v/>
      </c>
    </row>
    <row r="59">
      <c r="A59" s="56" t="inlineStr">
        <is>
          <t>Luana</t>
        </is>
      </c>
      <c r="B59" s="50" t="inlineStr">
        <is>
          <t>Marechal Candido Rondon</t>
        </is>
      </c>
      <c r="C59" s="50" t="n">
        <v>1</v>
      </c>
      <c r="D59" s="103">
        <f t="array" ref="D59">IF(
    VLOOKUP(
        $A59,
        _xlfn._xlws.FILTER(
            INDIRECT("'"&amp;D$14&amp;"'!A2:E1000"), (INDIRECT("'"&amp;D$14&amp;"'!B2:B1000")=$B59) * (INDIRECT("'"&amp;D$14&amp;"'!C2:C1000")=$C59)
        ),
        5,
        FALSE
    )=0,
    "",
    VLOOKUP(
        $A59,
        _xlfn._xlws.FILTER(
            INDIRECT("'"&amp;D$14&amp;"'!A2:E1000"), (INDIRECT("'"&amp;D$14&amp;"'!B2:B1000")=$B59) * (INDIRECT("'"&amp;D$14&amp;"'!C2:C1000")=$C59)
        ),
        5,
        FALSE
    )
)</f>
        <v/>
      </c>
      <c r="E59" s="103">
        <f t="array" ref="E59">IF(
    VLOOKUP(
        $A59,
        _xlfn._xlws.FILTER(
            INDIRECT("'"&amp;E$14&amp;"'!A2:E1000"), (INDIRECT("'"&amp;E$14&amp;"'!B2:B1000")=$B59) * (INDIRECT("'"&amp;E$14&amp;"'!C2:C1000")=$C59)
        ),
        5,
        FALSE
    )=0,
    "",
    VLOOKUP(
        $A59,
        _xlfn._xlws.FILTER(
            INDIRECT("'"&amp;E$14&amp;"'!A2:E1000"), (INDIRECT("'"&amp;E$14&amp;"'!B2:B1000")=$B59) * (INDIRECT("'"&amp;E$14&amp;"'!C2:C1000")=$C59)
        ),
        5,
        FALSE
    )
)</f>
        <v/>
      </c>
      <c r="F59" s="103">
        <f t="array" ref="F59">IF(
    VLOOKUP(
        $A59,
        _xlfn._xlws.FILTER(
            INDIRECT("'"&amp;F$14&amp;"'!A2:E1000"), (INDIRECT("'"&amp;F$14&amp;"'!B2:B1000")=$B59) * (INDIRECT("'"&amp;F$14&amp;"'!C2:C1000")=$C59)
        ),
        5,
        FALSE
    )=0,
    "",
    VLOOKUP(
        $A59,
        _xlfn._xlws.FILTER(
            INDIRECT("'"&amp;F$14&amp;"'!A2:E1000"), (INDIRECT("'"&amp;F$14&amp;"'!B2:B1000")=$B59) * (INDIRECT("'"&amp;F$14&amp;"'!C2:C1000")=$C59)
        ),
        5,
        FALSE
    )
)</f>
        <v/>
      </c>
      <c r="G59" s="103">
        <f t="array" ref="G59">IF(
    VLOOKUP(
        $A59,
        _xlfn._xlws.FILTER(
            INDIRECT("'"&amp;G$14&amp;"'!A2:E1000"), (INDIRECT("'"&amp;G$14&amp;"'!B2:B1000")=$B59) * (INDIRECT("'"&amp;G$14&amp;"'!C2:C1000")=$C59)
        ),
        5,
        FALSE
    )=0,
    "",
    VLOOKUP(
        $A59,
        _xlfn._xlws.FILTER(
            INDIRECT("'"&amp;G$14&amp;"'!A2:E1000"), (INDIRECT("'"&amp;G$14&amp;"'!B2:B1000")=$B59) * (INDIRECT("'"&amp;G$14&amp;"'!C2:C1000")=$C59)
        ),
        5,
        FALSE
    )
)</f>
        <v/>
      </c>
      <c r="H59" s="103">
        <f t="array" ref="H59">IF(
    VLOOKUP(
        $A59,
        _xlfn._xlws.FILTER(
            INDIRECT("'"&amp;H$14&amp;"'!A2:E1000"), (INDIRECT("'"&amp;H$14&amp;"'!B2:B1000")=$B59) * (INDIRECT("'"&amp;H$14&amp;"'!C2:C1000")=$C59)
        ),
        5,
        FALSE
    )=0,
    "",
    VLOOKUP(
        $A59,
        _xlfn._xlws.FILTER(
            INDIRECT("'"&amp;H$14&amp;"'!A2:E1000"), (INDIRECT("'"&amp;H$14&amp;"'!B2:B1000")=$B59) * (INDIRECT("'"&amp;H$14&amp;"'!C2:C1000")=$C59)
        ),
        5,
        FALSE
    )
)</f>
        <v/>
      </c>
      <c r="I59" s="103">
        <f t="array" ref="I59">IF(
    VLOOKUP(
        $A59,
        _xlfn._xlws.FILTER(
            INDIRECT("'"&amp;I$14&amp;"'!A2:E1000"), (INDIRECT("'"&amp;I$14&amp;"'!B2:B1000")=$B59) * (INDIRECT("'"&amp;I$14&amp;"'!C2:C1000")=$C59)
        ),
        5,
        FALSE
    )=0,
    "",
    VLOOKUP(
        $A59,
        _xlfn._xlws.FILTER(
            INDIRECT("'"&amp;I$14&amp;"'!A2:E1000"), (INDIRECT("'"&amp;I$14&amp;"'!B2:B1000")=$B59) * (INDIRECT("'"&amp;I$14&amp;"'!C2:C1000")=$C59)
        ),
        5,
        FALSE
    )
)</f>
        <v/>
      </c>
      <c r="J59" s="103">
        <f t="array" ref="J59">IF(
    VLOOKUP(
        $A59,
        _xlfn._xlws.FILTER(
            INDIRECT("'"&amp;J$14&amp;"'!A2:E1000"), (INDIRECT("'"&amp;J$14&amp;"'!B2:B1000")=$B59) * (INDIRECT("'"&amp;J$14&amp;"'!C2:C1000")=$C59)
        ),
        5,
        FALSE
    )=0,
    "",
    VLOOKUP(
        $A59,
        _xlfn._xlws.FILTER(
            INDIRECT("'"&amp;J$14&amp;"'!A2:E1000"), (INDIRECT("'"&amp;J$14&amp;"'!B2:B1000")=$B59) * (INDIRECT("'"&amp;J$14&amp;"'!C2:C1000")=$C59)
        ),
        5,
        FALSE
    )
)</f>
        <v/>
      </c>
      <c r="K59" s="103">
        <f t="array" ref="K59">IF(
    VLOOKUP(
        $A59,
        _xlfn._xlws.FILTER(
            INDIRECT("'"&amp;K$14&amp;"'!A2:E1000"), (INDIRECT("'"&amp;K$14&amp;"'!B2:B1000")=$B59) * (INDIRECT("'"&amp;K$14&amp;"'!C2:C1000")=$C59)
        ),
        5,
        FALSE
    )=0,
    "",
    VLOOKUP(
        $A59,
        _xlfn._xlws.FILTER(
            INDIRECT("'"&amp;K$14&amp;"'!A2:E1000"), (INDIRECT("'"&amp;K$14&amp;"'!B2:B1000")=$B59) * (INDIRECT("'"&amp;K$14&amp;"'!C2:C1000")=$C59)
        ),
        5,
        FALSE
    )
)</f>
        <v/>
      </c>
      <c r="L59" s="103">
        <f t="array" ref="L59">IF(
    VLOOKUP(
        $A59,
        _xlfn._xlws.FILTER(
            INDIRECT("'"&amp;L$14&amp;"'!A2:E1000"), (INDIRECT("'"&amp;L$14&amp;"'!B2:B1000")=$B59) * (INDIRECT("'"&amp;L$14&amp;"'!C2:C1000")=$C59)
        ),
        5,
        FALSE
    )=0,
    "",
    VLOOKUP(
        $A59,
        _xlfn._xlws.FILTER(
            INDIRECT("'"&amp;L$14&amp;"'!A2:E1000"), (INDIRECT("'"&amp;L$14&amp;"'!B2:B1000")=$B59) * (INDIRECT("'"&amp;L$14&amp;"'!C2:C1000")=$C59)
        ),
        5,
        FALSE
    )
)</f>
        <v/>
      </c>
      <c r="M59" s="103">
        <f t="array" ref="M59">IF(
    VLOOKUP(
        $A59,
        _xlfn._xlws.FILTER(
            INDIRECT("'"&amp;M$14&amp;"'!A2:E1000"), (INDIRECT("'"&amp;M$14&amp;"'!B2:B1000")=$B59) * (INDIRECT("'"&amp;M$14&amp;"'!C2:C1000")=$C59)
        ),
        5,
        FALSE
    )=0,
    "",
    VLOOKUP(
        $A59,
        _xlfn._xlws.FILTER(
            INDIRECT("'"&amp;M$14&amp;"'!A2:E1000"), (INDIRECT("'"&amp;M$14&amp;"'!B2:B1000")=$B59) * (INDIRECT("'"&amp;M$14&amp;"'!C2:C1000")=$C59)
        ),
        5,
        FALSE
    )
)</f>
        <v/>
      </c>
      <c r="N59" s="103">
        <f t="array" ref="N59">IF(
    VLOOKUP(
        $A59,
        _xlfn._xlws.FILTER(
            INDIRECT("'"&amp;N$14&amp;"'!A2:E1000"), (INDIRECT("'"&amp;N$14&amp;"'!B2:B1000")=$B59) * (INDIRECT("'"&amp;N$14&amp;"'!C2:C1000")=$C59)
        ),
        5,
        FALSE
    )=0,
    "",
    VLOOKUP(
        $A59,
        _xlfn._xlws.FILTER(
            INDIRECT("'"&amp;N$14&amp;"'!A2:E1000"), (INDIRECT("'"&amp;N$14&amp;"'!B2:B1000")=$B59) * (INDIRECT("'"&amp;N$14&amp;"'!C2:C1000")=$C59)
        ),
        5,
        FALSE
    )
)</f>
        <v/>
      </c>
      <c r="O59" s="103">
        <f t="array" ref="O59">IF(
    VLOOKUP(
        $A59,
        _xlfn._xlws.FILTER(
            INDIRECT("'"&amp;O$14&amp;"'!A2:E1000"), (INDIRECT("'"&amp;O$14&amp;"'!B2:B1000")=$B59) * (INDIRECT("'"&amp;O$14&amp;"'!C2:C1000")=$C59)
        ),
        5,
        FALSE
    )=0,
    "",
    VLOOKUP(
        $A59,
        _xlfn._xlws.FILTER(
            INDIRECT("'"&amp;O$14&amp;"'!A2:E1000"), (INDIRECT("'"&amp;O$14&amp;"'!B2:B1000")=$B59) * (INDIRECT("'"&amp;O$14&amp;"'!C2:C1000")=$C59)
        ),
        5,
        FALSE
    )
)</f>
        <v/>
      </c>
      <c r="P59" s="103">
        <f t="array" ref="P59">IF(
    VLOOKUP(
        $A59,
        _xlfn._xlws.FILTER(
            INDIRECT("'"&amp;P$14&amp;"'!A2:E1000"), (INDIRECT("'"&amp;P$14&amp;"'!B2:B1000")=$B59) * (INDIRECT("'"&amp;P$14&amp;"'!C2:C1000")=$C59)
        ),
        5,
        FALSE
    )=0,
    "",
    VLOOKUP(
        $A59,
        _xlfn._xlws.FILTER(
            INDIRECT("'"&amp;P$14&amp;"'!A2:E1000"), (INDIRECT("'"&amp;P$14&amp;"'!B2:B1000")=$B59) * (INDIRECT("'"&amp;P$14&amp;"'!C2:C1000")=$C59)
        ),
        5,
        FALSE
    )
)</f>
        <v/>
      </c>
      <c r="Q59" s="103">
        <f t="array" ref="Q59">IF(
    VLOOKUP(
        $A59,
        _xlfn._xlws.FILTER(
            INDIRECT("'"&amp;Q$14&amp;"'!A2:E1000"), (INDIRECT("'"&amp;Q$14&amp;"'!B2:B1000")=$B59) * (INDIRECT("'"&amp;Q$14&amp;"'!C2:C1000")=$C59)
        ),
        5,
        FALSE
    )=0,
    "",
    VLOOKUP(
        $A59,
        _xlfn._xlws.FILTER(
            INDIRECT("'"&amp;Q$14&amp;"'!A2:E1000"), (INDIRECT("'"&amp;Q$14&amp;"'!B2:B1000")=$B59) * (INDIRECT("'"&amp;Q$14&amp;"'!C2:C1000")=$C59)
        ),
        5,
        FALSE
    )
)</f>
        <v/>
      </c>
    </row>
    <row r="60">
      <c r="A60" s="56" t="inlineStr">
        <is>
          <t>Luana</t>
        </is>
      </c>
      <c r="B60" s="50" t="inlineStr">
        <is>
          <t>Marechal Candido Rondon</t>
        </is>
      </c>
      <c r="C60" s="50" t="n">
        <v>2</v>
      </c>
      <c r="D60" s="103">
        <f t="array" ref="D60">IF(
    VLOOKUP(
        $A60,
        _xlfn._xlws.FILTER(
            INDIRECT("'"&amp;D$14&amp;"'!A2:E1000"), (INDIRECT("'"&amp;D$14&amp;"'!B2:B1000")=$B60) * (INDIRECT("'"&amp;D$14&amp;"'!C2:C1000")=$C60)
        ),
        5,
        FALSE
    )=0,
    "",
    VLOOKUP(
        $A60,
        _xlfn._xlws.FILTER(
            INDIRECT("'"&amp;D$14&amp;"'!A2:E1000"), (INDIRECT("'"&amp;D$14&amp;"'!B2:B1000")=$B60) * (INDIRECT("'"&amp;D$14&amp;"'!C2:C1000")=$C60)
        ),
        5,
        FALSE
    )
)</f>
        <v/>
      </c>
      <c r="E60" s="103">
        <f t="array" ref="E60">IF(
    VLOOKUP(
        $A60,
        _xlfn._xlws.FILTER(
            INDIRECT("'"&amp;E$14&amp;"'!A2:E1000"), (INDIRECT("'"&amp;E$14&amp;"'!B2:B1000")=$B60) * (INDIRECT("'"&amp;E$14&amp;"'!C2:C1000")=$C60)
        ),
        5,
        FALSE
    )=0,
    "",
    VLOOKUP(
        $A60,
        _xlfn._xlws.FILTER(
            INDIRECT("'"&amp;E$14&amp;"'!A2:E1000"), (INDIRECT("'"&amp;E$14&amp;"'!B2:B1000")=$B60) * (INDIRECT("'"&amp;E$14&amp;"'!C2:C1000")=$C60)
        ),
        5,
        FALSE
    )
)</f>
        <v/>
      </c>
      <c r="F60" s="103">
        <f t="array" ref="F60">IF(
    VLOOKUP(
        $A60,
        _xlfn._xlws.FILTER(
            INDIRECT("'"&amp;F$14&amp;"'!A2:E1000"), (INDIRECT("'"&amp;F$14&amp;"'!B2:B1000")=$B60) * (INDIRECT("'"&amp;F$14&amp;"'!C2:C1000")=$C60)
        ),
        5,
        FALSE
    )=0,
    "",
    VLOOKUP(
        $A60,
        _xlfn._xlws.FILTER(
            INDIRECT("'"&amp;F$14&amp;"'!A2:E1000"), (INDIRECT("'"&amp;F$14&amp;"'!B2:B1000")=$B60) * (INDIRECT("'"&amp;F$14&amp;"'!C2:C1000")=$C60)
        ),
        5,
        FALSE
    )
)</f>
        <v/>
      </c>
      <c r="G60" s="103">
        <f t="array" ref="G60">IF(
    VLOOKUP(
        $A60,
        _xlfn._xlws.FILTER(
            INDIRECT("'"&amp;G$14&amp;"'!A2:E1000"), (INDIRECT("'"&amp;G$14&amp;"'!B2:B1000")=$B60) * (INDIRECT("'"&amp;G$14&amp;"'!C2:C1000")=$C60)
        ),
        5,
        FALSE
    )=0,
    "",
    VLOOKUP(
        $A60,
        _xlfn._xlws.FILTER(
            INDIRECT("'"&amp;G$14&amp;"'!A2:E1000"), (INDIRECT("'"&amp;G$14&amp;"'!B2:B1000")=$B60) * (INDIRECT("'"&amp;G$14&amp;"'!C2:C1000")=$C60)
        ),
        5,
        FALSE
    )
)</f>
        <v/>
      </c>
      <c r="H60" s="103">
        <f t="array" ref="H60">IF(
    VLOOKUP(
        $A60,
        _xlfn._xlws.FILTER(
            INDIRECT("'"&amp;H$14&amp;"'!A2:E1000"), (INDIRECT("'"&amp;H$14&amp;"'!B2:B1000")=$B60) * (INDIRECT("'"&amp;H$14&amp;"'!C2:C1000")=$C60)
        ),
        5,
        FALSE
    )=0,
    "",
    VLOOKUP(
        $A60,
        _xlfn._xlws.FILTER(
            INDIRECT("'"&amp;H$14&amp;"'!A2:E1000"), (INDIRECT("'"&amp;H$14&amp;"'!B2:B1000")=$B60) * (INDIRECT("'"&amp;H$14&amp;"'!C2:C1000")=$C60)
        ),
        5,
        FALSE
    )
)</f>
        <v/>
      </c>
      <c r="I60" s="103">
        <f t="array" ref="I60">IF(
    VLOOKUP(
        $A60,
        _xlfn._xlws.FILTER(
            INDIRECT("'"&amp;I$14&amp;"'!A2:E1000"), (INDIRECT("'"&amp;I$14&amp;"'!B2:B1000")=$B60) * (INDIRECT("'"&amp;I$14&amp;"'!C2:C1000")=$C60)
        ),
        5,
        FALSE
    )=0,
    "",
    VLOOKUP(
        $A60,
        _xlfn._xlws.FILTER(
            INDIRECT("'"&amp;I$14&amp;"'!A2:E1000"), (INDIRECT("'"&amp;I$14&amp;"'!B2:B1000")=$B60) * (INDIRECT("'"&amp;I$14&amp;"'!C2:C1000")=$C60)
        ),
        5,
        FALSE
    )
)</f>
        <v/>
      </c>
      <c r="J60" s="103">
        <f t="array" ref="J60">IF(
    VLOOKUP(
        $A60,
        _xlfn._xlws.FILTER(
            INDIRECT("'"&amp;J$14&amp;"'!A2:E1000"), (INDIRECT("'"&amp;J$14&amp;"'!B2:B1000")=$B60) * (INDIRECT("'"&amp;J$14&amp;"'!C2:C1000")=$C60)
        ),
        5,
        FALSE
    )=0,
    "",
    VLOOKUP(
        $A60,
        _xlfn._xlws.FILTER(
            INDIRECT("'"&amp;J$14&amp;"'!A2:E1000"), (INDIRECT("'"&amp;J$14&amp;"'!B2:B1000")=$B60) * (INDIRECT("'"&amp;J$14&amp;"'!C2:C1000")=$C60)
        ),
        5,
        FALSE
    )
)</f>
        <v/>
      </c>
      <c r="K60" s="103">
        <f t="array" ref="K60">IF(
    VLOOKUP(
        $A60,
        _xlfn._xlws.FILTER(
            INDIRECT("'"&amp;K$14&amp;"'!A2:E1000"), (INDIRECT("'"&amp;K$14&amp;"'!B2:B1000")=$B60) * (INDIRECT("'"&amp;K$14&amp;"'!C2:C1000")=$C60)
        ),
        5,
        FALSE
    )=0,
    "",
    VLOOKUP(
        $A60,
        _xlfn._xlws.FILTER(
            INDIRECT("'"&amp;K$14&amp;"'!A2:E1000"), (INDIRECT("'"&amp;K$14&amp;"'!B2:B1000")=$B60) * (INDIRECT("'"&amp;K$14&amp;"'!C2:C1000")=$C60)
        ),
        5,
        FALSE
    )
)</f>
        <v/>
      </c>
      <c r="L60" s="103">
        <f t="array" ref="L60">IF(
    VLOOKUP(
        $A60,
        _xlfn._xlws.FILTER(
            INDIRECT("'"&amp;L$14&amp;"'!A2:E1000"), (INDIRECT("'"&amp;L$14&amp;"'!B2:B1000")=$B60) * (INDIRECT("'"&amp;L$14&amp;"'!C2:C1000")=$C60)
        ),
        5,
        FALSE
    )=0,
    "",
    VLOOKUP(
        $A60,
        _xlfn._xlws.FILTER(
            INDIRECT("'"&amp;L$14&amp;"'!A2:E1000"), (INDIRECT("'"&amp;L$14&amp;"'!B2:B1000")=$B60) * (INDIRECT("'"&amp;L$14&amp;"'!C2:C1000")=$C60)
        ),
        5,
        FALSE
    )
)</f>
        <v/>
      </c>
      <c r="M60" s="103">
        <f t="array" ref="M60">IF(
    VLOOKUP(
        $A60,
        _xlfn._xlws.FILTER(
            INDIRECT("'"&amp;M$14&amp;"'!A2:E1000"), (INDIRECT("'"&amp;M$14&amp;"'!B2:B1000")=$B60) * (INDIRECT("'"&amp;M$14&amp;"'!C2:C1000")=$C60)
        ),
        5,
        FALSE
    )=0,
    "",
    VLOOKUP(
        $A60,
        _xlfn._xlws.FILTER(
            INDIRECT("'"&amp;M$14&amp;"'!A2:E1000"), (INDIRECT("'"&amp;M$14&amp;"'!B2:B1000")=$B60) * (INDIRECT("'"&amp;M$14&amp;"'!C2:C1000")=$C60)
        ),
        5,
        FALSE
    )
)</f>
        <v/>
      </c>
      <c r="N60" s="103">
        <f t="array" ref="N60">IF(
    VLOOKUP(
        $A60,
        _xlfn._xlws.FILTER(
            INDIRECT("'"&amp;N$14&amp;"'!A2:E1000"), (INDIRECT("'"&amp;N$14&amp;"'!B2:B1000")=$B60) * (INDIRECT("'"&amp;N$14&amp;"'!C2:C1000")=$C60)
        ),
        5,
        FALSE
    )=0,
    "",
    VLOOKUP(
        $A60,
        _xlfn._xlws.FILTER(
            INDIRECT("'"&amp;N$14&amp;"'!A2:E1000"), (INDIRECT("'"&amp;N$14&amp;"'!B2:B1000")=$B60) * (INDIRECT("'"&amp;N$14&amp;"'!C2:C1000")=$C60)
        ),
        5,
        FALSE
    )
)</f>
        <v/>
      </c>
      <c r="O60" s="103">
        <f t="array" ref="O60">IF(
    VLOOKUP(
        $A60,
        _xlfn._xlws.FILTER(
            INDIRECT("'"&amp;O$14&amp;"'!A2:E1000"), (INDIRECT("'"&amp;O$14&amp;"'!B2:B1000")=$B60) * (INDIRECT("'"&amp;O$14&amp;"'!C2:C1000")=$C60)
        ),
        5,
        FALSE
    )=0,
    "",
    VLOOKUP(
        $A60,
        _xlfn._xlws.FILTER(
            INDIRECT("'"&amp;O$14&amp;"'!A2:E1000"), (INDIRECT("'"&amp;O$14&amp;"'!B2:B1000")=$B60) * (INDIRECT("'"&amp;O$14&amp;"'!C2:C1000")=$C60)
        ),
        5,
        FALSE
    )
)</f>
        <v/>
      </c>
      <c r="P60" s="103">
        <f t="array" ref="P60">IF(
    VLOOKUP(
        $A60,
        _xlfn._xlws.FILTER(
            INDIRECT("'"&amp;P$14&amp;"'!A2:E1000"), (INDIRECT("'"&amp;P$14&amp;"'!B2:B1000")=$B60) * (INDIRECT("'"&amp;P$14&amp;"'!C2:C1000")=$C60)
        ),
        5,
        FALSE
    )=0,
    "",
    VLOOKUP(
        $A60,
        _xlfn._xlws.FILTER(
            INDIRECT("'"&amp;P$14&amp;"'!A2:E1000"), (INDIRECT("'"&amp;P$14&amp;"'!B2:B1000")=$B60) * (INDIRECT("'"&amp;P$14&amp;"'!C2:C1000")=$C60)
        ),
        5,
        FALSE
    )
)</f>
        <v/>
      </c>
      <c r="Q60" s="103">
        <f t="array" ref="Q60">IF(
    VLOOKUP(
        $A60,
        _xlfn._xlws.FILTER(
            INDIRECT("'"&amp;Q$14&amp;"'!A2:E1000"), (INDIRECT("'"&amp;Q$14&amp;"'!B2:B1000")=$B60) * (INDIRECT("'"&amp;Q$14&amp;"'!C2:C1000")=$C60)
        ),
        5,
        FALSE
    )=0,
    "",
    VLOOKUP(
        $A60,
        _xlfn._xlws.FILTER(
            INDIRECT("'"&amp;Q$14&amp;"'!A2:E1000"), (INDIRECT("'"&amp;Q$14&amp;"'!B2:B1000")=$B60) * (INDIRECT("'"&amp;Q$14&amp;"'!C2:C1000")=$C60)
        ),
        5,
        FALSE
    )
)</f>
        <v/>
      </c>
    </row>
    <row r="61">
      <c r="A61" s="56" t="inlineStr">
        <is>
          <t>Luana</t>
        </is>
      </c>
      <c r="B61" s="50" t="inlineStr">
        <is>
          <t>Matelândia</t>
        </is>
      </c>
      <c r="C61" s="50" t="n">
        <v>1</v>
      </c>
      <c r="D61" s="103">
        <f t="array" ref="D61">IF(
    VLOOKUP(
        $A61,
        _xlfn._xlws.FILTER(
            INDIRECT("'"&amp;D$14&amp;"'!A2:E1000"), (INDIRECT("'"&amp;D$14&amp;"'!B2:B1000")=$B61) * (INDIRECT("'"&amp;D$14&amp;"'!C2:C1000")=$C61)
        ),
        5,
        FALSE
    )=0,
    "",
    VLOOKUP(
        $A61,
        _xlfn._xlws.FILTER(
            INDIRECT("'"&amp;D$14&amp;"'!A2:E1000"), (INDIRECT("'"&amp;D$14&amp;"'!B2:B1000")=$B61) * (INDIRECT("'"&amp;D$14&amp;"'!C2:C1000")=$C61)
        ),
        5,
        FALSE
    )
)</f>
        <v/>
      </c>
      <c r="E61" s="103">
        <f t="array" ref="E61">IF(
    VLOOKUP(
        $A61,
        _xlfn._xlws.FILTER(
            INDIRECT("'"&amp;E$14&amp;"'!A2:E1000"), (INDIRECT("'"&amp;E$14&amp;"'!B2:B1000")=$B61) * (INDIRECT("'"&amp;E$14&amp;"'!C2:C1000")=$C61)
        ),
        5,
        FALSE
    )=0,
    "",
    VLOOKUP(
        $A61,
        _xlfn._xlws.FILTER(
            INDIRECT("'"&amp;E$14&amp;"'!A2:E1000"), (INDIRECT("'"&amp;E$14&amp;"'!B2:B1000")=$B61) * (INDIRECT("'"&amp;E$14&amp;"'!C2:C1000")=$C61)
        ),
        5,
        FALSE
    )
)</f>
        <v/>
      </c>
      <c r="F61" s="103">
        <f t="array" ref="F61">IF(
    VLOOKUP(
        $A61,
        _xlfn._xlws.FILTER(
            INDIRECT("'"&amp;F$14&amp;"'!A2:E1000"), (INDIRECT("'"&amp;F$14&amp;"'!B2:B1000")=$B61) * (INDIRECT("'"&amp;F$14&amp;"'!C2:C1000")=$C61)
        ),
        5,
        FALSE
    )=0,
    "",
    VLOOKUP(
        $A61,
        _xlfn._xlws.FILTER(
            INDIRECT("'"&amp;F$14&amp;"'!A2:E1000"), (INDIRECT("'"&amp;F$14&amp;"'!B2:B1000")=$B61) * (INDIRECT("'"&amp;F$14&amp;"'!C2:C1000")=$C61)
        ),
        5,
        FALSE
    )
)</f>
        <v/>
      </c>
      <c r="G61" s="103">
        <f t="array" ref="G61">IF(
    VLOOKUP(
        $A61,
        _xlfn._xlws.FILTER(
            INDIRECT("'"&amp;G$14&amp;"'!A2:E1000"), (INDIRECT("'"&amp;G$14&amp;"'!B2:B1000")=$B61) * (INDIRECT("'"&amp;G$14&amp;"'!C2:C1000")=$C61)
        ),
        5,
        FALSE
    )=0,
    "",
    VLOOKUP(
        $A61,
        _xlfn._xlws.FILTER(
            INDIRECT("'"&amp;G$14&amp;"'!A2:E1000"), (INDIRECT("'"&amp;G$14&amp;"'!B2:B1000")=$B61) * (INDIRECT("'"&amp;G$14&amp;"'!C2:C1000")=$C61)
        ),
        5,
        FALSE
    )
)</f>
        <v/>
      </c>
      <c r="H61" s="103">
        <f t="array" ref="H61">IF(
    VLOOKUP(
        $A61,
        _xlfn._xlws.FILTER(
            INDIRECT("'"&amp;H$14&amp;"'!A2:E1000"), (INDIRECT("'"&amp;H$14&amp;"'!B2:B1000")=$B61) * (INDIRECT("'"&amp;H$14&amp;"'!C2:C1000")=$C61)
        ),
        5,
        FALSE
    )=0,
    "",
    VLOOKUP(
        $A61,
        _xlfn._xlws.FILTER(
            INDIRECT("'"&amp;H$14&amp;"'!A2:E1000"), (INDIRECT("'"&amp;H$14&amp;"'!B2:B1000")=$B61) * (INDIRECT("'"&amp;H$14&amp;"'!C2:C1000")=$C61)
        ),
        5,
        FALSE
    )
)</f>
        <v/>
      </c>
      <c r="I61" s="103">
        <f t="array" ref="I61">IF(
    VLOOKUP(
        $A61,
        _xlfn._xlws.FILTER(
            INDIRECT("'"&amp;I$14&amp;"'!A2:E1000"), (INDIRECT("'"&amp;I$14&amp;"'!B2:B1000")=$B61) * (INDIRECT("'"&amp;I$14&amp;"'!C2:C1000")=$C61)
        ),
        5,
        FALSE
    )=0,
    "",
    VLOOKUP(
        $A61,
        _xlfn._xlws.FILTER(
            INDIRECT("'"&amp;I$14&amp;"'!A2:E1000"), (INDIRECT("'"&amp;I$14&amp;"'!B2:B1000")=$B61) * (INDIRECT("'"&amp;I$14&amp;"'!C2:C1000")=$C61)
        ),
        5,
        FALSE
    )
)</f>
        <v/>
      </c>
      <c r="J61" s="103">
        <f t="array" ref="J61">IF(
    VLOOKUP(
        $A61,
        _xlfn._xlws.FILTER(
            INDIRECT("'"&amp;J$14&amp;"'!A2:E1000"), (INDIRECT("'"&amp;J$14&amp;"'!B2:B1000")=$B61) * (INDIRECT("'"&amp;J$14&amp;"'!C2:C1000")=$C61)
        ),
        5,
        FALSE
    )=0,
    "",
    VLOOKUP(
        $A61,
        _xlfn._xlws.FILTER(
            INDIRECT("'"&amp;J$14&amp;"'!A2:E1000"), (INDIRECT("'"&amp;J$14&amp;"'!B2:B1000")=$B61) * (INDIRECT("'"&amp;J$14&amp;"'!C2:C1000")=$C61)
        ),
        5,
        FALSE
    )
)</f>
        <v/>
      </c>
      <c r="K61" s="103">
        <f t="array" ref="K61">IF(
    VLOOKUP(
        $A61,
        _xlfn._xlws.FILTER(
            INDIRECT("'"&amp;K$14&amp;"'!A2:E1000"), (INDIRECT("'"&amp;K$14&amp;"'!B2:B1000")=$B61) * (INDIRECT("'"&amp;K$14&amp;"'!C2:C1000")=$C61)
        ),
        5,
        FALSE
    )=0,
    "",
    VLOOKUP(
        $A61,
        _xlfn._xlws.FILTER(
            INDIRECT("'"&amp;K$14&amp;"'!A2:E1000"), (INDIRECT("'"&amp;K$14&amp;"'!B2:B1000")=$B61) * (INDIRECT("'"&amp;K$14&amp;"'!C2:C1000")=$C61)
        ),
        5,
        FALSE
    )
)</f>
        <v/>
      </c>
      <c r="L61" s="103">
        <f t="array" ref="L61">IF(
    VLOOKUP(
        $A61,
        _xlfn._xlws.FILTER(
            INDIRECT("'"&amp;L$14&amp;"'!A2:E1000"), (INDIRECT("'"&amp;L$14&amp;"'!B2:B1000")=$B61) * (INDIRECT("'"&amp;L$14&amp;"'!C2:C1000")=$C61)
        ),
        5,
        FALSE
    )=0,
    "",
    VLOOKUP(
        $A61,
        _xlfn._xlws.FILTER(
            INDIRECT("'"&amp;L$14&amp;"'!A2:E1000"), (INDIRECT("'"&amp;L$14&amp;"'!B2:B1000")=$B61) * (INDIRECT("'"&amp;L$14&amp;"'!C2:C1000")=$C61)
        ),
        5,
        FALSE
    )
)</f>
        <v/>
      </c>
      <c r="M61" s="103">
        <f t="array" ref="M61">IF(
    VLOOKUP(
        $A61,
        _xlfn._xlws.FILTER(
            INDIRECT("'"&amp;M$14&amp;"'!A2:E1000"), (INDIRECT("'"&amp;M$14&amp;"'!B2:B1000")=$B61) * (INDIRECT("'"&amp;M$14&amp;"'!C2:C1000")=$C61)
        ),
        5,
        FALSE
    )=0,
    "",
    VLOOKUP(
        $A61,
        _xlfn._xlws.FILTER(
            INDIRECT("'"&amp;M$14&amp;"'!A2:E1000"), (INDIRECT("'"&amp;M$14&amp;"'!B2:B1000")=$B61) * (INDIRECT("'"&amp;M$14&amp;"'!C2:C1000")=$C61)
        ),
        5,
        FALSE
    )
)</f>
        <v/>
      </c>
      <c r="N61" s="103">
        <f t="array" ref="N61">IF(
    VLOOKUP(
        $A61,
        _xlfn._xlws.FILTER(
            INDIRECT("'"&amp;N$14&amp;"'!A2:E1000"), (INDIRECT("'"&amp;N$14&amp;"'!B2:B1000")=$B61) * (INDIRECT("'"&amp;N$14&amp;"'!C2:C1000")=$C61)
        ),
        5,
        FALSE
    )=0,
    "",
    VLOOKUP(
        $A61,
        _xlfn._xlws.FILTER(
            INDIRECT("'"&amp;N$14&amp;"'!A2:E1000"), (INDIRECT("'"&amp;N$14&amp;"'!B2:B1000")=$B61) * (INDIRECT("'"&amp;N$14&amp;"'!C2:C1000")=$C61)
        ),
        5,
        FALSE
    )
)</f>
        <v/>
      </c>
      <c r="O61" s="103">
        <f t="array" ref="O61">IF(
    VLOOKUP(
        $A61,
        _xlfn._xlws.FILTER(
            INDIRECT("'"&amp;O$14&amp;"'!A2:E1000"), (INDIRECT("'"&amp;O$14&amp;"'!B2:B1000")=$B61) * (INDIRECT("'"&amp;O$14&amp;"'!C2:C1000")=$C61)
        ),
        5,
        FALSE
    )=0,
    "",
    VLOOKUP(
        $A61,
        _xlfn._xlws.FILTER(
            INDIRECT("'"&amp;O$14&amp;"'!A2:E1000"), (INDIRECT("'"&amp;O$14&amp;"'!B2:B1000")=$B61) * (INDIRECT("'"&amp;O$14&amp;"'!C2:C1000")=$C61)
        ),
        5,
        FALSE
    )
)</f>
        <v/>
      </c>
      <c r="P61" s="103">
        <f t="array" ref="P61">IF(
    VLOOKUP(
        $A61,
        _xlfn._xlws.FILTER(
            INDIRECT("'"&amp;P$14&amp;"'!A2:E1000"), (INDIRECT("'"&amp;P$14&amp;"'!B2:B1000")=$B61) * (INDIRECT("'"&amp;P$14&amp;"'!C2:C1000")=$C61)
        ),
        5,
        FALSE
    )=0,
    "",
    VLOOKUP(
        $A61,
        _xlfn._xlws.FILTER(
            INDIRECT("'"&amp;P$14&amp;"'!A2:E1000"), (INDIRECT("'"&amp;P$14&amp;"'!B2:B1000")=$B61) * (INDIRECT("'"&amp;P$14&amp;"'!C2:C1000")=$C61)
        ),
        5,
        FALSE
    )
)</f>
        <v/>
      </c>
      <c r="Q61" s="103">
        <f t="array" ref="Q61">IF(
    VLOOKUP(
        $A61,
        _xlfn._xlws.FILTER(
            INDIRECT("'"&amp;Q$14&amp;"'!A2:E1000"), (INDIRECT("'"&amp;Q$14&amp;"'!B2:B1000")=$B61) * (INDIRECT("'"&amp;Q$14&amp;"'!C2:C1000")=$C61)
        ),
        5,
        FALSE
    )=0,
    "",
    VLOOKUP(
        $A61,
        _xlfn._xlws.FILTER(
            INDIRECT("'"&amp;Q$14&amp;"'!A2:E1000"), (INDIRECT("'"&amp;Q$14&amp;"'!B2:B1000")=$B61) * (INDIRECT("'"&amp;Q$14&amp;"'!C2:C1000")=$C61)
        ),
        5,
        FALSE
    )
)</f>
        <v/>
      </c>
    </row>
    <row r="62">
      <c r="A62" s="56" t="inlineStr">
        <is>
          <t>Luana</t>
        </is>
      </c>
      <c r="B62" s="50" t="inlineStr">
        <is>
          <t>Missal</t>
        </is>
      </c>
      <c r="C62" s="50" t="n">
        <v>1</v>
      </c>
      <c r="D62" s="103">
        <f t="array" ref="D62">IF(
    VLOOKUP(
        $A62,
        _xlfn._xlws.FILTER(
            INDIRECT("'"&amp;D$14&amp;"'!A2:E1000"), (INDIRECT("'"&amp;D$14&amp;"'!B2:B1000")=$B62) * (INDIRECT("'"&amp;D$14&amp;"'!C2:C1000")=$C62)
        ),
        5,
        FALSE
    )=0,
    "",
    VLOOKUP(
        $A62,
        _xlfn._xlws.FILTER(
            INDIRECT("'"&amp;D$14&amp;"'!A2:E1000"), (INDIRECT("'"&amp;D$14&amp;"'!B2:B1000")=$B62) * (INDIRECT("'"&amp;D$14&amp;"'!C2:C1000")=$C62)
        ),
        5,
        FALSE
    )
)</f>
        <v/>
      </c>
      <c r="E62" s="103">
        <f t="array" ref="E62">IF(
    VLOOKUP(
        $A62,
        _xlfn._xlws.FILTER(
            INDIRECT("'"&amp;E$14&amp;"'!A2:E1000"), (INDIRECT("'"&amp;E$14&amp;"'!B2:B1000")=$B62) * (INDIRECT("'"&amp;E$14&amp;"'!C2:C1000")=$C62)
        ),
        5,
        FALSE
    )=0,
    "",
    VLOOKUP(
        $A62,
        _xlfn._xlws.FILTER(
            INDIRECT("'"&amp;E$14&amp;"'!A2:E1000"), (INDIRECT("'"&amp;E$14&amp;"'!B2:B1000")=$B62) * (INDIRECT("'"&amp;E$14&amp;"'!C2:C1000")=$C62)
        ),
        5,
        FALSE
    )
)</f>
        <v/>
      </c>
      <c r="F62" s="103">
        <f t="array" ref="F62">IF(
    VLOOKUP(
        $A62,
        _xlfn._xlws.FILTER(
            INDIRECT("'"&amp;F$14&amp;"'!A2:E1000"), (INDIRECT("'"&amp;F$14&amp;"'!B2:B1000")=$B62) * (INDIRECT("'"&amp;F$14&amp;"'!C2:C1000")=$C62)
        ),
        5,
        FALSE
    )=0,
    "",
    VLOOKUP(
        $A62,
        _xlfn._xlws.FILTER(
            INDIRECT("'"&amp;F$14&amp;"'!A2:E1000"), (INDIRECT("'"&amp;F$14&amp;"'!B2:B1000")=$B62) * (INDIRECT("'"&amp;F$14&amp;"'!C2:C1000")=$C62)
        ),
        5,
        FALSE
    )
)</f>
        <v/>
      </c>
      <c r="G62" s="103">
        <f t="array" ref="G62">IF(
    VLOOKUP(
        $A62,
        _xlfn._xlws.FILTER(
            INDIRECT("'"&amp;G$14&amp;"'!A2:E1000"), (INDIRECT("'"&amp;G$14&amp;"'!B2:B1000")=$B62) * (INDIRECT("'"&amp;G$14&amp;"'!C2:C1000")=$C62)
        ),
        5,
        FALSE
    )=0,
    "",
    VLOOKUP(
        $A62,
        _xlfn._xlws.FILTER(
            INDIRECT("'"&amp;G$14&amp;"'!A2:E1000"), (INDIRECT("'"&amp;G$14&amp;"'!B2:B1000")=$B62) * (INDIRECT("'"&amp;G$14&amp;"'!C2:C1000")=$C62)
        ),
        5,
        FALSE
    )
)</f>
        <v/>
      </c>
      <c r="H62" s="103">
        <f t="array" ref="H62">IF(
    VLOOKUP(
        $A62,
        _xlfn._xlws.FILTER(
            INDIRECT("'"&amp;H$14&amp;"'!A2:E1000"), (INDIRECT("'"&amp;H$14&amp;"'!B2:B1000")=$B62) * (INDIRECT("'"&amp;H$14&amp;"'!C2:C1000")=$C62)
        ),
        5,
        FALSE
    )=0,
    "",
    VLOOKUP(
        $A62,
        _xlfn._xlws.FILTER(
            INDIRECT("'"&amp;H$14&amp;"'!A2:E1000"), (INDIRECT("'"&amp;H$14&amp;"'!B2:B1000")=$B62) * (INDIRECT("'"&amp;H$14&amp;"'!C2:C1000")=$C62)
        ),
        5,
        FALSE
    )
)</f>
        <v/>
      </c>
      <c r="I62" s="103">
        <f t="array" ref="I62">IF(
    VLOOKUP(
        $A62,
        _xlfn._xlws.FILTER(
            INDIRECT("'"&amp;I$14&amp;"'!A2:E1000"), (INDIRECT("'"&amp;I$14&amp;"'!B2:B1000")=$B62) * (INDIRECT("'"&amp;I$14&amp;"'!C2:C1000")=$C62)
        ),
        5,
        FALSE
    )=0,
    "",
    VLOOKUP(
        $A62,
        _xlfn._xlws.FILTER(
            INDIRECT("'"&amp;I$14&amp;"'!A2:E1000"), (INDIRECT("'"&amp;I$14&amp;"'!B2:B1000")=$B62) * (INDIRECT("'"&amp;I$14&amp;"'!C2:C1000")=$C62)
        ),
        5,
        FALSE
    )
)</f>
        <v/>
      </c>
      <c r="J62" s="103">
        <f t="array" ref="J62">IF(
    VLOOKUP(
        $A62,
        _xlfn._xlws.FILTER(
            INDIRECT("'"&amp;J$14&amp;"'!A2:E1000"), (INDIRECT("'"&amp;J$14&amp;"'!B2:B1000")=$B62) * (INDIRECT("'"&amp;J$14&amp;"'!C2:C1000")=$C62)
        ),
        5,
        FALSE
    )=0,
    "",
    VLOOKUP(
        $A62,
        _xlfn._xlws.FILTER(
            INDIRECT("'"&amp;J$14&amp;"'!A2:E1000"), (INDIRECT("'"&amp;J$14&amp;"'!B2:B1000")=$B62) * (INDIRECT("'"&amp;J$14&amp;"'!C2:C1000")=$C62)
        ),
        5,
        FALSE
    )
)</f>
        <v/>
      </c>
      <c r="K62" s="103">
        <f t="array" ref="K62">IF(
    VLOOKUP(
        $A62,
        _xlfn._xlws.FILTER(
            INDIRECT("'"&amp;K$14&amp;"'!A2:E1000"), (INDIRECT("'"&amp;K$14&amp;"'!B2:B1000")=$B62) * (INDIRECT("'"&amp;K$14&amp;"'!C2:C1000")=$C62)
        ),
        5,
        FALSE
    )=0,
    "",
    VLOOKUP(
        $A62,
        _xlfn._xlws.FILTER(
            INDIRECT("'"&amp;K$14&amp;"'!A2:E1000"), (INDIRECT("'"&amp;K$14&amp;"'!B2:B1000")=$B62) * (INDIRECT("'"&amp;K$14&amp;"'!C2:C1000")=$C62)
        ),
        5,
        FALSE
    )
)</f>
        <v/>
      </c>
      <c r="L62" s="103">
        <f t="array" ref="L62">IF(
    VLOOKUP(
        $A62,
        _xlfn._xlws.FILTER(
            INDIRECT("'"&amp;L$14&amp;"'!A2:E1000"), (INDIRECT("'"&amp;L$14&amp;"'!B2:B1000")=$B62) * (INDIRECT("'"&amp;L$14&amp;"'!C2:C1000")=$C62)
        ),
        5,
        FALSE
    )=0,
    "",
    VLOOKUP(
        $A62,
        _xlfn._xlws.FILTER(
            INDIRECT("'"&amp;L$14&amp;"'!A2:E1000"), (INDIRECT("'"&amp;L$14&amp;"'!B2:B1000")=$B62) * (INDIRECT("'"&amp;L$14&amp;"'!C2:C1000")=$C62)
        ),
        5,
        FALSE
    )
)</f>
        <v/>
      </c>
      <c r="M62" s="103">
        <f t="array" ref="M62">IF(
    VLOOKUP(
        $A62,
        _xlfn._xlws.FILTER(
            INDIRECT("'"&amp;M$14&amp;"'!A2:E1000"), (INDIRECT("'"&amp;M$14&amp;"'!B2:B1000")=$B62) * (INDIRECT("'"&amp;M$14&amp;"'!C2:C1000")=$C62)
        ),
        5,
        FALSE
    )=0,
    "",
    VLOOKUP(
        $A62,
        _xlfn._xlws.FILTER(
            INDIRECT("'"&amp;M$14&amp;"'!A2:E1000"), (INDIRECT("'"&amp;M$14&amp;"'!B2:B1000")=$B62) * (INDIRECT("'"&amp;M$14&amp;"'!C2:C1000")=$C62)
        ),
        5,
        FALSE
    )
)</f>
        <v/>
      </c>
      <c r="N62" s="103">
        <f t="array" ref="N62">IF(
    VLOOKUP(
        $A62,
        _xlfn._xlws.FILTER(
            INDIRECT("'"&amp;N$14&amp;"'!A2:E1000"), (INDIRECT("'"&amp;N$14&amp;"'!B2:B1000")=$B62) * (INDIRECT("'"&amp;N$14&amp;"'!C2:C1000")=$C62)
        ),
        5,
        FALSE
    )=0,
    "",
    VLOOKUP(
        $A62,
        _xlfn._xlws.FILTER(
            INDIRECT("'"&amp;N$14&amp;"'!A2:E1000"), (INDIRECT("'"&amp;N$14&amp;"'!B2:B1000")=$B62) * (INDIRECT("'"&amp;N$14&amp;"'!C2:C1000")=$C62)
        ),
        5,
        FALSE
    )
)</f>
        <v/>
      </c>
      <c r="O62" s="103">
        <f t="array" ref="O62">IF(
    VLOOKUP(
        $A62,
        _xlfn._xlws.FILTER(
            INDIRECT("'"&amp;O$14&amp;"'!A2:E1000"), (INDIRECT("'"&amp;O$14&amp;"'!B2:B1000")=$B62) * (INDIRECT("'"&amp;O$14&amp;"'!C2:C1000")=$C62)
        ),
        5,
        FALSE
    )=0,
    "",
    VLOOKUP(
        $A62,
        _xlfn._xlws.FILTER(
            INDIRECT("'"&amp;O$14&amp;"'!A2:E1000"), (INDIRECT("'"&amp;O$14&amp;"'!B2:B1000")=$B62) * (INDIRECT("'"&amp;O$14&amp;"'!C2:C1000")=$C62)
        ),
        5,
        FALSE
    )
)</f>
        <v/>
      </c>
      <c r="P62" s="103">
        <f t="array" ref="P62">IF(
    VLOOKUP(
        $A62,
        _xlfn._xlws.FILTER(
            INDIRECT("'"&amp;P$14&amp;"'!A2:E1000"), (INDIRECT("'"&amp;P$14&amp;"'!B2:B1000")=$B62) * (INDIRECT("'"&amp;P$14&amp;"'!C2:C1000")=$C62)
        ),
        5,
        FALSE
    )=0,
    "",
    VLOOKUP(
        $A62,
        _xlfn._xlws.FILTER(
            INDIRECT("'"&amp;P$14&amp;"'!A2:E1000"), (INDIRECT("'"&amp;P$14&amp;"'!B2:B1000")=$B62) * (INDIRECT("'"&amp;P$14&amp;"'!C2:C1000")=$C62)
        ),
        5,
        FALSE
    )
)</f>
        <v/>
      </c>
      <c r="Q62" s="103">
        <f t="array" ref="Q62">IF(
    VLOOKUP(
        $A62,
        _xlfn._xlws.FILTER(
            INDIRECT("'"&amp;Q$14&amp;"'!A2:E1000"), (INDIRECT("'"&amp;Q$14&amp;"'!B2:B1000")=$B62) * (INDIRECT("'"&amp;Q$14&amp;"'!C2:C1000")=$C62)
        ),
        5,
        FALSE
    )=0,
    "",
    VLOOKUP(
        $A62,
        _xlfn._xlws.FILTER(
            INDIRECT("'"&amp;Q$14&amp;"'!A2:E1000"), (INDIRECT("'"&amp;Q$14&amp;"'!B2:B1000")=$B62) * (INDIRECT("'"&amp;Q$14&amp;"'!C2:C1000")=$C62)
        ),
        5,
        FALSE
    )
)</f>
        <v/>
      </c>
    </row>
    <row r="63">
      <c r="A63" s="56" t="inlineStr">
        <is>
          <t>Luana</t>
        </is>
      </c>
      <c r="B63" s="50" t="inlineStr">
        <is>
          <t>Pato Bragado</t>
        </is>
      </c>
      <c r="C63" s="50" t="n">
        <v>1</v>
      </c>
      <c r="D63" s="103">
        <f t="array" ref="D63">IF(
    VLOOKUP(
        $A63,
        _xlfn._xlws.FILTER(
            INDIRECT("'"&amp;D$14&amp;"'!A2:E1000"), (INDIRECT("'"&amp;D$14&amp;"'!B2:B1000")=$B63) * (INDIRECT("'"&amp;D$14&amp;"'!C2:C1000")=$C63)
        ),
        5,
        FALSE
    )=0,
    "",
    VLOOKUP(
        $A63,
        _xlfn._xlws.FILTER(
            INDIRECT("'"&amp;D$14&amp;"'!A2:E1000"), (INDIRECT("'"&amp;D$14&amp;"'!B2:B1000")=$B63) * (INDIRECT("'"&amp;D$14&amp;"'!C2:C1000")=$C63)
        ),
        5,
        FALSE
    )
)</f>
        <v/>
      </c>
      <c r="E63" s="103">
        <f t="array" ref="E63">IF(
    VLOOKUP(
        $A63,
        _xlfn._xlws.FILTER(
            INDIRECT("'"&amp;E$14&amp;"'!A2:E1000"), (INDIRECT("'"&amp;E$14&amp;"'!B2:B1000")=$B63) * (INDIRECT("'"&amp;E$14&amp;"'!C2:C1000")=$C63)
        ),
        5,
        FALSE
    )=0,
    "",
    VLOOKUP(
        $A63,
        _xlfn._xlws.FILTER(
            INDIRECT("'"&amp;E$14&amp;"'!A2:E1000"), (INDIRECT("'"&amp;E$14&amp;"'!B2:B1000")=$B63) * (INDIRECT("'"&amp;E$14&amp;"'!C2:C1000")=$C63)
        ),
        5,
        FALSE
    )
)</f>
        <v/>
      </c>
      <c r="F63" s="103">
        <f t="array" ref="F63">IF(
    VLOOKUP(
        $A63,
        _xlfn._xlws.FILTER(
            INDIRECT("'"&amp;F$14&amp;"'!A2:E1000"), (INDIRECT("'"&amp;F$14&amp;"'!B2:B1000")=$B63) * (INDIRECT("'"&amp;F$14&amp;"'!C2:C1000")=$C63)
        ),
        5,
        FALSE
    )=0,
    "",
    VLOOKUP(
        $A63,
        _xlfn._xlws.FILTER(
            INDIRECT("'"&amp;F$14&amp;"'!A2:E1000"), (INDIRECT("'"&amp;F$14&amp;"'!B2:B1000")=$B63) * (INDIRECT("'"&amp;F$14&amp;"'!C2:C1000")=$C63)
        ),
        5,
        FALSE
    )
)</f>
        <v/>
      </c>
      <c r="G63" s="103">
        <f t="array" ref="G63">IF(
    VLOOKUP(
        $A63,
        _xlfn._xlws.FILTER(
            INDIRECT("'"&amp;G$14&amp;"'!A2:E1000"), (INDIRECT("'"&amp;G$14&amp;"'!B2:B1000")=$B63) * (INDIRECT("'"&amp;G$14&amp;"'!C2:C1000")=$C63)
        ),
        5,
        FALSE
    )=0,
    "",
    VLOOKUP(
        $A63,
        _xlfn._xlws.FILTER(
            INDIRECT("'"&amp;G$14&amp;"'!A2:E1000"), (INDIRECT("'"&amp;G$14&amp;"'!B2:B1000")=$B63) * (INDIRECT("'"&amp;G$14&amp;"'!C2:C1000")=$C63)
        ),
        5,
        FALSE
    )
)</f>
        <v/>
      </c>
      <c r="H63" s="103">
        <f t="array" ref="H63">IF(
    VLOOKUP(
        $A63,
        _xlfn._xlws.FILTER(
            INDIRECT("'"&amp;H$14&amp;"'!A2:E1000"), (INDIRECT("'"&amp;H$14&amp;"'!B2:B1000")=$B63) * (INDIRECT("'"&amp;H$14&amp;"'!C2:C1000")=$C63)
        ),
        5,
        FALSE
    )=0,
    "",
    VLOOKUP(
        $A63,
        _xlfn._xlws.FILTER(
            INDIRECT("'"&amp;H$14&amp;"'!A2:E1000"), (INDIRECT("'"&amp;H$14&amp;"'!B2:B1000")=$B63) * (INDIRECT("'"&amp;H$14&amp;"'!C2:C1000")=$C63)
        ),
        5,
        FALSE
    )
)</f>
        <v/>
      </c>
      <c r="I63" s="103">
        <f t="array" ref="I63">IF(
    VLOOKUP(
        $A63,
        _xlfn._xlws.FILTER(
            INDIRECT("'"&amp;I$14&amp;"'!A2:E1000"), (INDIRECT("'"&amp;I$14&amp;"'!B2:B1000")=$B63) * (INDIRECT("'"&amp;I$14&amp;"'!C2:C1000")=$C63)
        ),
        5,
        FALSE
    )=0,
    "",
    VLOOKUP(
        $A63,
        _xlfn._xlws.FILTER(
            INDIRECT("'"&amp;I$14&amp;"'!A2:E1000"), (INDIRECT("'"&amp;I$14&amp;"'!B2:B1000")=$B63) * (INDIRECT("'"&amp;I$14&amp;"'!C2:C1000")=$C63)
        ),
        5,
        FALSE
    )
)</f>
        <v/>
      </c>
      <c r="J63" s="103">
        <f t="array" ref="J63">IF(
    VLOOKUP(
        $A63,
        _xlfn._xlws.FILTER(
            INDIRECT("'"&amp;J$14&amp;"'!A2:E1000"), (INDIRECT("'"&amp;J$14&amp;"'!B2:B1000")=$B63) * (INDIRECT("'"&amp;J$14&amp;"'!C2:C1000")=$C63)
        ),
        5,
        FALSE
    )=0,
    "",
    VLOOKUP(
        $A63,
        _xlfn._xlws.FILTER(
            INDIRECT("'"&amp;J$14&amp;"'!A2:E1000"), (INDIRECT("'"&amp;J$14&amp;"'!B2:B1000")=$B63) * (INDIRECT("'"&amp;J$14&amp;"'!C2:C1000")=$C63)
        ),
        5,
        FALSE
    )
)</f>
        <v/>
      </c>
      <c r="K63" s="103">
        <f t="array" ref="K63">IF(
    VLOOKUP(
        $A63,
        _xlfn._xlws.FILTER(
            INDIRECT("'"&amp;K$14&amp;"'!A2:E1000"), (INDIRECT("'"&amp;K$14&amp;"'!B2:B1000")=$B63) * (INDIRECT("'"&amp;K$14&amp;"'!C2:C1000")=$C63)
        ),
        5,
        FALSE
    )=0,
    "",
    VLOOKUP(
        $A63,
        _xlfn._xlws.FILTER(
            INDIRECT("'"&amp;K$14&amp;"'!A2:E1000"), (INDIRECT("'"&amp;K$14&amp;"'!B2:B1000")=$B63) * (INDIRECT("'"&amp;K$14&amp;"'!C2:C1000")=$C63)
        ),
        5,
        FALSE
    )
)</f>
        <v/>
      </c>
      <c r="L63" s="103">
        <f t="array" ref="L63">IF(
    VLOOKUP(
        $A63,
        _xlfn._xlws.FILTER(
            INDIRECT("'"&amp;L$14&amp;"'!A2:E1000"), (INDIRECT("'"&amp;L$14&amp;"'!B2:B1000")=$B63) * (INDIRECT("'"&amp;L$14&amp;"'!C2:C1000")=$C63)
        ),
        5,
        FALSE
    )=0,
    "",
    VLOOKUP(
        $A63,
        _xlfn._xlws.FILTER(
            INDIRECT("'"&amp;L$14&amp;"'!A2:E1000"), (INDIRECT("'"&amp;L$14&amp;"'!B2:B1000")=$B63) * (INDIRECT("'"&amp;L$14&amp;"'!C2:C1000")=$C63)
        ),
        5,
        FALSE
    )
)</f>
        <v/>
      </c>
      <c r="M63" s="103">
        <f t="array" ref="M63">IF(
    VLOOKUP(
        $A63,
        _xlfn._xlws.FILTER(
            INDIRECT("'"&amp;M$14&amp;"'!A2:E1000"), (INDIRECT("'"&amp;M$14&amp;"'!B2:B1000")=$B63) * (INDIRECT("'"&amp;M$14&amp;"'!C2:C1000")=$C63)
        ),
        5,
        FALSE
    )=0,
    "",
    VLOOKUP(
        $A63,
        _xlfn._xlws.FILTER(
            INDIRECT("'"&amp;M$14&amp;"'!A2:E1000"), (INDIRECT("'"&amp;M$14&amp;"'!B2:B1000")=$B63) * (INDIRECT("'"&amp;M$14&amp;"'!C2:C1000")=$C63)
        ),
        5,
        FALSE
    )
)</f>
        <v/>
      </c>
      <c r="N63" s="103">
        <f t="array" ref="N63">IF(
    VLOOKUP(
        $A63,
        _xlfn._xlws.FILTER(
            INDIRECT("'"&amp;N$14&amp;"'!A2:E1000"), (INDIRECT("'"&amp;N$14&amp;"'!B2:B1000")=$B63) * (INDIRECT("'"&amp;N$14&amp;"'!C2:C1000")=$C63)
        ),
        5,
        FALSE
    )=0,
    "",
    VLOOKUP(
        $A63,
        _xlfn._xlws.FILTER(
            INDIRECT("'"&amp;N$14&amp;"'!A2:E1000"), (INDIRECT("'"&amp;N$14&amp;"'!B2:B1000")=$B63) * (INDIRECT("'"&amp;N$14&amp;"'!C2:C1000")=$C63)
        ),
        5,
        FALSE
    )
)</f>
        <v/>
      </c>
      <c r="O63" s="103">
        <f t="array" ref="O63">IF(
    VLOOKUP(
        $A63,
        _xlfn._xlws.FILTER(
            INDIRECT("'"&amp;O$14&amp;"'!A2:E1000"), (INDIRECT("'"&amp;O$14&amp;"'!B2:B1000")=$B63) * (INDIRECT("'"&amp;O$14&amp;"'!C2:C1000")=$C63)
        ),
        5,
        FALSE
    )=0,
    "",
    VLOOKUP(
        $A63,
        _xlfn._xlws.FILTER(
            INDIRECT("'"&amp;O$14&amp;"'!A2:E1000"), (INDIRECT("'"&amp;O$14&amp;"'!B2:B1000")=$B63) * (INDIRECT("'"&amp;O$14&amp;"'!C2:C1000")=$C63)
        ),
        5,
        FALSE
    )
)</f>
        <v/>
      </c>
      <c r="P63" s="103">
        <f t="array" ref="P63">IF(
    VLOOKUP(
        $A63,
        _xlfn._xlws.FILTER(
            INDIRECT("'"&amp;P$14&amp;"'!A2:E1000"), (INDIRECT("'"&amp;P$14&amp;"'!B2:B1000")=$B63) * (INDIRECT("'"&amp;P$14&amp;"'!C2:C1000")=$C63)
        ),
        5,
        FALSE
    )=0,
    "",
    VLOOKUP(
        $A63,
        _xlfn._xlws.FILTER(
            INDIRECT("'"&amp;P$14&amp;"'!A2:E1000"), (INDIRECT("'"&amp;P$14&amp;"'!B2:B1000")=$B63) * (INDIRECT("'"&amp;P$14&amp;"'!C2:C1000")=$C63)
        ),
        5,
        FALSE
    )
)</f>
        <v/>
      </c>
      <c r="Q63" s="103">
        <f t="array" ref="Q63">IF(
    VLOOKUP(
        $A63,
        _xlfn._xlws.FILTER(
            INDIRECT("'"&amp;Q$14&amp;"'!A2:E1000"), (INDIRECT("'"&amp;Q$14&amp;"'!B2:B1000")=$B63) * (INDIRECT("'"&amp;Q$14&amp;"'!C2:C1000")=$C63)
        ),
        5,
        FALSE
    )=0,
    "",
    VLOOKUP(
        $A63,
        _xlfn._xlws.FILTER(
            INDIRECT("'"&amp;Q$14&amp;"'!A2:E1000"), (INDIRECT("'"&amp;Q$14&amp;"'!B2:B1000")=$B63) * (INDIRECT("'"&amp;Q$14&amp;"'!C2:C1000")=$C63)
        ),
        5,
        FALSE
    )
)</f>
        <v/>
      </c>
    </row>
    <row r="64">
      <c r="A64" s="56" t="inlineStr">
        <is>
          <t>Luana</t>
        </is>
      </c>
      <c r="B64" s="50" t="inlineStr">
        <is>
          <t>Ramilândia</t>
        </is>
      </c>
      <c r="C64" s="50" t="n">
        <v>1</v>
      </c>
      <c r="D64" s="103">
        <f t="array" ref="D64">IF(
    VLOOKUP(
        $A64,
        _xlfn._xlws.FILTER(
            INDIRECT("'"&amp;D$14&amp;"'!A2:E1000"), (INDIRECT("'"&amp;D$14&amp;"'!B2:B1000")=$B64) * (INDIRECT("'"&amp;D$14&amp;"'!C2:C1000")=$C64)
        ),
        5,
        FALSE
    )=0,
    "",
    VLOOKUP(
        $A64,
        _xlfn._xlws.FILTER(
            INDIRECT("'"&amp;D$14&amp;"'!A2:E1000"), (INDIRECT("'"&amp;D$14&amp;"'!B2:B1000")=$B64) * (INDIRECT("'"&amp;D$14&amp;"'!C2:C1000")=$C64)
        ),
        5,
        FALSE
    )
)</f>
        <v/>
      </c>
      <c r="E64" s="103">
        <f t="array" ref="E64">IF(
    VLOOKUP(
        $A64,
        _xlfn._xlws.FILTER(
            INDIRECT("'"&amp;E$14&amp;"'!A2:E1000"), (INDIRECT("'"&amp;E$14&amp;"'!B2:B1000")=$B64) * (INDIRECT("'"&amp;E$14&amp;"'!C2:C1000")=$C64)
        ),
        5,
        FALSE
    )=0,
    "",
    VLOOKUP(
        $A64,
        _xlfn._xlws.FILTER(
            INDIRECT("'"&amp;E$14&amp;"'!A2:E1000"), (INDIRECT("'"&amp;E$14&amp;"'!B2:B1000")=$B64) * (INDIRECT("'"&amp;E$14&amp;"'!C2:C1000")=$C64)
        ),
        5,
        FALSE
    )
)</f>
        <v/>
      </c>
      <c r="F64" s="103">
        <f t="array" ref="F64">IF(
    VLOOKUP(
        $A64,
        _xlfn._xlws.FILTER(
            INDIRECT("'"&amp;F$14&amp;"'!A2:E1000"), (INDIRECT("'"&amp;F$14&amp;"'!B2:B1000")=$B64) * (INDIRECT("'"&amp;F$14&amp;"'!C2:C1000")=$C64)
        ),
        5,
        FALSE
    )=0,
    "",
    VLOOKUP(
        $A64,
        _xlfn._xlws.FILTER(
            INDIRECT("'"&amp;F$14&amp;"'!A2:E1000"), (INDIRECT("'"&amp;F$14&amp;"'!B2:B1000")=$B64) * (INDIRECT("'"&amp;F$14&amp;"'!C2:C1000")=$C64)
        ),
        5,
        FALSE
    )
)</f>
        <v/>
      </c>
      <c r="G64" s="103">
        <f t="array" ref="G64">IF(
    VLOOKUP(
        $A64,
        _xlfn._xlws.FILTER(
            INDIRECT("'"&amp;G$14&amp;"'!A2:E1000"), (INDIRECT("'"&amp;G$14&amp;"'!B2:B1000")=$B64) * (INDIRECT("'"&amp;G$14&amp;"'!C2:C1000")=$C64)
        ),
        5,
        FALSE
    )=0,
    "",
    VLOOKUP(
        $A64,
        _xlfn._xlws.FILTER(
            INDIRECT("'"&amp;G$14&amp;"'!A2:E1000"), (INDIRECT("'"&amp;G$14&amp;"'!B2:B1000")=$B64) * (INDIRECT("'"&amp;G$14&amp;"'!C2:C1000")=$C64)
        ),
        5,
        FALSE
    )
)</f>
        <v/>
      </c>
      <c r="H64" s="103">
        <f t="array" ref="H64">IF(
    VLOOKUP(
        $A64,
        _xlfn._xlws.FILTER(
            INDIRECT("'"&amp;H$14&amp;"'!A2:E1000"), (INDIRECT("'"&amp;H$14&amp;"'!B2:B1000")=$B64) * (INDIRECT("'"&amp;H$14&amp;"'!C2:C1000")=$C64)
        ),
        5,
        FALSE
    )=0,
    "",
    VLOOKUP(
        $A64,
        _xlfn._xlws.FILTER(
            INDIRECT("'"&amp;H$14&amp;"'!A2:E1000"), (INDIRECT("'"&amp;H$14&amp;"'!B2:B1000")=$B64) * (INDIRECT("'"&amp;H$14&amp;"'!C2:C1000")=$C64)
        ),
        5,
        FALSE
    )
)</f>
        <v/>
      </c>
      <c r="I64" s="103">
        <f t="array" ref="I64">IF(
    VLOOKUP(
        $A64,
        _xlfn._xlws.FILTER(
            INDIRECT("'"&amp;I$14&amp;"'!A2:E1000"), (INDIRECT("'"&amp;I$14&amp;"'!B2:B1000")=$B64) * (INDIRECT("'"&amp;I$14&amp;"'!C2:C1000")=$C64)
        ),
        5,
        FALSE
    )=0,
    "",
    VLOOKUP(
        $A64,
        _xlfn._xlws.FILTER(
            INDIRECT("'"&amp;I$14&amp;"'!A2:E1000"), (INDIRECT("'"&amp;I$14&amp;"'!B2:B1000")=$B64) * (INDIRECT("'"&amp;I$14&amp;"'!C2:C1000")=$C64)
        ),
        5,
        FALSE
    )
)</f>
        <v/>
      </c>
      <c r="J64" s="103">
        <f t="array" ref="J64">IF(
    VLOOKUP(
        $A64,
        _xlfn._xlws.FILTER(
            INDIRECT("'"&amp;J$14&amp;"'!A2:E1000"), (INDIRECT("'"&amp;J$14&amp;"'!B2:B1000")=$B64) * (INDIRECT("'"&amp;J$14&amp;"'!C2:C1000")=$C64)
        ),
        5,
        FALSE
    )=0,
    "",
    VLOOKUP(
        $A64,
        _xlfn._xlws.FILTER(
            INDIRECT("'"&amp;J$14&amp;"'!A2:E1000"), (INDIRECT("'"&amp;J$14&amp;"'!B2:B1000")=$B64) * (INDIRECT("'"&amp;J$14&amp;"'!C2:C1000")=$C64)
        ),
        5,
        FALSE
    )
)</f>
        <v/>
      </c>
      <c r="K64" s="103">
        <f t="array" ref="K64">IF(
    VLOOKUP(
        $A64,
        _xlfn._xlws.FILTER(
            INDIRECT("'"&amp;K$14&amp;"'!A2:E1000"), (INDIRECT("'"&amp;K$14&amp;"'!B2:B1000")=$B64) * (INDIRECT("'"&amp;K$14&amp;"'!C2:C1000")=$C64)
        ),
        5,
        FALSE
    )=0,
    "",
    VLOOKUP(
        $A64,
        _xlfn._xlws.FILTER(
            INDIRECT("'"&amp;K$14&amp;"'!A2:E1000"), (INDIRECT("'"&amp;K$14&amp;"'!B2:B1000")=$B64) * (INDIRECT("'"&amp;K$14&amp;"'!C2:C1000")=$C64)
        ),
        5,
        FALSE
    )
)</f>
        <v/>
      </c>
      <c r="L64" s="103">
        <f t="array" ref="L64">IF(
    VLOOKUP(
        $A64,
        _xlfn._xlws.FILTER(
            INDIRECT("'"&amp;L$14&amp;"'!A2:E1000"), (INDIRECT("'"&amp;L$14&amp;"'!B2:B1000")=$B64) * (INDIRECT("'"&amp;L$14&amp;"'!C2:C1000")=$C64)
        ),
        5,
        FALSE
    )=0,
    "",
    VLOOKUP(
        $A64,
        _xlfn._xlws.FILTER(
            INDIRECT("'"&amp;L$14&amp;"'!A2:E1000"), (INDIRECT("'"&amp;L$14&amp;"'!B2:B1000")=$B64) * (INDIRECT("'"&amp;L$14&amp;"'!C2:C1000")=$C64)
        ),
        5,
        FALSE
    )
)</f>
        <v/>
      </c>
      <c r="M64" s="103">
        <f t="array" ref="M64">IF(
    VLOOKUP(
        $A64,
        _xlfn._xlws.FILTER(
            INDIRECT("'"&amp;M$14&amp;"'!A2:E1000"), (INDIRECT("'"&amp;M$14&amp;"'!B2:B1000")=$B64) * (INDIRECT("'"&amp;M$14&amp;"'!C2:C1000")=$C64)
        ),
        5,
        FALSE
    )=0,
    "",
    VLOOKUP(
        $A64,
        _xlfn._xlws.FILTER(
            INDIRECT("'"&amp;M$14&amp;"'!A2:E1000"), (INDIRECT("'"&amp;M$14&amp;"'!B2:B1000")=$B64) * (INDIRECT("'"&amp;M$14&amp;"'!C2:C1000")=$C64)
        ),
        5,
        FALSE
    )
)</f>
        <v/>
      </c>
      <c r="N64" s="103">
        <f t="array" ref="N64">IF(
    VLOOKUP(
        $A64,
        _xlfn._xlws.FILTER(
            INDIRECT("'"&amp;N$14&amp;"'!A2:E1000"), (INDIRECT("'"&amp;N$14&amp;"'!B2:B1000")=$B64) * (INDIRECT("'"&amp;N$14&amp;"'!C2:C1000")=$C64)
        ),
        5,
        FALSE
    )=0,
    "",
    VLOOKUP(
        $A64,
        _xlfn._xlws.FILTER(
            INDIRECT("'"&amp;N$14&amp;"'!A2:E1000"), (INDIRECT("'"&amp;N$14&amp;"'!B2:B1000")=$B64) * (INDIRECT("'"&amp;N$14&amp;"'!C2:C1000")=$C64)
        ),
        5,
        FALSE
    )
)</f>
        <v/>
      </c>
      <c r="O64" s="103">
        <f t="array" ref="O64">IF(
    VLOOKUP(
        $A64,
        _xlfn._xlws.FILTER(
            INDIRECT("'"&amp;O$14&amp;"'!A2:E1000"), (INDIRECT("'"&amp;O$14&amp;"'!B2:B1000")=$B64) * (INDIRECT("'"&amp;O$14&amp;"'!C2:C1000")=$C64)
        ),
        5,
        FALSE
    )=0,
    "",
    VLOOKUP(
        $A64,
        _xlfn._xlws.FILTER(
            INDIRECT("'"&amp;O$14&amp;"'!A2:E1000"), (INDIRECT("'"&amp;O$14&amp;"'!B2:B1000")=$B64) * (INDIRECT("'"&amp;O$14&amp;"'!C2:C1000")=$C64)
        ),
        5,
        FALSE
    )
)</f>
        <v/>
      </c>
      <c r="P64" s="103">
        <f t="array" ref="P64">IF(
    VLOOKUP(
        $A64,
        _xlfn._xlws.FILTER(
            INDIRECT("'"&amp;P$14&amp;"'!A2:E1000"), (INDIRECT("'"&amp;P$14&amp;"'!B2:B1000")=$B64) * (INDIRECT("'"&amp;P$14&amp;"'!C2:C1000")=$C64)
        ),
        5,
        FALSE
    )=0,
    "",
    VLOOKUP(
        $A64,
        _xlfn._xlws.FILTER(
            INDIRECT("'"&amp;P$14&amp;"'!A2:E1000"), (INDIRECT("'"&amp;P$14&amp;"'!B2:B1000")=$B64) * (INDIRECT("'"&amp;P$14&amp;"'!C2:C1000")=$C64)
        ),
        5,
        FALSE
    )
)</f>
        <v/>
      </c>
      <c r="Q64" s="103">
        <f t="array" ref="Q64">IF(
    VLOOKUP(
        $A64,
        _xlfn._xlws.FILTER(
            INDIRECT("'"&amp;Q$14&amp;"'!A2:E1000"), (INDIRECT("'"&amp;Q$14&amp;"'!B2:B1000")=$B64) * (INDIRECT("'"&amp;Q$14&amp;"'!C2:C1000")=$C64)
        ),
        5,
        FALSE
    )=0,
    "",
    VLOOKUP(
        $A64,
        _xlfn._xlws.FILTER(
            INDIRECT("'"&amp;Q$14&amp;"'!A2:E1000"), (INDIRECT("'"&amp;Q$14&amp;"'!B2:B1000")=$B64) * (INDIRECT("'"&amp;Q$14&amp;"'!C2:C1000")=$C64)
        ),
        5,
        FALSE
    )
)</f>
        <v/>
      </c>
    </row>
    <row r="65">
      <c r="A65" s="56" t="inlineStr">
        <is>
          <t>Luana</t>
        </is>
      </c>
      <c r="B65" s="50" t="inlineStr">
        <is>
          <t>Santa Helena</t>
        </is>
      </c>
      <c r="C65" s="50" t="n">
        <v>1</v>
      </c>
      <c r="D65" s="103">
        <f t="array" ref="D65">IF(
    VLOOKUP(
        $A65,
        _xlfn._xlws.FILTER(
            INDIRECT("'"&amp;D$14&amp;"'!A2:E1000"), (INDIRECT("'"&amp;D$14&amp;"'!B2:B1000")=$B65) * (INDIRECT("'"&amp;D$14&amp;"'!C2:C1000")=$C65)
        ),
        5,
        FALSE
    )=0,
    "",
    VLOOKUP(
        $A65,
        _xlfn._xlws.FILTER(
            INDIRECT("'"&amp;D$14&amp;"'!A2:E1000"), (INDIRECT("'"&amp;D$14&amp;"'!B2:B1000")=$B65) * (INDIRECT("'"&amp;D$14&amp;"'!C2:C1000")=$C65)
        ),
        5,
        FALSE
    )
)</f>
        <v/>
      </c>
      <c r="E65" s="103">
        <f t="array" ref="E65">IF(
    VLOOKUP(
        $A65,
        _xlfn._xlws.FILTER(
            INDIRECT("'"&amp;E$14&amp;"'!A2:E1000"), (INDIRECT("'"&amp;E$14&amp;"'!B2:B1000")=$B65) * (INDIRECT("'"&amp;E$14&amp;"'!C2:C1000")=$C65)
        ),
        5,
        FALSE
    )=0,
    "",
    VLOOKUP(
        $A65,
        _xlfn._xlws.FILTER(
            INDIRECT("'"&amp;E$14&amp;"'!A2:E1000"), (INDIRECT("'"&amp;E$14&amp;"'!B2:B1000")=$B65) * (INDIRECT("'"&amp;E$14&amp;"'!C2:C1000")=$C65)
        ),
        5,
        FALSE
    )
)</f>
        <v/>
      </c>
      <c r="F65" s="103">
        <f t="array" ref="F65">IF(
    VLOOKUP(
        $A65,
        _xlfn._xlws.FILTER(
            INDIRECT("'"&amp;F$14&amp;"'!A2:E1000"), (INDIRECT("'"&amp;F$14&amp;"'!B2:B1000")=$B65) * (INDIRECT("'"&amp;F$14&amp;"'!C2:C1000")=$C65)
        ),
        5,
        FALSE
    )=0,
    "",
    VLOOKUP(
        $A65,
        _xlfn._xlws.FILTER(
            INDIRECT("'"&amp;F$14&amp;"'!A2:E1000"), (INDIRECT("'"&amp;F$14&amp;"'!B2:B1000")=$B65) * (INDIRECT("'"&amp;F$14&amp;"'!C2:C1000")=$C65)
        ),
        5,
        FALSE
    )
)</f>
        <v/>
      </c>
      <c r="G65" s="103">
        <f t="array" ref="G65">IF(
    VLOOKUP(
        $A65,
        _xlfn._xlws.FILTER(
            INDIRECT("'"&amp;G$14&amp;"'!A2:E1000"), (INDIRECT("'"&amp;G$14&amp;"'!B2:B1000")=$B65) * (INDIRECT("'"&amp;G$14&amp;"'!C2:C1000")=$C65)
        ),
        5,
        FALSE
    )=0,
    "",
    VLOOKUP(
        $A65,
        _xlfn._xlws.FILTER(
            INDIRECT("'"&amp;G$14&amp;"'!A2:E1000"), (INDIRECT("'"&amp;G$14&amp;"'!B2:B1000")=$B65) * (INDIRECT("'"&amp;G$14&amp;"'!C2:C1000")=$C65)
        ),
        5,
        FALSE
    )
)</f>
        <v/>
      </c>
      <c r="H65" s="103">
        <f t="array" ref="H65">IF(
    VLOOKUP(
        $A65,
        _xlfn._xlws.FILTER(
            INDIRECT("'"&amp;H$14&amp;"'!A2:E1000"), (INDIRECT("'"&amp;H$14&amp;"'!B2:B1000")=$B65) * (INDIRECT("'"&amp;H$14&amp;"'!C2:C1000")=$C65)
        ),
        5,
        FALSE
    )=0,
    "",
    VLOOKUP(
        $A65,
        _xlfn._xlws.FILTER(
            INDIRECT("'"&amp;H$14&amp;"'!A2:E1000"), (INDIRECT("'"&amp;H$14&amp;"'!B2:B1000")=$B65) * (INDIRECT("'"&amp;H$14&amp;"'!C2:C1000")=$C65)
        ),
        5,
        FALSE
    )
)</f>
        <v/>
      </c>
      <c r="I65" s="103">
        <f t="array" ref="I65">IF(
    VLOOKUP(
        $A65,
        _xlfn._xlws.FILTER(
            INDIRECT("'"&amp;I$14&amp;"'!A2:E1000"), (INDIRECT("'"&amp;I$14&amp;"'!B2:B1000")=$B65) * (INDIRECT("'"&amp;I$14&amp;"'!C2:C1000")=$C65)
        ),
        5,
        FALSE
    )=0,
    "",
    VLOOKUP(
        $A65,
        _xlfn._xlws.FILTER(
            INDIRECT("'"&amp;I$14&amp;"'!A2:E1000"), (INDIRECT("'"&amp;I$14&amp;"'!B2:B1000")=$B65) * (INDIRECT("'"&amp;I$14&amp;"'!C2:C1000")=$C65)
        ),
        5,
        FALSE
    )
)</f>
        <v/>
      </c>
      <c r="J65" s="103">
        <f t="array" ref="J65">IF(
    VLOOKUP(
        $A65,
        _xlfn._xlws.FILTER(
            INDIRECT("'"&amp;J$14&amp;"'!A2:E1000"), (INDIRECT("'"&amp;J$14&amp;"'!B2:B1000")=$B65) * (INDIRECT("'"&amp;J$14&amp;"'!C2:C1000")=$C65)
        ),
        5,
        FALSE
    )=0,
    "",
    VLOOKUP(
        $A65,
        _xlfn._xlws.FILTER(
            INDIRECT("'"&amp;J$14&amp;"'!A2:E1000"), (INDIRECT("'"&amp;J$14&amp;"'!B2:B1000")=$B65) * (INDIRECT("'"&amp;J$14&amp;"'!C2:C1000")=$C65)
        ),
        5,
        FALSE
    )
)</f>
        <v/>
      </c>
      <c r="K65" s="103">
        <f t="array" ref="K65">IF(
    VLOOKUP(
        $A65,
        _xlfn._xlws.FILTER(
            INDIRECT("'"&amp;K$14&amp;"'!A2:E1000"), (INDIRECT("'"&amp;K$14&amp;"'!B2:B1000")=$B65) * (INDIRECT("'"&amp;K$14&amp;"'!C2:C1000")=$C65)
        ),
        5,
        FALSE
    )=0,
    "",
    VLOOKUP(
        $A65,
        _xlfn._xlws.FILTER(
            INDIRECT("'"&amp;K$14&amp;"'!A2:E1000"), (INDIRECT("'"&amp;K$14&amp;"'!B2:B1000")=$B65) * (INDIRECT("'"&amp;K$14&amp;"'!C2:C1000")=$C65)
        ),
        5,
        FALSE
    )
)</f>
        <v/>
      </c>
      <c r="L65" s="103">
        <f t="array" ref="L65">IF(
    VLOOKUP(
        $A65,
        _xlfn._xlws.FILTER(
            INDIRECT("'"&amp;L$14&amp;"'!A2:E1000"), (INDIRECT("'"&amp;L$14&amp;"'!B2:B1000")=$B65) * (INDIRECT("'"&amp;L$14&amp;"'!C2:C1000")=$C65)
        ),
        5,
        FALSE
    )=0,
    "",
    VLOOKUP(
        $A65,
        _xlfn._xlws.FILTER(
            INDIRECT("'"&amp;L$14&amp;"'!A2:E1000"), (INDIRECT("'"&amp;L$14&amp;"'!B2:B1000")=$B65) * (INDIRECT("'"&amp;L$14&amp;"'!C2:C1000")=$C65)
        ),
        5,
        FALSE
    )
)</f>
        <v/>
      </c>
      <c r="M65" s="103">
        <f t="array" ref="M65">IF(
    VLOOKUP(
        $A65,
        _xlfn._xlws.FILTER(
            INDIRECT("'"&amp;M$14&amp;"'!A2:E1000"), (INDIRECT("'"&amp;M$14&amp;"'!B2:B1000")=$B65) * (INDIRECT("'"&amp;M$14&amp;"'!C2:C1000")=$C65)
        ),
        5,
        FALSE
    )=0,
    "",
    VLOOKUP(
        $A65,
        _xlfn._xlws.FILTER(
            INDIRECT("'"&amp;M$14&amp;"'!A2:E1000"), (INDIRECT("'"&amp;M$14&amp;"'!B2:B1000")=$B65) * (INDIRECT("'"&amp;M$14&amp;"'!C2:C1000")=$C65)
        ),
        5,
        FALSE
    )
)</f>
        <v/>
      </c>
      <c r="N65" s="103">
        <f t="array" ref="N65">IF(
    VLOOKUP(
        $A65,
        _xlfn._xlws.FILTER(
            INDIRECT("'"&amp;N$14&amp;"'!A2:E1000"), (INDIRECT("'"&amp;N$14&amp;"'!B2:B1000")=$B65) * (INDIRECT("'"&amp;N$14&amp;"'!C2:C1000")=$C65)
        ),
        5,
        FALSE
    )=0,
    "",
    VLOOKUP(
        $A65,
        _xlfn._xlws.FILTER(
            INDIRECT("'"&amp;N$14&amp;"'!A2:E1000"), (INDIRECT("'"&amp;N$14&amp;"'!B2:B1000")=$B65) * (INDIRECT("'"&amp;N$14&amp;"'!C2:C1000")=$C65)
        ),
        5,
        FALSE
    )
)</f>
        <v/>
      </c>
      <c r="O65" s="103">
        <f t="array" ref="O65">IF(
    VLOOKUP(
        $A65,
        _xlfn._xlws.FILTER(
            INDIRECT("'"&amp;O$14&amp;"'!A2:E1000"), (INDIRECT("'"&amp;O$14&amp;"'!B2:B1000")=$B65) * (INDIRECT("'"&amp;O$14&amp;"'!C2:C1000")=$C65)
        ),
        5,
        FALSE
    )=0,
    "",
    VLOOKUP(
        $A65,
        _xlfn._xlws.FILTER(
            INDIRECT("'"&amp;O$14&amp;"'!A2:E1000"), (INDIRECT("'"&amp;O$14&amp;"'!B2:B1000")=$B65) * (INDIRECT("'"&amp;O$14&amp;"'!C2:C1000")=$C65)
        ),
        5,
        FALSE
    )
)</f>
        <v/>
      </c>
      <c r="P65" s="103">
        <f t="array" ref="P65">IF(
    VLOOKUP(
        $A65,
        _xlfn._xlws.FILTER(
            INDIRECT("'"&amp;P$14&amp;"'!A2:E1000"), (INDIRECT("'"&amp;P$14&amp;"'!B2:B1000")=$B65) * (INDIRECT("'"&amp;P$14&amp;"'!C2:C1000")=$C65)
        ),
        5,
        FALSE
    )=0,
    "",
    VLOOKUP(
        $A65,
        _xlfn._xlws.FILTER(
            INDIRECT("'"&amp;P$14&amp;"'!A2:E1000"), (INDIRECT("'"&amp;P$14&amp;"'!B2:B1000")=$B65) * (INDIRECT("'"&amp;P$14&amp;"'!C2:C1000")=$C65)
        ),
        5,
        FALSE
    )
)</f>
        <v/>
      </c>
      <c r="Q65" s="103">
        <f t="array" ref="Q65">IF(
    VLOOKUP(
        $A65,
        _xlfn._xlws.FILTER(
            INDIRECT("'"&amp;Q$14&amp;"'!A2:E1000"), (INDIRECT("'"&amp;Q$14&amp;"'!B2:B1000")=$B65) * (INDIRECT("'"&amp;Q$14&amp;"'!C2:C1000")=$C65)
        ),
        5,
        FALSE
    )=0,
    "",
    VLOOKUP(
        $A65,
        _xlfn._xlws.FILTER(
            INDIRECT("'"&amp;Q$14&amp;"'!A2:E1000"), (INDIRECT("'"&amp;Q$14&amp;"'!B2:B1000")=$B65) * (INDIRECT("'"&amp;Q$14&amp;"'!C2:C1000")=$C65)
        ),
        5,
        FALSE
    )
)</f>
        <v/>
      </c>
    </row>
    <row r="66">
      <c r="A66" s="56" t="inlineStr">
        <is>
          <t>Luana</t>
        </is>
      </c>
      <c r="B66" s="50" t="inlineStr">
        <is>
          <t>São Pedro do Iguaçu</t>
        </is>
      </c>
      <c r="C66" s="50" t="n">
        <v>1</v>
      </c>
      <c r="D66" s="103">
        <f t="array" ref="D66">IF(
    VLOOKUP(
        $A66,
        _xlfn._xlws.FILTER(
            INDIRECT("'"&amp;D$14&amp;"'!A2:E1000"), (INDIRECT("'"&amp;D$14&amp;"'!B2:B1000")=$B66) * (INDIRECT("'"&amp;D$14&amp;"'!C2:C1000")=$C66)
        ),
        5,
        FALSE
    )=0,
    "",
    VLOOKUP(
        $A66,
        _xlfn._xlws.FILTER(
            INDIRECT("'"&amp;D$14&amp;"'!A2:E1000"), (INDIRECT("'"&amp;D$14&amp;"'!B2:B1000")=$B66) * (INDIRECT("'"&amp;D$14&amp;"'!C2:C1000")=$C66)
        ),
        5,
        FALSE
    )
)</f>
        <v/>
      </c>
      <c r="E66" s="103">
        <f t="array" ref="E66">IF(
    VLOOKUP(
        $A66,
        _xlfn._xlws.FILTER(
            INDIRECT("'"&amp;E$14&amp;"'!A2:E1000"), (INDIRECT("'"&amp;E$14&amp;"'!B2:B1000")=$B66) * (INDIRECT("'"&amp;E$14&amp;"'!C2:C1000")=$C66)
        ),
        5,
        FALSE
    )=0,
    "",
    VLOOKUP(
        $A66,
        _xlfn._xlws.FILTER(
            INDIRECT("'"&amp;E$14&amp;"'!A2:E1000"), (INDIRECT("'"&amp;E$14&amp;"'!B2:B1000")=$B66) * (INDIRECT("'"&amp;E$14&amp;"'!C2:C1000")=$C66)
        ),
        5,
        FALSE
    )
)</f>
        <v/>
      </c>
      <c r="F66" s="103">
        <f t="array" ref="F66">IF(
    VLOOKUP(
        $A66,
        _xlfn._xlws.FILTER(
            INDIRECT("'"&amp;F$14&amp;"'!A2:E1000"), (INDIRECT("'"&amp;F$14&amp;"'!B2:B1000")=$B66) * (INDIRECT("'"&amp;F$14&amp;"'!C2:C1000")=$C66)
        ),
        5,
        FALSE
    )=0,
    "",
    VLOOKUP(
        $A66,
        _xlfn._xlws.FILTER(
            INDIRECT("'"&amp;F$14&amp;"'!A2:E1000"), (INDIRECT("'"&amp;F$14&amp;"'!B2:B1000")=$B66) * (INDIRECT("'"&amp;F$14&amp;"'!C2:C1000")=$C66)
        ),
        5,
        FALSE
    )
)</f>
        <v/>
      </c>
      <c r="G66" s="103">
        <f t="array" ref="G66">IF(
    VLOOKUP(
        $A66,
        _xlfn._xlws.FILTER(
            INDIRECT("'"&amp;G$14&amp;"'!A2:E1000"), (INDIRECT("'"&amp;G$14&amp;"'!B2:B1000")=$B66) * (INDIRECT("'"&amp;G$14&amp;"'!C2:C1000")=$C66)
        ),
        5,
        FALSE
    )=0,
    "",
    VLOOKUP(
        $A66,
        _xlfn._xlws.FILTER(
            INDIRECT("'"&amp;G$14&amp;"'!A2:E1000"), (INDIRECT("'"&amp;G$14&amp;"'!B2:B1000")=$B66) * (INDIRECT("'"&amp;G$14&amp;"'!C2:C1000")=$C66)
        ),
        5,
        FALSE
    )
)</f>
        <v/>
      </c>
      <c r="H66" s="103">
        <f t="array" ref="H66">IF(
    VLOOKUP(
        $A66,
        _xlfn._xlws.FILTER(
            INDIRECT("'"&amp;H$14&amp;"'!A2:E1000"), (INDIRECT("'"&amp;H$14&amp;"'!B2:B1000")=$B66) * (INDIRECT("'"&amp;H$14&amp;"'!C2:C1000")=$C66)
        ),
        5,
        FALSE
    )=0,
    "",
    VLOOKUP(
        $A66,
        _xlfn._xlws.FILTER(
            INDIRECT("'"&amp;H$14&amp;"'!A2:E1000"), (INDIRECT("'"&amp;H$14&amp;"'!B2:B1000")=$B66) * (INDIRECT("'"&amp;H$14&amp;"'!C2:C1000")=$C66)
        ),
        5,
        FALSE
    )
)</f>
        <v/>
      </c>
      <c r="I66" s="103">
        <f t="array" ref="I66">IF(
    VLOOKUP(
        $A66,
        _xlfn._xlws.FILTER(
            INDIRECT("'"&amp;I$14&amp;"'!A2:E1000"), (INDIRECT("'"&amp;I$14&amp;"'!B2:B1000")=$B66) * (INDIRECT("'"&amp;I$14&amp;"'!C2:C1000")=$C66)
        ),
        5,
        FALSE
    )=0,
    "",
    VLOOKUP(
        $A66,
        _xlfn._xlws.FILTER(
            INDIRECT("'"&amp;I$14&amp;"'!A2:E1000"), (INDIRECT("'"&amp;I$14&amp;"'!B2:B1000")=$B66) * (INDIRECT("'"&amp;I$14&amp;"'!C2:C1000")=$C66)
        ),
        5,
        FALSE
    )
)</f>
        <v/>
      </c>
      <c r="J66" s="103">
        <f t="array" ref="J66">IF(
    VLOOKUP(
        $A66,
        _xlfn._xlws.FILTER(
            INDIRECT("'"&amp;J$14&amp;"'!A2:E1000"), (INDIRECT("'"&amp;J$14&amp;"'!B2:B1000")=$B66) * (INDIRECT("'"&amp;J$14&amp;"'!C2:C1000")=$C66)
        ),
        5,
        FALSE
    )=0,
    "",
    VLOOKUP(
        $A66,
        _xlfn._xlws.FILTER(
            INDIRECT("'"&amp;J$14&amp;"'!A2:E1000"), (INDIRECT("'"&amp;J$14&amp;"'!B2:B1000")=$B66) * (INDIRECT("'"&amp;J$14&amp;"'!C2:C1000")=$C66)
        ),
        5,
        FALSE
    )
)</f>
        <v/>
      </c>
      <c r="K66" s="103">
        <f t="array" ref="K66">IF(
    VLOOKUP(
        $A66,
        _xlfn._xlws.FILTER(
            INDIRECT("'"&amp;K$14&amp;"'!A2:E1000"), (INDIRECT("'"&amp;K$14&amp;"'!B2:B1000")=$B66) * (INDIRECT("'"&amp;K$14&amp;"'!C2:C1000")=$C66)
        ),
        5,
        FALSE
    )=0,
    "",
    VLOOKUP(
        $A66,
        _xlfn._xlws.FILTER(
            INDIRECT("'"&amp;K$14&amp;"'!A2:E1000"), (INDIRECT("'"&amp;K$14&amp;"'!B2:B1000")=$B66) * (INDIRECT("'"&amp;K$14&amp;"'!C2:C1000")=$C66)
        ),
        5,
        FALSE
    )
)</f>
        <v/>
      </c>
      <c r="L66" s="103">
        <f t="array" ref="L66">IF(
    VLOOKUP(
        $A66,
        _xlfn._xlws.FILTER(
            INDIRECT("'"&amp;L$14&amp;"'!A2:E1000"), (INDIRECT("'"&amp;L$14&amp;"'!B2:B1000")=$B66) * (INDIRECT("'"&amp;L$14&amp;"'!C2:C1000")=$C66)
        ),
        5,
        FALSE
    )=0,
    "",
    VLOOKUP(
        $A66,
        _xlfn._xlws.FILTER(
            INDIRECT("'"&amp;L$14&amp;"'!A2:E1000"), (INDIRECT("'"&amp;L$14&amp;"'!B2:B1000")=$B66) * (INDIRECT("'"&amp;L$14&amp;"'!C2:C1000")=$C66)
        ),
        5,
        FALSE
    )
)</f>
        <v/>
      </c>
      <c r="M66" s="103">
        <f t="array" ref="M66">IF(
    VLOOKUP(
        $A66,
        _xlfn._xlws.FILTER(
            INDIRECT("'"&amp;M$14&amp;"'!A2:E1000"), (INDIRECT("'"&amp;M$14&amp;"'!B2:B1000")=$B66) * (INDIRECT("'"&amp;M$14&amp;"'!C2:C1000")=$C66)
        ),
        5,
        FALSE
    )=0,
    "",
    VLOOKUP(
        $A66,
        _xlfn._xlws.FILTER(
            INDIRECT("'"&amp;M$14&amp;"'!A2:E1000"), (INDIRECT("'"&amp;M$14&amp;"'!B2:B1000")=$B66) * (INDIRECT("'"&amp;M$14&amp;"'!C2:C1000")=$C66)
        ),
        5,
        FALSE
    )
)</f>
        <v/>
      </c>
      <c r="N66" s="103">
        <f t="array" ref="N66">IF(
    VLOOKUP(
        $A66,
        _xlfn._xlws.FILTER(
            INDIRECT("'"&amp;N$14&amp;"'!A2:E1000"), (INDIRECT("'"&amp;N$14&amp;"'!B2:B1000")=$B66) * (INDIRECT("'"&amp;N$14&amp;"'!C2:C1000")=$C66)
        ),
        5,
        FALSE
    )=0,
    "",
    VLOOKUP(
        $A66,
        _xlfn._xlws.FILTER(
            INDIRECT("'"&amp;N$14&amp;"'!A2:E1000"), (INDIRECT("'"&amp;N$14&amp;"'!B2:B1000")=$B66) * (INDIRECT("'"&amp;N$14&amp;"'!C2:C1000")=$C66)
        ),
        5,
        FALSE
    )
)</f>
        <v/>
      </c>
      <c r="O66" s="103">
        <f t="array" ref="O66">IF(
    VLOOKUP(
        $A66,
        _xlfn._xlws.FILTER(
            INDIRECT("'"&amp;O$14&amp;"'!A2:E1000"), (INDIRECT("'"&amp;O$14&amp;"'!B2:B1000")=$B66) * (INDIRECT("'"&amp;O$14&amp;"'!C2:C1000")=$C66)
        ),
        5,
        FALSE
    )=0,
    "",
    VLOOKUP(
        $A66,
        _xlfn._xlws.FILTER(
            INDIRECT("'"&amp;O$14&amp;"'!A2:E1000"), (INDIRECT("'"&amp;O$14&amp;"'!B2:B1000")=$B66) * (INDIRECT("'"&amp;O$14&amp;"'!C2:C1000")=$C66)
        ),
        5,
        FALSE
    )
)</f>
        <v/>
      </c>
      <c r="P66" s="103">
        <f t="array" ref="P66">IF(
    VLOOKUP(
        $A66,
        _xlfn._xlws.FILTER(
            INDIRECT("'"&amp;P$14&amp;"'!A2:E1000"), (INDIRECT("'"&amp;P$14&amp;"'!B2:B1000")=$B66) * (INDIRECT("'"&amp;P$14&amp;"'!C2:C1000")=$C66)
        ),
        5,
        FALSE
    )=0,
    "",
    VLOOKUP(
        $A66,
        _xlfn._xlws.FILTER(
            INDIRECT("'"&amp;P$14&amp;"'!A2:E1000"), (INDIRECT("'"&amp;P$14&amp;"'!B2:B1000")=$B66) * (INDIRECT("'"&amp;P$14&amp;"'!C2:C1000")=$C66)
        ),
        5,
        FALSE
    )
)</f>
        <v/>
      </c>
      <c r="Q66" s="103">
        <f t="array" ref="Q66">IF(
    VLOOKUP(
        $A66,
        _xlfn._xlws.FILTER(
            INDIRECT("'"&amp;Q$14&amp;"'!A2:E1000"), (INDIRECT("'"&amp;Q$14&amp;"'!B2:B1000")=$B66) * (INDIRECT("'"&amp;Q$14&amp;"'!C2:C1000")=$C66)
        ),
        5,
        FALSE
    )=0,
    "",
    VLOOKUP(
        $A66,
        _xlfn._xlws.FILTER(
            INDIRECT("'"&amp;Q$14&amp;"'!A2:E1000"), (INDIRECT("'"&amp;Q$14&amp;"'!B2:B1000")=$B66) * (INDIRECT("'"&amp;Q$14&amp;"'!C2:C1000")=$C66)
        ),
        5,
        FALSE
    )
)</f>
        <v/>
      </c>
    </row>
    <row r="67">
      <c r="A67" s="56" t="inlineStr">
        <is>
          <t>Luana</t>
        </is>
      </c>
      <c r="B67" s="50" t="inlineStr">
        <is>
          <t>Vera Cruz do Oeste</t>
        </is>
      </c>
      <c r="C67" s="50" t="n">
        <v>1</v>
      </c>
      <c r="D67" s="103">
        <f t="array" ref="D67">IF(
    VLOOKUP(
        $A67,
        _xlfn._xlws.FILTER(
            INDIRECT("'"&amp;D$14&amp;"'!A2:E1000"), (INDIRECT("'"&amp;D$14&amp;"'!B2:B1000")=$B67) * (INDIRECT("'"&amp;D$14&amp;"'!C2:C1000")=$C67)
        ),
        5,
        FALSE
    )=0,
    "",
    VLOOKUP(
        $A67,
        _xlfn._xlws.FILTER(
            INDIRECT("'"&amp;D$14&amp;"'!A2:E1000"), (INDIRECT("'"&amp;D$14&amp;"'!B2:B1000")=$B67) * (INDIRECT("'"&amp;D$14&amp;"'!C2:C1000")=$C67)
        ),
        5,
        FALSE
    )
)</f>
        <v/>
      </c>
      <c r="E67" s="103">
        <f t="array" ref="E67">IF(
    VLOOKUP(
        $A67,
        _xlfn._xlws.FILTER(
            INDIRECT("'"&amp;E$14&amp;"'!A2:E1000"), (INDIRECT("'"&amp;E$14&amp;"'!B2:B1000")=$B67) * (INDIRECT("'"&amp;E$14&amp;"'!C2:C1000")=$C67)
        ),
        5,
        FALSE
    )=0,
    "",
    VLOOKUP(
        $A67,
        _xlfn._xlws.FILTER(
            INDIRECT("'"&amp;E$14&amp;"'!A2:E1000"), (INDIRECT("'"&amp;E$14&amp;"'!B2:B1000")=$B67) * (INDIRECT("'"&amp;E$14&amp;"'!C2:C1000")=$C67)
        ),
        5,
        FALSE
    )
)</f>
        <v/>
      </c>
      <c r="F67" s="103">
        <f t="array" ref="F67">IF(
    VLOOKUP(
        $A67,
        _xlfn._xlws.FILTER(
            INDIRECT("'"&amp;F$14&amp;"'!A2:E1000"), (INDIRECT("'"&amp;F$14&amp;"'!B2:B1000")=$B67) * (INDIRECT("'"&amp;F$14&amp;"'!C2:C1000")=$C67)
        ),
        5,
        FALSE
    )=0,
    "",
    VLOOKUP(
        $A67,
        _xlfn._xlws.FILTER(
            INDIRECT("'"&amp;F$14&amp;"'!A2:E1000"), (INDIRECT("'"&amp;F$14&amp;"'!B2:B1000")=$B67) * (INDIRECT("'"&amp;F$14&amp;"'!C2:C1000")=$C67)
        ),
        5,
        FALSE
    )
)</f>
        <v/>
      </c>
      <c r="G67" s="103">
        <f t="array" ref="G67">IF(
    VLOOKUP(
        $A67,
        _xlfn._xlws.FILTER(
            INDIRECT("'"&amp;G$14&amp;"'!A2:E1000"), (INDIRECT("'"&amp;G$14&amp;"'!B2:B1000")=$B67) * (INDIRECT("'"&amp;G$14&amp;"'!C2:C1000")=$C67)
        ),
        5,
        FALSE
    )=0,
    "",
    VLOOKUP(
        $A67,
        _xlfn._xlws.FILTER(
            INDIRECT("'"&amp;G$14&amp;"'!A2:E1000"), (INDIRECT("'"&amp;G$14&amp;"'!B2:B1000")=$B67) * (INDIRECT("'"&amp;G$14&amp;"'!C2:C1000")=$C67)
        ),
        5,
        FALSE
    )
)</f>
        <v/>
      </c>
      <c r="H67" s="103">
        <f t="array" ref="H67">IF(
    VLOOKUP(
        $A67,
        _xlfn._xlws.FILTER(
            INDIRECT("'"&amp;H$14&amp;"'!A2:E1000"), (INDIRECT("'"&amp;H$14&amp;"'!B2:B1000")=$B67) * (INDIRECT("'"&amp;H$14&amp;"'!C2:C1000")=$C67)
        ),
        5,
        FALSE
    )=0,
    "",
    VLOOKUP(
        $A67,
        _xlfn._xlws.FILTER(
            INDIRECT("'"&amp;H$14&amp;"'!A2:E1000"), (INDIRECT("'"&amp;H$14&amp;"'!B2:B1000")=$B67) * (INDIRECT("'"&amp;H$14&amp;"'!C2:C1000")=$C67)
        ),
        5,
        FALSE
    )
)</f>
        <v/>
      </c>
      <c r="I67" s="103">
        <f t="array" ref="I67">IF(
    VLOOKUP(
        $A67,
        _xlfn._xlws.FILTER(
            INDIRECT("'"&amp;I$14&amp;"'!A2:E1000"), (INDIRECT("'"&amp;I$14&amp;"'!B2:B1000")=$B67) * (INDIRECT("'"&amp;I$14&amp;"'!C2:C1000")=$C67)
        ),
        5,
        FALSE
    )=0,
    "",
    VLOOKUP(
        $A67,
        _xlfn._xlws.FILTER(
            INDIRECT("'"&amp;I$14&amp;"'!A2:E1000"), (INDIRECT("'"&amp;I$14&amp;"'!B2:B1000")=$B67) * (INDIRECT("'"&amp;I$14&amp;"'!C2:C1000")=$C67)
        ),
        5,
        FALSE
    )
)</f>
        <v/>
      </c>
      <c r="J67" s="103">
        <f t="array" ref="J67">IF(
    VLOOKUP(
        $A67,
        _xlfn._xlws.FILTER(
            INDIRECT("'"&amp;J$14&amp;"'!A2:E1000"), (INDIRECT("'"&amp;J$14&amp;"'!B2:B1000")=$B67) * (INDIRECT("'"&amp;J$14&amp;"'!C2:C1000")=$C67)
        ),
        5,
        FALSE
    )=0,
    "",
    VLOOKUP(
        $A67,
        _xlfn._xlws.FILTER(
            INDIRECT("'"&amp;J$14&amp;"'!A2:E1000"), (INDIRECT("'"&amp;J$14&amp;"'!B2:B1000")=$B67) * (INDIRECT("'"&amp;J$14&amp;"'!C2:C1000")=$C67)
        ),
        5,
        FALSE
    )
)</f>
        <v/>
      </c>
      <c r="K67" s="103">
        <f t="array" ref="K67">IF(
    VLOOKUP(
        $A67,
        _xlfn._xlws.FILTER(
            INDIRECT("'"&amp;K$14&amp;"'!A2:E1000"), (INDIRECT("'"&amp;K$14&amp;"'!B2:B1000")=$B67) * (INDIRECT("'"&amp;K$14&amp;"'!C2:C1000")=$C67)
        ),
        5,
        FALSE
    )=0,
    "",
    VLOOKUP(
        $A67,
        _xlfn._xlws.FILTER(
            INDIRECT("'"&amp;K$14&amp;"'!A2:E1000"), (INDIRECT("'"&amp;K$14&amp;"'!B2:B1000")=$B67) * (INDIRECT("'"&amp;K$14&amp;"'!C2:C1000")=$C67)
        ),
        5,
        FALSE
    )
)</f>
        <v/>
      </c>
      <c r="L67" s="103">
        <f t="array" ref="L67">IF(
    VLOOKUP(
        $A67,
        _xlfn._xlws.FILTER(
            INDIRECT("'"&amp;L$14&amp;"'!A2:E1000"), (INDIRECT("'"&amp;L$14&amp;"'!B2:B1000")=$B67) * (INDIRECT("'"&amp;L$14&amp;"'!C2:C1000")=$C67)
        ),
        5,
        FALSE
    )=0,
    "",
    VLOOKUP(
        $A67,
        _xlfn._xlws.FILTER(
            INDIRECT("'"&amp;L$14&amp;"'!A2:E1000"), (INDIRECT("'"&amp;L$14&amp;"'!B2:B1000")=$B67) * (INDIRECT("'"&amp;L$14&amp;"'!C2:C1000")=$C67)
        ),
        5,
        FALSE
    )
)</f>
        <v/>
      </c>
      <c r="M67" s="103">
        <f t="array" ref="M67">IF(
    VLOOKUP(
        $A67,
        _xlfn._xlws.FILTER(
            INDIRECT("'"&amp;M$14&amp;"'!A2:E1000"), (INDIRECT("'"&amp;M$14&amp;"'!B2:B1000")=$B67) * (INDIRECT("'"&amp;M$14&amp;"'!C2:C1000")=$C67)
        ),
        5,
        FALSE
    )=0,
    "",
    VLOOKUP(
        $A67,
        _xlfn._xlws.FILTER(
            INDIRECT("'"&amp;M$14&amp;"'!A2:E1000"), (INDIRECT("'"&amp;M$14&amp;"'!B2:B1000")=$B67) * (INDIRECT("'"&amp;M$14&amp;"'!C2:C1000")=$C67)
        ),
        5,
        FALSE
    )
)</f>
        <v/>
      </c>
      <c r="N67" s="103">
        <f t="array" ref="N67">IF(
    VLOOKUP(
        $A67,
        _xlfn._xlws.FILTER(
            INDIRECT("'"&amp;N$14&amp;"'!A2:E1000"), (INDIRECT("'"&amp;N$14&amp;"'!B2:B1000")=$B67) * (INDIRECT("'"&amp;N$14&amp;"'!C2:C1000")=$C67)
        ),
        5,
        FALSE
    )=0,
    "",
    VLOOKUP(
        $A67,
        _xlfn._xlws.FILTER(
            INDIRECT("'"&amp;N$14&amp;"'!A2:E1000"), (INDIRECT("'"&amp;N$14&amp;"'!B2:B1000")=$B67) * (INDIRECT("'"&amp;N$14&amp;"'!C2:C1000")=$C67)
        ),
        5,
        FALSE
    )
)</f>
        <v/>
      </c>
      <c r="O67" s="103">
        <f t="array" ref="O67">IF(
    VLOOKUP(
        $A67,
        _xlfn._xlws.FILTER(
            INDIRECT("'"&amp;O$14&amp;"'!A2:E1000"), (INDIRECT("'"&amp;O$14&amp;"'!B2:B1000")=$B67) * (INDIRECT("'"&amp;O$14&amp;"'!C2:C1000")=$C67)
        ),
        5,
        FALSE
    )=0,
    "",
    VLOOKUP(
        $A67,
        _xlfn._xlws.FILTER(
            INDIRECT("'"&amp;O$14&amp;"'!A2:E1000"), (INDIRECT("'"&amp;O$14&amp;"'!B2:B1000")=$B67) * (INDIRECT("'"&amp;O$14&amp;"'!C2:C1000")=$C67)
        ),
        5,
        FALSE
    )
)</f>
        <v/>
      </c>
      <c r="P67" s="103">
        <f t="array" ref="P67">IF(
    VLOOKUP(
        $A67,
        _xlfn._xlws.FILTER(
            INDIRECT("'"&amp;P$14&amp;"'!A2:E1000"), (INDIRECT("'"&amp;P$14&amp;"'!B2:B1000")=$B67) * (INDIRECT("'"&amp;P$14&amp;"'!C2:C1000")=$C67)
        ),
        5,
        FALSE
    )=0,
    "",
    VLOOKUP(
        $A67,
        _xlfn._xlws.FILTER(
            INDIRECT("'"&amp;P$14&amp;"'!A2:E1000"), (INDIRECT("'"&amp;P$14&amp;"'!B2:B1000")=$B67) * (INDIRECT("'"&amp;P$14&amp;"'!C2:C1000")=$C67)
        ),
        5,
        FALSE
    )
)</f>
        <v/>
      </c>
      <c r="Q67" s="103">
        <f t="array" ref="Q67">IF(
    VLOOKUP(
        $A67,
        _xlfn._xlws.FILTER(
            INDIRECT("'"&amp;Q$14&amp;"'!A2:E1000"), (INDIRECT("'"&amp;Q$14&amp;"'!B2:B1000")=$B67) * (INDIRECT("'"&amp;Q$14&amp;"'!C2:C1000")=$C67)
        ),
        5,
        FALSE
    )=0,
    "",
    VLOOKUP(
        $A67,
        _xlfn._xlws.FILTER(
            INDIRECT("'"&amp;Q$14&amp;"'!A2:E1000"), (INDIRECT("'"&amp;Q$14&amp;"'!B2:B1000")=$B67) * (INDIRECT("'"&amp;Q$14&amp;"'!C2:C1000")=$C67)
        ),
        5,
        FALSE
    )
)</f>
        <v/>
      </c>
    </row>
    <row r="68"/>
    <row r="69" ht="15.75" customHeight="1">
      <c r="A69" s="110" t="inlineStr">
        <is>
          <t>Regional</t>
        </is>
      </c>
      <c r="B69" s="98" t="inlineStr">
        <is>
          <t>Municípios</t>
        </is>
      </c>
      <c r="C69" s="98" t="inlineStr">
        <is>
          <t>UVR</t>
        </is>
      </c>
      <c r="D69" s="99" t="inlineStr">
        <is>
          <t>11.24</t>
        </is>
      </c>
      <c r="E69" s="100" t="inlineStr">
        <is>
          <t>12.24</t>
        </is>
      </c>
      <c r="F69" s="101" t="inlineStr">
        <is>
          <t>01.25</t>
        </is>
      </c>
      <c r="G69" s="101" t="inlineStr">
        <is>
          <t>02.25</t>
        </is>
      </c>
      <c r="H69" s="101" t="inlineStr">
        <is>
          <t>03.25</t>
        </is>
      </c>
      <c r="I69" s="101" t="inlineStr">
        <is>
          <t>04.25</t>
        </is>
      </c>
      <c r="J69" s="101" t="inlineStr">
        <is>
          <t>05.25</t>
        </is>
      </c>
      <c r="K69" s="101" t="inlineStr">
        <is>
          <t>06.25</t>
        </is>
      </c>
      <c r="L69" s="102" t="inlineStr">
        <is>
          <t>07.25</t>
        </is>
      </c>
      <c r="M69" s="102" t="inlineStr">
        <is>
          <t>08.25</t>
        </is>
      </c>
      <c r="N69" s="102" t="inlineStr">
        <is>
          <t>09.25</t>
        </is>
      </c>
      <c r="O69" s="102" t="inlineStr">
        <is>
          <t>10.25</t>
        </is>
      </c>
      <c r="P69" s="102" t="inlineStr">
        <is>
          <t>11.25</t>
        </is>
      </c>
      <c r="Q69" s="102" t="inlineStr">
        <is>
          <t>12.25</t>
        </is>
      </c>
    </row>
    <row r="70">
      <c r="A70" s="58" t="inlineStr">
        <is>
          <t>Valquiria</t>
        </is>
      </c>
      <c r="B70" s="50" t="inlineStr">
        <is>
          <t>Capitão Leonidas Marques</t>
        </is>
      </c>
      <c r="C70" s="50" t="n">
        <v>1</v>
      </c>
      <c r="D70" s="103">
        <f t="array" ref="D70">IF(
    VLOOKUP(
        $A70,
        _xlfn._xlws.FILTER(
            INDIRECT("'"&amp;D$14&amp;"'!A2:E1000"), (INDIRECT("'"&amp;D$14&amp;"'!B2:B1000")=$B70) * (INDIRECT("'"&amp;D$14&amp;"'!C2:C1000")=$C70)
        ),
        5,
        FALSE
    )=0,
    "",
    VLOOKUP(
        $A70,
        _xlfn._xlws.FILTER(
            INDIRECT("'"&amp;D$14&amp;"'!A2:E1000"), (INDIRECT("'"&amp;D$14&amp;"'!B2:B1000")=$B70) * (INDIRECT("'"&amp;D$14&amp;"'!C2:C1000")=$C70)
        ),
        5,
        FALSE
    )
)</f>
        <v/>
      </c>
      <c r="E70" s="103">
        <f t="array" ref="E70">IF(
    VLOOKUP(
        $A70,
        _xlfn._xlws.FILTER(
            INDIRECT("'"&amp;E$14&amp;"'!A2:E1000"), (INDIRECT("'"&amp;E$14&amp;"'!B2:B1000")=$B70) * (INDIRECT("'"&amp;E$14&amp;"'!C2:C1000")=$C70)
        ),
        5,
        FALSE
    )=0,
    "",
    VLOOKUP(
        $A70,
        _xlfn._xlws.FILTER(
            INDIRECT("'"&amp;E$14&amp;"'!A2:E1000"), (INDIRECT("'"&amp;E$14&amp;"'!B2:B1000")=$B70) * (INDIRECT("'"&amp;E$14&amp;"'!C2:C1000")=$C70)
        ),
        5,
        FALSE
    )
)</f>
        <v/>
      </c>
      <c r="F70" s="103">
        <f t="array" ref="F70">IF(
    VLOOKUP(
        $A70,
        _xlfn._xlws.FILTER(
            INDIRECT("'"&amp;F$14&amp;"'!A2:E1000"), (INDIRECT("'"&amp;F$14&amp;"'!B2:B1000")=$B70) * (INDIRECT("'"&amp;F$14&amp;"'!C2:C1000")=$C70)
        ),
        5,
        FALSE
    )=0,
    "",
    VLOOKUP(
        $A70,
        _xlfn._xlws.FILTER(
            INDIRECT("'"&amp;F$14&amp;"'!A2:E1000"), (INDIRECT("'"&amp;F$14&amp;"'!B2:B1000")=$B70) * (INDIRECT("'"&amp;F$14&amp;"'!C2:C1000")=$C70)
        ),
        5,
        FALSE
    )
)</f>
        <v/>
      </c>
      <c r="G70" s="103">
        <f t="array" ref="G70">IF(
    VLOOKUP(
        $A70,
        _xlfn._xlws.FILTER(
            INDIRECT("'"&amp;G$14&amp;"'!A2:E1000"), (INDIRECT("'"&amp;G$14&amp;"'!B2:B1000")=$B70) * (INDIRECT("'"&amp;G$14&amp;"'!C2:C1000")=$C70)
        ),
        5,
        FALSE
    )=0,
    "",
    VLOOKUP(
        $A70,
        _xlfn._xlws.FILTER(
            INDIRECT("'"&amp;G$14&amp;"'!A2:E1000"), (INDIRECT("'"&amp;G$14&amp;"'!B2:B1000")=$B70) * (INDIRECT("'"&amp;G$14&amp;"'!C2:C1000")=$C70)
        ),
        5,
        FALSE
    )
)</f>
        <v/>
      </c>
      <c r="H70" s="103">
        <f t="array" ref="H70">IF(
    VLOOKUP(
        $A70,
        _xlfn._xlws.FILTER(
            INDIRECT("'"&amp;H$14&amp;"'!A2:E1000"), (INDIRECT("'"&amp;H$14&amp;"'!B2:B1000")=$B70) * (INDIRECT("'"&amp;H$14&amp;"'!C2:C1000")=$C70)
        ),
        5,
        FALSE
    )=0,
    "",
    VLOOKUP(
        $A70,
        _xlfn._xlws.FILTER(
            INDIRECT("'"&amp;H$14&amp;"'!A2:E1000"), (INDIRECT("'"&amp;H$14&amp;"'!B2:B1000")=$B70) * (INDIRECT("'"&amp;H$14&amp;"'!C2:C1000")=$C70)
        ),
        5,
        FALSE
    )
)</f>
        <v/>
      </c>
      <c r="I70" s="103">
        <f t="array" ref="I70">IF(
    VLOOKUP(
        $A70,
        _xlfn._xlws.FILTER(
            INDIRECT("'"&amp;I$14&amp;"'!A2:E1000"), (INDIRECT("'"&amp;I$14&amp;"'!B2:B1000")=$B70) * (INDIRECT("'"&amp;I$14&amp;"'!C2:C1000")=$C70)
        ),
        5,
        FALSE
    )=0,
    "",
    VLOOKUP(
        $A70,
        _xlfn._xlws.FILTER(
            INDIRECT("'"&amp;I$14&amp;"'!A2:E1000"), (INDIRECT("'"&amp;I$14&amp;"'!B2:B1000")=$B70) * (INDIRECT("'"&amp;I$14&amp;"'!C2:C1000")=$C70)
        ),
        5,
        FALSE
    )
)</f>
        <v/>
      </c>
      <c r="J70" s="103">
        <f t="array" ref="J70">IF(
    VLOOKUP(
        $A70,
        _xlfn._xlws.FILTER(
            INDIRECT("'"&amp;J$14&amp;"'!A2:E1000"), (INDIRECT("'"&amp;J$14&amp;"'!B2:B1000")=$B70) * (INDIRECT("'"&amp;J$14&amp;"'!C2:C1000")=$C70)
        ),
        5,
        FALSE
    )=0,
    "",
    VLOOKUP(
        $A70,
        _xlfn._xlws.FILTER(
            INDIRECT("'"&amp;J$14&amp;"'!A2:E1000"), (INDIRECT("'"&amp;J$14&amp;"'!B2:B1000")=$B70) * (INDIRECT("'"&amp;J$14&amp;"'!C2:C1000")=$C70)
        ),
        5,
        FALSE
    )
)</f>
        <v/>
      </c>
      <c r="K70" s="103">
        <f t="array" ref="K70">IF(
    VLOOKUP(
        $A70,
        _xlfn._xlws.FILTER(
            INDIRECT("'"&amp;K$14&amp;"'!A2:E1000"), (INDIRECT("'"&amp;K$14&amp;"'!B2:B1000")=$B70) * (INDIRECT("'"&amp;K$14&amp;"'!C2:C1000")=$C70)
        ),
        5,
        FALSE
    )=0,
    "",
    VLOOKUP(
        $A70,
        _xlfn._xlws.FILTER(
            INDIRECT("'"&amp;K$14&amp;"'!A2:E1000"), (INDIRECT("'"&amp;K$14&amp;"'!B2:B1000")=$B70) * (INDIRECT("'"&amp;K$14&amp;"'!C2:C1000")=$C70)
        ),
        5,
        FALSE
    )
)</f>
        <v/>
      </c>
      <c r="L70" s="103">
        <f t="array" ref="L70">IF(
    VLOOKUP(
        $A70,
        _xlfn._xlws.FILTER(
            INDIRECT("'"&amp;L$14&amp;"'!A2:E1000"), (INDIRECT("'"&amp;L$14&amp;"'!B2:B1000")=$B70) * (INDIRECT("'"&amp;L$14&amp;"'!C2:C1000")=$C70)
        ),
        5,
        FALSE
    )=0,
    "",
    VLOOKUP(
        $A70,
        _xlfn._xlws.FILTER(
            INDIRECT("'"&amp;L$14&amp;"'!A2:E1000"), (INDIRECT("'"&amp;L$14&amp;"'!B2:B1000")=$B70) * (INDIRECT("'"&amp;L$14&amp;"'!C2:C1000")=$C70)
        ),
        5,
        FALSE
    )
)</f>
        <v/>
      </c>
      <c r="M70" s="103">
        <f t="array" ref="M70">IF(
    VLOOKUP(
        $A70,
        _xlfn._xlws.FILTER(
            INDIRECT("'"&amp;M$14&amp;"'!A2:E1000"), (INDIRECT("'"&amp;M$14&amp;"'!B2:B1000")=$B70) * (INDIRECT("'"&amp;M$14&amp;"'!C2:C1000")=$C70)
        ),
        5,
        FALSE
    )=0,
    "",
    VLOOKUP(
        $A70,
        _xlfn._xlws.FILTER(
            INDIRECT("'"&amp;M$14&amp;"'!A2:E1000"), (INDIRECT("'"&amp;M$14&amp;"'!B2:B1000")=$B70) * (INDIRECT("'"&amp;M$14&amp;"'!C2:C1000")=$C70)
        ),
        5,
        FALSE
    )
)</f>
        <v/>
      </c>
      <c r="N70" s="103">
        <f t="array" ref="N70">IF(
    VLOOKUP(
        $A70,
        _xlfn._xlws.FILTER(
            INDIRECT("'"&amp;N$14&amp;"'!A2:E1000"), (INDIRECT("'"&amp;N$14&amp;"'!B2:B1000")=$B70) * (INDIRECT("'"&amp;N$14&amp;"'!C2:C1000")=$C70)
        ),
        5,
        FALSE
    )=0,
    "",
    VLOOKUP(
        $A70,
        _xlfn._xlws.FILTER(
            INDIRECT("'"&amp;N$14&amp;"'!A2:E1000"), (INDIRECT("'"&amp;N$14&amp;"'!B2:B1000")=$B70) * (INDIRECT("'"&amp;N$14&amp;"'!C2:C1000")=$C70)
        ),
        5,
        FALSE
    )
)</f>
        <v/>
      </c>
      <c r="O70" s="103">
        <f t="array" ref="O70">IF(
    VLOOKUP(
        $A70,
        _xlfn._xlws.FILTER(
            INDIRECT("'"&amp;O$14&amp;"'!A2:E1000"), (INDIRECT("'"&amp;O$14&amp;"'!B2:B1000")=$B70) * (INDIRECT("'"&amp;O$14&amp;"'!C2:C1000")=$C70)
        ),
        5,
        FALSE
    )=0,
    "",
    VLOOKUP(
        $A70,
        _xlfn._xlws.FILTER(
            INDIRECT("'"&amp;O$14&amp;"'!A2:E1000"), (INDIRECT("'"&amp;O$14&amp;"'!B2:B1000")=$B70) * (INDIRECT("'"&amp;O$14&amp;"'!C2:C1000")=$C70)
        ),
        5,
        FALSE
    )
)</f>
        <v/>
      </c>
      <c r="P70" s="103">
        <f t="array" ref="P70">IF(
    VLOOKUP(
        $A70,
        _xlfn._xlws.FILTER(
            INDIRECT("'"&amp;P$14&amp;"'!A2:E1000"), (INDIRECT("'"&amp;P$14&amp;"'!B2:B1000")=$B70) * (INDIRECT("'"&amp;P$14&amp;"'!C2:C1000")=$C70)
        ),
        5,
        FALSE
    )=0,
    "",
    VLOOKUP(
        $A70,
        _xlfn._xlws.FILTER(
            INDIRECT("'"&amp;P$14&amp;"'!A2:E1000"), (INDIRECT("'"&amp;P$14&amp;"'!B2:B1000")=$B70) * (INDIRECT("'"&amp;P$14&amp;"'!C2:C1000")=$C70)
        ),
        5,
        FALSE
    )
)</f>
        <v/>
      </c>
      <c r="Q70" s="103">
        <f t="array" ref="Q70">IF(
    VLOOKUP(
        $A70,
        _xlfn._xlws.FILTER(
            INDIRECT("'"&amp;Q$14&amp;"'!A2:E1000"), (INDIRECT("'"&amp;Q$14&amp;"'!B2:B1000")=$B70) * (INDIRECT("'"&amp;Q$14&amp;"'!C2:C1000")=$C70)
        ),
        5,
        FALSE
    )=0,
    "",
    VLOOKUP(
        $A70,
        _xlfn._xlws.FILTER(
            INDIRECT("'"&amp;Q$14&amp;"'!A2:E1000"), (INDIRECT("'"&amp;Q$14&amp;"'!B2:B1000")=$B70) * (INDIRECT("'"&amp;Q$14&amp;"'!C2:C1000")=$C70)
        ),
        5,
        FALSE
    )
)</f>
        <v/>
      </c>
    </row>
    <row r="71">
      <c r="A71" s="58" t="inlineStr">
        <is>
          <t>Valquiria</t>
        </is>
      </c>
      <c r="B71" s="50" t="inlineStr">
        <is>
          <t>Cascavel</t>
        </is>
      </c>
      <c r="C71" s="50" t="n">
        <v>1</v>
      </c>
      <c r="D71" s="103">
        <f t="array" ref="D71">IF(
    VLOOKUP(
        $A71,
        _xlfn._xlws.FILTER(
            INDIRECT("'"&amp;D$14&amp;"'!A2:E1000"), (INDIRECT("'"&amp;D$14&amp;"'!B2:B1000")=$B71) * (INDIRECT("'"&amp;D$14&amp;"'!C2:C1000")=$C71)
        ),
        5,
        FALSE
    )=0,
    "",
    VLOOKUP(
        $A71,
        _xlfn._xlws.FILTER(
            INDIRECT("'"&amp;D$14&amp;"'!A2:E1000"), (INDIRECT("'"&amp;D$14&amp;"'!B2:B1000")=$B71) * (INDIRECT("'"&amp;D$14&amp;"'!C2:C1000")=$C71)
        ),
        5,
        FALSE
    )
)</f>
        <v/>
      </c>
      <c r="E71" s="103">
        <f t="array" ref="E71">IF(
    VLOOKUP(
        $A71,
        _xlfn._xlws.FILTER(
            INDIRECT("'"&amp;E$14&amp;"'!A2:E1000"), (INDIRECT("'"&amp;E$14&amp;"'!B2:B1000")=$B71) * (INDIRECT("'"&amp;E$14&amp;"'!C2:C1000")=$C71)
        ),
        5,
        FALSE
    )=0,
    "",
    VLOOKUP(
        $A71,
        _xlfn._xlws.FILTER(
            INDIRECT("'"&amp;E$14&amp;"'!A2:E1000"), (INDIRECT("'"&amp;E$14&amp;"'!B2:B1000")=$B71) * (INDIRECT("'"&amp;E$14&amp;"'!C2:C1000")=$C71)
        ),
        5,
        FALSE
    )
)</f>
        <v/>
      </c>
      <c r="F71" s="103">
        <f t="array" ref="F71">IF(
    VLOOKUP(
        $A71,
        _xlfn._xlws.FILTER(
            INDIRECT("'"&amp;F$14&amp;"'!A2:E1000"), (INDIRECT("'"&amp;F$14&amp;"'!B2:B1000")=$B71) * (INDIRECT("'"&amp;F$14&amp;"'!C2:C1000")=$C71)
        ),
        5,
        FALSE
    )=0,
    "",
    VLOOKUP(
        $A71,
        _xlfn._xlws.FILTER(
            INDIRECT("'"&amp;F$14&amp;"'!A2:E1000"), (INDIRECT("'"&amp;F$14&amp;"'!B2:B1000")=$B71) * (INDIRECT("'"&amp;F$14&amp;"'!C2:C1000")=$C71)
        ),
        5,
        FALSE
    )
)</f>
        <v/>
      </c>
      <c r="G71" s="103">
        <f t="array" ref="G71">IF(
    VLOOKUP(
        $A71,
        _xlfn._xlws.FILTER(
            INDIRECT("'"&amp;G$14&amp;"'!A2:E1000"), (INDIRECT("'"&amp;G$14&amp;"'!B2:B1000")=$B71) * (INDIRECT("'"&amp;G$14&amp;"'!C2:C1000")=$C71)
        ),
        5,
        FALSE
    )=0,
    "",
    VLOOKUP(
        $A71,
        _xlfn._xlws.FILTER(
            INDIRECT("'"&amp;G$14&amp;"'!A2:E1000"), (INDIRECT("'"&amp;G$14&amp;"'!B2:B1000")=$B71) * (INDIRECT("'"&amp;G$14&amp;"'!C2:C1000")=$C71)
        ),
        5,
        FALSE
    )
)</f>
        <v/>
      </c>
      <c r="H71" s="103">
        <f t="array" ref="H71">IF(
    VLOOKUP(
        $A71,
        _xlfn._xlws.FILTER(
            INDIRECT("'"&amp;H$14&amp;"'!A2:E1000"), (INDIRECT("'"&amp;H$14&amp;"'!B2:B1000")=$B71) * (INDIRECT("'"&amp;H$14&amp;"'!C2:C1000")=$C71)
        ),
        5,
        FALSE
    )=0,
    "",
    VLOOKUP(
        $A71,
        _xlfn._xlws.FILTER(
            INDIRECT("'"&amp;H$14&amp;"'!A2:E1000"), (INDIRECT("'"&amp;H$14&amp;"'!B2:B1000")=$B71) * (INDIRECT("'"&amp;H$14&amp;"'!C2:C1000")=$C71)
        ),
        5,
        FALSE
    )
)</f>
        <v/>
      </c>
      <c r="I71" s="103">
        <f t="array" ref="I71">IF(
    VLOOKUP(
        $A71,
        _xlfn._xlws.FILTER(
            INDIRECT("'"&amp;I$14&amp;"'!A2:E1000"), (INDIRECT("'"&amp;I$14&amp;"'!B2:B1000")=$B71) * (INDIRECT("'"&amp;I$14&amp;"'!C2:C1000")=$C71)
        ),
        5,
        FALSE
    )=0,
    "",
    VLOOKUP(
        $A71,
        _xlfn._xlws.FILTER(
            INDIRECT("'"&amp;I$14&amp;"'!A2:E1000"), (INDIRECT("'"&amp;I$14&amp;"'!B2:B1000")=$B71) * (INDIRECT("'"&amp;I$14&amp;"'!C2:C1000")=$C71)
        ),
        5,
        FALSE
    )
)</f>
        <v/>
      </c>
      <c r="J71" s="103">
        <f t="array" ref="J71">IF(
    VLOOKUP(
        $A71,
        _xlfn._xlws.FILTER(
            INDIRECT("'"&amp;J$14&amp;"'!A2:E1000"), (INDIRECT("'"&amp;J$14&amp;"'!B2:B1000")=$B71) * (INDIRECT("'"&amp;J$14&amp;"'!C2:C1000")=$C71)
        ),
        5,
        FALSE
    )=0,
    "",
    VLOOKUP(
        $A71,
        _xlfn._xlws.FILTER(
            INDIRECT("'"&amp;J$14&amp;"'!A2:E1000"), (INDIRECT("'"&amp;J$14&amp;"'!B2:B1000")=$B71) * (INDIRECT("'"&amp;J$14&amp;"'!C2:C1000")=$C71)
        ),
        5,
        FALSE
    )
)</f>
        <v/>
      </c>
      <c r="K71" s="103">
        <f t="array" ref="K71">IF(
    VLOOKUP(
        $A71,
        _xlfn._xlws.FILTER(
            INDIRECT("'"&amp;K$14&amp;"'!A2:E1000"), (INDIRECT("'"&amp;K$14&amp;"'!B2:B1000")=$B71) * (INDIRECT("'"&amp;K$14&amp;"'!C2:C1000")=$C71)
        ),
        5,
        FALSE
    )=0,
    "",
    VLOOKUP(
        $A71,
        _xlfn._xlws.FILTER(
            INDIRECT("'"&amp;K$14&amp;"'!A2:E1000"), (INDIRECT("'"&amp;K$14&amp;"'!B2:B1000")=$B71) * (INDIRECT("'"&amp;K$14&amp;"'!C2:C1000")=$C71)
        ),
        5,
        FALSE
    )
)</f>
        <v/>
      </c>
      <c r="L71" s="103">
        <f t="array" ref="L71">IF(
    VLOOKUP(
        $A71,
        _xlfn._xlws.FILTER(
            INDIRECT("'"&amp;L$14&amp;"'!A2:E1000"), (INDIRECT("'"&amp;L$14&amp;"'!B2:B1000")=$B71) * (INDIRECT("'"&amp;L$14&amp;"'!C2:C1000")=$C71)
        ),
        5,
        FALSE
    )=0,
    "",
    VLOOKUP(
        $A71,
        _xlfn._xlws.FILTER(
            INDIRECT("'"&amp;L$14&amp;"'!A2:E1000"), (INDIRECT("'"&amp;L$14&amp;"'!B2:B1000")=$B71) * (INDIRECT("'"&amp;L$14&amp;"'!C2:C1000")=$C71)
        ),
        5,
        FALSE
    )
)</f>
        <v/>
      </c>
      <c r="M71" s="103">
        <f t="array" ref="M71">IF(
    VLOOKUP(
        $A71,
        _xlfn._xlws.FILTER(
            INDIRECT("'"&amp;M$14&amp;"'!A2:E1000"), (INDIRECT("'"&amp;M$14&amp;"'!B2:B1000")=$B71) * (INDIRECT("'"&amp;M$14&amp;"'!C2:C1000")=$C71)
        ),
        5,
        FALSE
    )=0,
    "",
    VLOOKUP(
        $A71,
        _xlfn._xlws.FILTER(
            INDIRECT("'"&amp;M$14&amp;"'!A2:E1000"), (INDIRECT("'"&amp;M$14&amp;"'!B2:B1000")=$B71) * (INDIRECT("'"&amp;M$14&amp;"'!C2:C1000")=$C71)
        ),
        5,
        FALSE
    )
)</f>
        <v/>
      </c>
      <c r="N71" s="103">
        <f t="array" ref="N71">IF(
    VLOOKUP(
        $A71,
        _xlfn._xlws.FILTER(
            INDIRECT("'"&amp;N$14&amp;"'!A2:E1000"), (INDIRECT("'"&amp;N$14&amp;"'!B2:B1000")=$B71) * (INDIRECT("'"&amp;N$14&amp;"'!C2:C1000")=$C71)
        ),
        5,
        FALSE
    )=0,
    "",
    VLOOKUP(
        $A71,
        _xlfn._xlws.FILTER(
            INDIRECT("'"&amp;N$14&amp;"'!A2:E1000"), (INDIRECT("'"&amp;N$14&amp;"'!B2:B1000")=$B71) * (INDIRECT("'"&amp;N$14&amp;"'!C2:C1000")=$C71)
        ),
        5,
        FALSE
    )
)</f>
        <v/>
      </c>
      <c r="O71" s="103">
        <f t="array" ref="O71">IF(
    VLOOKUP(
        $A71,
        _xlfn._xlws.FILTER(
            INDIRECT("'"&amp;O$14&amp;"'!A2:E1000"), (INDIRECT("'"&amp;O$14&amp;"'!B2:B1000")=$B71) * (INDIRECT("'"&amp;O$14&amp;"'!C2:C1000")=$C71)
        ),
        5,
        FALSE
    )=0,
    "",
    VLOOKUP(
        $A71,
        _xlfn._xlws.FILTER(
            INDIRECT("'"&amp;O$14&amp;"'!A2:E1000"), (INDIRECT("'"&amp;O$14&amp;"'!B2:B1000")=$B71) * (INDIRECT("'"&amp;O$14&amp;"'!C2:C1000")=$C71)
        ),
        5,
        FALSE
    )
)</f>
        <v/>
      </c>
      <c r="P71" s="103">
        <f t="array" ref="P71">IF(
    VLOOKUP(
        $A71,
        _xlfn._xlws.FILTER(
            INDIRECT("'"&amp;P$14&amp;"'!A2:E1000"), (INDIRECT("'"&amp;P$14&amp;"'!B2:B1000")=$B71) * (INDIRECT("'"&amp;P$14&amp;"'!C2:C1000")=$C71)
        ),
        5,
        FALSE
    )=0,
    "",
    VLOOKUP(
        $A71,
        _xlfn._xlws.FILTER(
            INDIRECT("'"&amp;P$14&amp;"'!A2:E1000"), (INDIRECT("'"&amp;P$14&amp;"'!B2:B1000")=$B71) * (INDIRECT("'"&amp;P$14&amp;"'!C2:C1000")=$C71)
        ),
        5,
        FALSE
    )
)</f>
        <v/>
      </c>
      <c r="Q71" s="103">
        <f t="array" ref="Q71">IF(
    VLOOKUP(
        $A71,
        _xlfn._xlws.FILTER(
            INDIRECT("'"&amp;Q$14&amp;"'!A2:E1000"), (INDIRECT("'"&amp;Q$14&amp;"'!B2:B1000")=$B71) * (INDIRECT("'"&amp;Q$14&amp;"'!C2:C1000")=$C71)
        ),
        5,
        FALSE
    )=0,
    "",
    VLOOKUP(
        $A71,
        _xlfn._xlws.FILTER(
            INDIRECT("'"&amp;Q$14&amp;"'!A2:E1000"), (INDIRECT("'"&amp;Q$14&amp;"'!B2:B1000")=$B71) * (INDIRECT("'"&amp;Q$14&amp;"'!C2:C1000")=$C71)
        ),
        5,
        FALSE
    )
)</f>
        <v/>
      </c>
    </row>
    <row r="72">
      <c r="A72" s="58" t="inlineStr">
        <is>
          <t>Valquiria</t>
        </is>
      </c>
      <c r="B72" s="50" t="inlineStr">
        <is>
          <t>Cascavel</t>
        </is>
      </c>
      <c r="C72" s="50" t="n">
        <v>2</v>
      </c>
      <c r="D72" s="103">
        <f t="array" ref="D72">IF(
    VLOOKUP(
        $A72,
        _xlfn._xlws.FILTER(
            INDIRECT("'"&amp;D$14&amp;"'!A2:E1000"), (INDIRECT("'"&amp;D$14&amp;"'!B2:B1000")=$B72) * (INDIRECT("'"&amp;D$14&amp;"'!C2:C1000")=$C72)
        ),
        5,
        FALSE
    )=0,
    "",
    VLOOKUP(
        $A72,
        _xlfn._xlws.FILTER(
            INDIRECT("'"&amp;D$14&amp;"'!A2:E1000"), (INDIRECT("'"&amp;D$14&amp;"'!B2:B1000")=$B72) * (INDIRECT("'"&amp;D$14&amp;"'!C2:C1000")=$C72)
        ),
        5,
        FALSE
    )
)</f>
        <v/>
      </c>
      <c r="E72" s="103">
        <f t="array" ref="E72">IF(
    VLOOKUP(
        $A72,
        _xlfn._xlws.FILTER(
            INDIRECT("'"&amp;E$14&amp;"'!A2:E1000"), (INDIRECT("'"&amp;E$14&amp;"'!B2:B1000")=$B72) * (INDIRECT("'"&amp;E$14&amp;"'!C2:C1000")=$C72)
        ),
        5,
        FALSE
    )=0,
    "",
    VLOOKUP(
        $A72,
        _xlfn._xlws.FILTER(
            INDIRECT("'"&amp;E$14&amp;"'!A2:E1000"), (INDIRECT("'"&amp;E$14&amp;"'!B2:B1000")=$B72) * (INDIRECT("'"&amp;E$14&amp;"'!C2:C1000")=$C72)
        ),
        5,
        FALSE
    )
)</f>
        <v/>
      </c>
      <c r="F72" s="103">
        <f t="array" ref="F72">IF(
    VLOOKUP(
        $A72,
        _xlfn._xlws.FILTER(
            INDIRECT("'"&amp;F$14&amp;"'!A2:E1000"), (INDIRECT("'"&amp;F$14&amp;"'!B2:B1000")=$B72) * (INDIRECT("'"&amp;F$14&amp;"'!C2:C1000")=$C72)
        ),
        5,
        FALSE
    )=0,
    "",
    VLOOKUP(
        $A72,
        _xlfn._xlws.FILTER(
            INDIRECT("'"&amp;F$14&amp;"'!A2:E1000"), (INDIRECT("'"&amp;F$14&amp;"'!B2:B1000")=$B72) * (INDIRECT("'"&amp;F$14&amp;"'!C2:C1000")=$C72)
        ),
        5,
        FALSE
    )
)</f>
        <v/>
      </c>
      <c r="G72" s="103">
        <f t="array" ref="G72">IF(
    VLOOKUP(
        $A72,
        _xlfn._xlws.FILTER(
            INDIRECT("'"&amp;G$14&amp;"'!A2:E1000"), (INDIRECT("'"&amp;G$14&amp;"'!B2:B1000")=$B72) * (INDIRECT("'"&amp;G$14&amp;"'!C2:C1000")=$C72)
        ),
        5,
        FALSE
    )=0,
    "",
    VLOOKUP(
        $A72,
        _xlfn._xlws.FILTER(
            INDIRECT("'"&amp;G$14&amp;"'!A2:E1000"), (INDIRECT("'"&amp;G$14&amp;"'!B2:B1000")=$B72) * (INDIRECT("'"&amp;G$14&amp;"'!C2:C1000")=$C72)
        ),
        5,
        FALSE
    )
)</f>
        <v/>
      </c>
      <c r="H72" s="103">
        <f t="array" ref="H72">IF(
    VLOOKUP(
        $A72,
        _xlfn._xlws.FILTER(
            INDIRECT("'"&amp;H$14&amp;"'!A2:E1000"), (INDIRECT("'"&amp;H$14&amp;"'!B2:B1000")=$B72) * (INDIRECT("'"&amp;H$14&amp;"'!C2:C1000")=$C72)
        ),
        5,
        FALSE
    )=0,
    "",
    VLOOKUP(
        $A72,
        _xlfn._xlws.FILTER(
            INDIRECT("'"&amp;H$14&amp;"'!A2:E1000"), (INDIRECT("'"&amp;H$14&amp;"'!B2:B1000")=$B72) * (INDIRECT("'"&amp;H$14&amp;"'!C2:C1000")=$C72)
        ),
        5,
        FALSE
    )
)</f>
        <v/>
      </c>
      <c r="I72" s="103">
        <f t="array" ref="I72">IF(
    VLOOKUP(
        $A72,
        _xlfn._xlws.FILTER(
            INDIRECT("'"&amp;I$14&amp;"'!A2:E1000"), (INDIRECT("'"&amp;I$14&amp;"'!B2:B1000")=$B72) * (INDIRECT("'"&amp;I$14&amp;"'!C2:C1000")=$C72)
        ),
        5,
        FALSE
    )=0,
    "",
    VLOOKUP(
        $A72,
        _xlfn._xlws.FILTER(
            INDIRECT("'"&amp;I$14&amp;"'!A2:E1000"), (INDIRECT("'"&amp;I$14&amp;"'!B2:B1000")=$B72) * (INDIRECT("'"&amp;I$14&amp;"'!C2:C1000")=$C72)
        ),
        5,
        FALSE
    )
)</f>
        <v/>
      </c>
      <c r="J72" s="103">
        <f t="array" ref="J72">IF(
    VLOOKUP(
        $A72,
        _xlfn._xlws.FILTER(
            INDIRECT("'"&amp;J$14&amp;"'!A2:E1000"), (INDIRECT("'"&amp;J$14&amp;"'!B2:B1000")=$B72) * (INDIRECT("'"&amp;J$14&amp;"'!C2:C1000")=$C72)
        ),
        5,
        FALSE
    )=0,
    "",
    VLOOKUP(
        $A72,
        _xlfn._xlws.FILTER(
            INDIRECT("'"&amp;J$14&amp;"'!A2:E1000"), (INDIRECT("'"&amp;J$14&amp;"'!B2:B1000")=$B72) * (INDIRECT("'"&amp;J$14&amp;"'!C2:C1000")=$C72)
        ),
        5,
        FALSE
    )
)</f>
        <v/>
      </c>
      <c r="K72" s="103">
        <f t="array" ref="K72">IF(
    VLOOKUP(
        $A72,
        _xlfn._xlws.FILTER(
            INDIRECT("'"&amp;K$14&amp;"'!A2:E1000"), (INDIRECT("'"&amp;K$14&amp;"'!B2:B1000")=$B72) * (INDIRECT("'"&amp;K$14&amp;"'!C2:C1000")=$C72)
        ),
        5,
        FALSE
    )=0,
    "",
    VLOOKUP(
        $A72,
        _xlfn._xlws.FILTER(
            INDIRECT("'"&amp;K$14&amp;"'!A2:E1000"), (INDIRECT("'"&amp;K$14&amp;"'!B2:B1000")=$B72) * (INDIRECT("'"&amp;K$14&amp;"'!C2:C1000")=$C72)
        ),
        5,
        FALSE
    )
)</f>
        <v/>
      </c>
      <c r="L72" s="103">
        <f t="array" ref="L72">IF(
    VLOOKUP(
        $A72,
        _xlfn._xlws.FILTER(
            INDIRECT("'"&amp;L$14&amp;"'!A2:E1000"), (INDIRECT("'"&amp;L$14&amp;"'!B2:B1000")=$B72) * (INDIRECT("'"&amp;L$14&amp;"'!C2:C1000")=$C72)
        ),
        5,
        FALSE
    )=0,
    "",
    VLOOKUP(
        $A72,
        _xlfn._xlws.FILTER(
            INDIRECT("'"&amp;L$14&amp;"'!A2:E1000"), (INDIRECT("'"&amp;L$14&amp;"'!B2:B1000")=$B72) * (INDIRECT("'"&amp;L$14&amp;"'!C2:C1000")=$C72)
        ),
        5,
        FALSE
    )
)</f>
        <v/>
      </c>
      <c r="M72" s="103">
        <f t="array" ref="M72">IF(
    VLOOKUP(
        $A72,
        _xlfn._xlws.FILTER(
            INDIRECT("'"&amp;M$14&amp;"'!A2:E1000"), (INDIRECT("'"&amp;M$14&amp;"'!B2:B1000")=$B72) * (INDIRECT("'"&amp;M$14&amp;"'!C2:C1000")=$C72)
        ),
        5,
        FALSE
    )=0,
    "",
    VLOOKUP(
        $A72,
        _xlfn._xlws.FILTER(
            INDIRECT("'"&amp;M$14&amp;"'!A2:E1000"), (INDIRECT("'"&amp;M$14&amp;"'!B2:B1000")=$B72) * (INDIRECT("'"&amp;M$14&amp;"'!C2:C1000")=$C72)
        ),
        5,
        FALSE
    )
)</f>
        <v/>
      </c>
      <c r="N72" s="103">
        <f t="array" ref="N72">IF(
    VLOOKUP(
        $A72,
        _xlfn._xlws.FILTER(
            INDIRECT("'"&amp;N$14&amp;"'!A2:E1000"), (INDIRECT("'"&amp;N$14&amp;"'!B2:B1000")=$B72) * (INDIRECT("'"&amp;N$14&amp;"'!C2:C1000")=$C72)
        ),
        5,
        FALSE
    )=0,
    "",
    VLOOKUP(
        $A72,
        _xlfn._xlws.FILTER(
            INDIRECT("'"&amp;N$14&amp;"'!A2:E1000"), (INDIRECT("'"&amp;N$14&amp;"'!B2:B1000")=$B72) * (INDIRECT("'"&amp;N$14&amp;"'!C2:C1000")=$C72)
        ),
        5,
        FALSE
    )
)</f>
        <v/>
      </c>
      <c r="O72" s="103">
        <f t="array" ref="O72">IF(
    VLOOKUP(
        $A72,
        _xlfn._xlws.FILTER(
            INDIRECT("'"&amp;O$14&amp;"'!A2:E1000"), (INDIRECT("'"&amp;O$14&amp;"'!B2:B1000")=$B72) * (INDIRECT("'"&amp;O$14&amp;"'!C2:C1000")=$C72)
        ),
        5,
        FALSE
    )=0,
    "",
    VLOOKUP(
        $A72,
        _xlfn._xlws.FILTER(
            INDIRECT("'"&amp;O$14&amp;"'!A2:E1000"), (INDIRECT("'"&amp;O$14&amp;"'!B2:B1000")=$B72) * (INDIRECT("'"&amp;O$14&amp;"'!C2:C1000")=$C72)
        ),
        5,
        FALSE
    )
)</f>
        <v/>
      </c>
      <c r="P72" s="103">
        <f t="array" ref="P72">IF(
    VLOOKUP(
        $A72,
        _xlfn._xlws.FILTER(
            INDIRECT("'"&amp;P$14&amp;"'!A2:E1000"), (INDIRECT("'"&amp;P$14&amp;"'!B2:B1000")=$B72) * (INDIRECT("'"&amp;P$14&amp;"'!C2:C1000")=$C72)
        ),
        5,
        FALSE
    )=0,
    "",
    VLOOKUP(
        $A72,
        _xlfn._xlws.FILTER(
            INDIRECT("'"&amp;P$14&amp;"'!A2:E1000"), (INDIRECT("'"&amp;P$14&amp;"'!B2:B1000")=$B72) * (INDIRECT("'"&amp;P$14&amp;"'!C2:C1000")=$C72)
        ),
        5,
        FALSE
    )
)</f>
        <v/>
      </c>
      <c r="Q72" s="103">
        <f t="array" ref="Q72">IF(
    VLOOKUP(
        $A72,
        _xlfn._xlws.FILTER(
            INDIRECT("'"&amp;Q$14&amp;"'!A2:E1000"), (INDIRECT("'"&amp;Q$14&amp;"'!B2:B1000")=$B72) * (INDIRECT("'"&amp;Q$14&amp;"'!C2:C1000")=$C72)
        ),
        5,
        FALSE
    )=0,
    "",
    VLOOKUP(
        $A72,
        _xlfn._xlws.FILTER(
            INDIRECT("'"&amp;Q$14&amp;"'!A2:E1000"), (INDIRECT("'"&amp;Q$14&amp;"'!B2:B1000")=$B72) * (INDIRECT("'"&amp;Q$14&amp;"'!C2:C1000")=$C72)
        ),
        5,
        FALSE
    )
)</f>
        <v/>
      </c>
    </row>
    <row r="73">
      <c r="A73" s="58" t="inlineStr">
        <is>
          <t>Valquiria</t>
        </is>
      </c>
      <c r="B73" s="50" t="inlineStr">
        <is>
          <t>Cascavel</t>
        </is>
      </c>
      <c r="C73" s="50" t="n">
        <v>3</v>
      </c>
      <c r="D73" s="103">
        <f t="array" ref="D73">IF(
    VLOOKUP(
        $A73,
        _xlfn._xlws.FILTER(
            INDIRECT("'"&amp;D$14&amp;"'!A2:E1000"), (INDIRECT("'"&amp;D$14&amp;"'!B2:B1000")=$B73) * (INDIRECT("'"&amp;D$14&amp;"'!C2:C1000")=$C73)
        ),
        5,
        FALSE
    )=0,
    "",
    VLOOKUP(
        $A73,
        _xlfn._xlws.FILTER(
            INDIRECT("'"&amp;D$14&amp;"'!A2:E1000"), (INDIRECT("'"&amp;D$14&amp;"'!B2:B1000")=$B73) * (INDIRECT("'"&amp;D$14&amp;"'!C2:C1000")=$C73)
        ),
        5,
        FALSE
    )
)</f>
        <v/>
      </c>
      <c r="E73" s="103">
        <f t="array" ref="E73">IF(
    VLOOKUP(
        $A73,
        _xlfn._xlws.FILTER(
            INDIRECT("'"&amp;E$14&amp;"'!A2:E1000"), (INDIRECT("'"&amp;E$14&amp;"'!B2:B1000")=$B73) * (INDIRECT("'"&amp;E$14&amp;"'!C2:C1000")=$C73)
        ),
        5,
        FALSE
    )=0,
    "",
    VLOOKUP(
        $A73,
        _xlfn._xlws.FILTER(
            INDIRECT("'"&amp;E$14&amp;"'!A2:E1000"), (INDIRECT("'"&amp;E$14&amp;"'!B2:B1000")=$B73) * (INDIRECT("'"&amp;E$14&amp;"'!C2:C1000")=$C73)
        ),
        5,
        FALSE
    )
)</f>
        <v/>
      </c>
      <c r="F73" s="103">
        <f t="array" ref="F73">IF(
    VLOOKUP(
        $A73,
        _xlfn._xlws.FILTER(
            INDIRECT("'"&amp;F$14&amp;"'!A2:E1000"), (INDIRECT("'"&amp;F$14&amp;"'!B2:B1000")=$B73) * (INDIRECT("'"&amp;F$14&amp;"'!C2:C1000")=$C73)
        ),
        5,
        FALSE
    )=0,
    "",
    VLOOKUP(
        $A73,
        _xlfn._xlws.FILTER(
            INDIRECT("'"&amp;F$14&amp;"'!A2:E1000"), (INDIRECT("'"&amp;F$14&amp;"'!B2:B1000")=$B73) * (INDIRECT("'"&amp;F$14&amp;"'!C2:C1000")=$C73)
        ),
        5,
        FALSE
    )
)</f>
        <v/>
      </c>
      <c r="G73" s="103">
        <f t="array" ref="G73">IF(
    VLOOKUP(
        $A73,
        _xlfn._xlws.FILTER(
            INDIRECT("'"&amp;G$14&amp;"'!A2:E1000"), (INDIRECT("'"&amp;G$14&amp;"'!B2:B1000")=$B73) * (INDIRECT("'"&amp;G$14&amp;"'!C2:C1000")=$C73)
        ),
        5,
        FALSE
    )=0,
    "",
    VLOOKUP(
        $A73,
        _xlfn._xlws.FILTER(
            INDIRECT("'"&amp;G$14&amp;"'!A2:E1000"), (INDIRECT("'"&amp;G$14&amp;"'!B2:B1000")=$B73) * (INDIRECT("'"&amp;G$14&amp;"'!C2:C1000")=$C73)
        ),
        5,
        FALSE
    )
)</f>
        <v/>
      </c>
      <c r="H73" s="103">
        <f t="array" ref="H73">IF(
    VLOOKUP(
        $A73,
        _xlfn._xlws.FILTER(
            INDIRECT("'"&amp;H$14&amp;"'!A2:E1000"), (INDIRECT("'"&amp;H$14&amp;"'!B2:B1000")=$B73) * (INDIRECT("'"&amp;H$14&amp;"'!C2:C1000")=$C73)
        ),
        5,
        FALSE
    )=0,
    "",
    VLOOKUP(
        $A73,
        _xlfn._xlws.FILTER(
            INDIRECT("'"&amp;H$14&amp;"'!A2:E1000"), (INDIRECT("'"&amp;H$14&amp;"'!B2:B1000")=$B73) * (INDIRECT("'"&amp;H$14&amp;"'!C2:C1000")=$C73)
        ),
        5,
        FALSE
    )
)</f>
        <v/>
      </c>
      <c r="I73" s="103">
        <f t="array" ref="I73">IF(
    VLOOKUP(
        $A73,
        _xlfn._xlws.FILTER(
            INDIRECT("'"&amp;I$14&amp;"'!A2:E1000"), (INDIRECT("'"&amp;I$14&amp;"'!B2:B1000")=$B73) * (INDIRECT("'"&amp;I$14&amp;"'!C2:C1000")=$C73)
        ),
        5,
        FALSE
    )=0,
    "",
    VLOOKUP(
        $A73,
        _xlfn._xlws.FILTER(
            INDIRECT("'"&amp;I$14&amp;"'!A2:E1000"), (INDIRECT("'"&amp;I$14&amp;"'!B2:B1000")=$B73) * (INDIRECT("'"&amp;I$14&amp;"'!C2:C1000")=$C73)
        ),
        5,
        FALSE
    )
)</f>
        <v/>
      </c>
      <c r="J73" s="103">
        <f t="array" ref="J73">IF(
    VLOOKUP(
        $A73,
        _xlfn._xlws.FILTER(
            INDIRECT("'"&amp;J$14&amp;"'!A2:E1000"), (INDIRECT("'"&amp;J$14&amp;"'!B2:B1000")=$B73) * (INDIRECT("'"&amp;J$14&amp;"'!C2:C1000")=$C73)
        ),
        5,
        FALSE
    )=0,
    "",
    VLOOKUP(
        $A73,
        _xlfn._xlws.FILTER(
            INDIRECT("'"&amp;J$14&amp;"'!A2:E1000"), (INDIRECT("'"&amp;J$14&amp;"'!B2:B1000")=$B73) * (INDIRECT("'"&amp;J$14&amp;"'!C2:C1000")=$C73)
        ),
        5,
        FALSE
    )
)</f>
        <v/>
      </c>
      <c r="K73" s="103">
        <f t="array" ref="K73">IF(
    VLOOKUP(
        $A73,
        _xlfn._xlws.FILTER(
            INDIRECT("'"&amp;K$14&amp;"'!A2:E1000"), (INDIRECT("'"&amp;K$14&amp;"'!B2:B1000")=$B73) * (INDIRECT("'"&amp;K$14&amp;"'!C2:C1000")=$C73)
        ),
        5,
        FALSE
    )=0,
    "",
    VLOOKUP(
        $A73,
        _xlfn._xlws.FILTER(
            INDIRECT("'"&amp;K$14&amp;"'!A2:E1000"), (INDIRECT("'"&amp;K$14&amp;"'!B2:B1000")=$B73) * (INDIRECT("'"&amp;K$14&amp;"'!C2:C1000")=$C73)
        ),
        5,
        FALSE
    )
)</f>
        <v/>
      </c>
      <c r="L73" s="103">
        <f t="array" ref="L73">IF(
    VLOOKUP(
        $A73,
        _xlfn._xlws.FILTER(
            INDIRECT("'"&amp;L$14&amp;"'!A2:E1000"), (INDIRECT("'"&amp;L$14&amp;"'!B2:B1000")=$B73) * (INDIRECT("'"&amp;L$14&amp;"'!C2:C1000")=$C73)
        ),
        5,
        FALSE
    )=0,
    "",
    VLOOKUP(
        $A73,
        _xlfn._xlws.FILTER(
            INDIRECT("'"&amp;L$14&amp;"'!A2:E1000"), (INDIRECT("'"&amp;L$14&amp;"'!B2:B1000")=$B73) * (INDIRECT("'"&amp;L$14&amp;"'!C2:C1000")=$C73)
        ),
        5,
        FALSE
    )
)</f>
        <v/>
      </c>
      <c r="M73" s="103">
        <f t="array" ref="M73">IF(
    VLOOKUP(
        $A73,
        _xlfn._xlws.FILTER(
            INDIRECT("'"&amp;M$14&amp;"'!A2:E1000"), (INDIRECT("'"&amp;M$14&amp;"'!B2:B1000")=$B73) * (INDIRECT("'"&amp;M$14&amp;"'!C2:C1000")=$C73)
        ),
        5,
        FALSE
    )=0,
    "",
    VLOOKUP(
        $A73,
        _xlfn._xlws.FILTER(
            INDIRECT("'"&amp;M$14&amp;"'!A2:E1000"), (INDIRECT("'"&amp;M$14&amp;"'!B2:B1000")=$B73) * (INDIRECT("'"&amp;M$14&amp;"'!C2:C1000")=$C73)
        ),
        5,
        FALSE
    )
)</f>
        <v/>
      </c>
      <c r="N73" s="103">
        <f t="array" ref="N73">IF(
    VLOOKUP(
        $A73,
        _xlfn._xlws.FILTER(
            INDIRECT("'"&amp;N$14&amp;"'!A2:E1000"), (INDIRECT("'"&amp;N$14&amp;"'!B2:B1000")=$B73) * (INDIRECT("'"&amp;N$14&amp;"'!C2:C1000")=$C73)
        ),
        5,
        FALSE
    )=0,
    "",
    VLOOKUP(
        $A73,
        _xlfn._xlws.FILTER(
            INDIRECT("'"&amp;N$14&amp;"'!A2:E1000"), (INDIRECT("'"&amp;N$14&amp;"'!B2:B1000")=$B73) * (INDIRECT("'"&amp;N$14&amp;"'!C2:C1000")=$C73)
        ),
        5,
        FALSE
    )
)</f>
        <v/>
      </c>
      <c r="O73" s="103">
        <f t="array" ref="O73">IF(
    VLOOKUP(
        $A73,
        _xlfn._xlws.FILTER(
            INDIRECT("'"&amp;O$14&amp;"'!A2:E1000"), (INDIRECT("'"&amp;O$14&amp;"'!B2:B1000")=$B73) * (INDIRECT("'"&amp;O$14&amp;"'!C2:C1000")=$C73)
        ),
        5,
        FALSE
    )=0,
    "",
    VLOOKUP(
        $A73,
        _xlfn._xlws.FILTER(
            INDIRECT("'"&amp;O$14&amp;"'!A2:E1000"), (INDIRECT("'"&amp;O$14&amp;"'!B2:B1000")=$B73) * (INDIRECT("'"&amp;O$14&amp;"'!C2:C1000")=$C73)
        ),
        5,
        FALSE
    )
)</f>
        <v/>
      </c>
      <c r="P73" s="103">
        <f t="array" ref="P73">IF(
    VLOOKUP(
        $A73,
        _xlfn._xlws.FILTER(
            INDIRECT("'"&amp;P$14&amp;"'!A2:E1000"), (INDIRECT("'"&amp;P$14&amp;"'!B2:B1000")=$B73) * (INDIRECT("'"&amp;P$14&amp;"'!C2:C1000")=$C73)
        ),
        5,
        FALSE
    )=0,
    "",
    VLOOKUP(
        $A73,
        _xlfn._xlws.FILTER(
            INDIRECT("'"&amp;P$14&amp;"'!A2:E1000"), (INDIRECT("'"&amp;P$14&amp;"'!B2:B1000")=$B73) * (INDIRECT("'"&amp;P$14&amp;"'!C2:C1000")=$C73)
        ),
        5,
        FALSE
    )
)</f>
        <v/>
      </c>
      <c r="Q73" s="103">
        <f t="array" ref="Q73">IF(
    VLOOKUP(
        $A73,
        _xlfn._xlws.FILTER(
            INDIRECT("'"&amp;Q$14&amp;"'!A2:E1000"), (INDIRECT("'"&amp;Q$14&amp;"'!B2:B1000")=$B73) * (INDIRECT("'"&amp;Q$14&amp;"'!C2:C1000")=$C73)
        ),
        5,
        FALSE
    )=0,
    "",
    VLOOKUP(
        $A73,
        _xlfn._xlws.FILTER(
            INDIRECT("'"&amp;Q$14&amp;"'!A2:E1000"), (INDIRECT("'"&amp;Q$14&amp;"'!B2:B1000")=$B73) * (INDIRECT("'"&amp;Q$14&amp;"'!C2:C1000")=$C73)
        ),
        5,
        FALSE
    )
)</f>
        <v/>
      </c>
    </row>
    <row r="74">
      <c r="A74" s="58" t="inlineStr">
        <is>
          <t>Valquiria</t>
        </is>
      </c>
      <c r="B74" s="50" t="inlineStr">
        <is>
          <t>Cascavel</t>
        </is>
      </c>
      <c r="C74" s="50" t="n">
        <v>4</v>
      </c>
      <c r="D74" s="103">
        <f t="array" ref="D74">IF(
    VLOOKUP(
        $A74,
        _xlfn._xlws.FILTER(
            INDIRECT("'"&amp;D$14&amp;"'!A2:E1000"), (INDIRECT("'"&amp;D$14&amp;"'!B2:B1000")=$B74) * (INDIRECT("'"&amp;D$14&amp;"'!C2:C1000")=$C74)
        ),
        5,
        FALSE
    )=0,
    "",
    VLOOKUP(
        $A74,
        _xlfn._xlws.FILTER(
            INDIRECT("'"&amp;D$14&amp;"'!A2:E1000"), (INDIRECT("'"&amp;D$14&amp;"'!B2:B1000")=$B74) * (INDIRECT("'"&amp;D$14&amp;"'!C2:C1000")=$C74)
        ),
        5,
        FALSE
    )
)</f>
        <v/>
      </c>
      <c r="E74" s="103">
        <f t="array" ref="E74">IF(
    VLOOKUP(
        $A74,
        _xlfn._xlws.FILTER(
            INDIRECT("'"&amp;E$14&amp;"'!A2:E1000"), (INDIRECT("'"&amp;E$14&amp;"'!B2:B1000")=$B74) * (INDIRECT("'"&amp;E$14&amp;"'!C2:C1000")=$C74)
        ),
        5,
        FALSE
    )=0,
    "",
    VLOOKUP(
        $A74,
        _xlfn._xlws.FILTER(
            INDIRECT("'"&amp;E$14&amp;"'!A2:E1000"), (INDIRECT("'"&amp;E$14&amp;"'!B2:B1000")=$B74) * (INDIRECT("'"&amp;E$14&amp;"'!C2:C1000")=$C74)
        ),
        5,
        FALSE
    )
)</f>
        <v/>
      </c>
      <c r="F74" s="103">
        <f t="array" ref="F74">IF(
    VLOOKUP(
        $A74,
        _xlfn._xlws.FILTER(
            INDIRECT("'"&amp;F$14&amp;"'!A2:E1000"), (INDIRECT("'"&amp;F$14&amp;"'!B2:B1000")=$B74) * (INDIRECT("'"&amp;F$14&amp;"'!C2:C1000")=$C74)
        ),
        5,
        FALSE
    )=0,
    "",
    VLOOKUP(
        $A74,
        _xlfn._xlws.FILTER(
            INDIRECT("'"&amp;F$14&amp;"'!A2:E1000"), (INDIRECT("'"&amp;F$14&amp;"'!B2:B1000")=$B74) * (INDIRECT("'"&amp;F$14&amp;"'!C2:C1000")=$C74)
        ),
        5,
        FALSE
    )
)</f>
        <v/>
      </c>
      <c r="G74" s="103">
        <f t="array" ref="G74">IF(
    VLOOKUP(
        $A74,
        _xlfn._xlws.FILTER(
            INDIRECT("'"&amp;G$14&amp;"'!A2:E1000"), (INDIRECT("'"&amp;G$14&amp;"'!B2:B1000")=$B74) * (INDIRECT("'"&amp;G$14&amp;"'!C2:C1000")=$C74)
        ),
        5,
        FALSE
    )=0,
    "",
    VLOOKUP(
        $A74,
        _xlfn._xlws.FILTER(
            INDIRECT("'"&amp;G$14&amp;"'!A2:E1000"), (INDIRECT("'"&amp;G$14&amp;"'!B2:B1000")=$B74) * (INDIRECT("'"&amp;G$14&amp;"'!C2:C1000")=$C74)
        ),
        5,
        FALSE
    )
)</f>
        <v/>
      </c>
      <c r="H74" s="103">
        <f t="array" ref="H74">IF(
    VLOOKUP(
        $A74,
        _xlfn._xlws.FILTER(
            INDIRECT("'"&amp;H$14&amp;"'!A2:E1000"), (INDIRECT("'"&amp;H$14&amp;"'!B2:B1000")=$B74) * (INDIRECT("'"&amp;H$14&amp;"'!C2:C1000")=$C74)
        ),
        5,
        FALSE
    )=0,
    "",
    VLOOKUP(
        $A74,
        _xlfn._xlws.FILTER(
            INDIRECT("'"&amp;H$14&amp;"'!A2:E1000"), (INDIRECT("'"&amp;H$14&amp;"'!B2:B1000")=$B74) * (INDIRECT("'"&amp;H$14&amp;"'!C2:C1000")=$C74)
        ),
        5,
        FALSE
    )
)</f>
        <v/>
      </c>
      <c r="I74" s="103">
        <f t="array" ref="I74">IF(
    VLOOKUP(
        $A74,
        _xlfn._xlws.FILTER(
            INDIRECT("'"&amp;I$14&amp;"'!A2:E1000"), (INDIRECT("'"&amp;I$14&amp;"'!B2:B1000")=$B74) * (INDIRECT("'"&amp;I$14&amp;"'!C2:C1000")=$C74)
        ),
        5,
        FALSE
    )=0,
    "",
    VLOOKUP(
        $A74,
        _xlfn._xlws.FILTER(
            INDIRECT("'"&amp;I$14&amp;"'!A2:E1000"), (INDIRECT("'"&amp;I$14&amp;"'!B2:B1000")=$B74) * (INDIRECT("'"&amp;I$14&amp;"'!C2:C1000")=$C74)
        ),
        5,
        FALSE
    )
)</f>
        <v/>
      </c>
      <c r="J74" s="103">
        <f t="array" ref="J74">IF(
    VLOOKUP(
        $A74,
        _xlfn._xlws.FILTER(
            INDIRECT("'"&amp;J$14&amp;"'!A2:E1000"), (INDIRECT("'"&amp;J$14&amp;"'!B2:B1000")=$B74) * (INDIRECT("'"&amp;J$14&amp;"'!C2:C1000")=$C74)
        ),
        5,
        FALSE
    )=0,
    "",
    VLOOKUP(
        $A74,
        _xlfn._xlws.FILTER(
            INDIRECT("'"&amp;J$14&amp;"'!A2:E1000"), (INDIRECT("'"&amp;J$14&amp;"'!B2:B1000")=$B74) * (INDIRECT("'"&amp;J$14&amp;"'!C2:C1000")=$C74)
        ),
        5,
        FALSE
    )
)</f>
        <v/>
      </c>
      <c r="K74" s="103">
        <f t="array" ref="K74">IF(
    VLOOKUP(
        $A74,
        _xlfn._xlws.FILTER(
            INDIRECT("'"&amp;K$14&amp;"'!A2:E1000"), (INDIRECT("'"&amp;K$14&amp;"'!B2:B1000")=$B74) * (INDIRECT("'"&amp;K$14&amp;"'!C2:C1000")=$C74)
        ),
        5,
        FALSE
    )=0,
    "",
    VLOOKUP(
        $A74,
        _xlfn._xlws.FILTER(
            INDIRECT("'"&amp;K$14&amp;"'!A2:E1000"), (INDIRECT("'"&amp;K$14&amp;"'!B2:B1000")=$B74) * (INDIRECT("'"&amp;K$14&amp;"'!C2:C1000")=$C74)
        ),
        5,
        FALSE
    )
)</f>
        <v/>
      </c>
      <c r="L74" s="103">
        <f t="array" ref="L74">IF(
    VLOOKUP(
        $A74,
        _xlfn._xlws.FILTER(
            INDIRECT("'"&amp;L$14&amp;"'!A2:E1000"), (INDIRECT("'"&amp;L$14&amp;"'!B2:B1000")=$B74) * (INDIRECT("'"&amp;L$14&amp;"'!C2:C1000")=$C74)
        ),
        5,
        FALSE
    )=0,
    "",
    VLOOKUP(
        $A74,
        _xlfn._xlws.FILTER(
            INDIRECT("'"&amp;L$14&amp;"'!A2:E1000"), (INDIRECT("'"&amp;L$14&amp;"'!B2:B1000")=$B74) * (INDIRECT("'"&amp;L$14&amp;"'!C2:C1000")=$C74)
        ),
        5,
        FALSE
    )
)</f>
        <v/>
      </c>
      <c r="M74" s="103">
        <f t="array" ref="M74">IF(
    VLOOKUP(
        $A74,
        _xlfn._xlws.FILTER(
            INDIRECT("'"&amp;M$14&amp;"'!A2:E1000"), (INDIRECT("'"&amp;M$14&amp;"'!B2:B1000")=$B74) * (INDIRECT("'"&amp;M$14&amp;"'!C2:C1000")=$C74)
        ),
        5,
        FALSE
    )=0,
    "",
    VLOOKUP(
        $A74,
        _xlfn._xlws.FILTER(
            INDIRECT("'"&amp;M$14&amp;"'!A2:E1000"), (INDIRECT("'"&amp;M$14&amp;"'!B2:B1000")=$B74) * (INDIRECT("'"&amp;M$14&amp;"'!C2:C1000")=$C74)
        ),
        5,
        FALSE
    )
)</f>
        <v/>
      </c>
      <c r="N74" s="103">
        <f t="array" ref="N74">IF(
    VLOOKUP(
        $A74,
        _xlfn._xlws.FILTER(
            INDIRECT("'"&amp;N$14&amp;"'!A2:E1000"), (INDIRECT("'"&amp;N$14&amp;"'!B2:B1000")=$B74) * (INDIRECT("'"&amp;N$14&amp;"'!C2:C1000")=$C74)
        ),
        5,
        FALSE
    )=0,
    "",
    VLOOKUP(
        $A74,
        _xlfn._xlws.FILTER(
            INDIRECT("'"&amp;N$14&amp;"'!A2:E1000"), (INDIRECT("'"&amp;N$14&amp;"'!B2:B1000")=$B74) * (INDIRECT("'"&amp;N$14&amp;"'!C2:C1000")=$C74)
        ),
        5,
        FALSE
    )
)</f>
        <v/>
      </c>
      <c r="O74" s="103">
        <f t="array" ref="O74">IF(
    VLOOKUP(
        $A74,
        _xlfn._xlws.FILTER(
            INDIRECT("'"&amp;O$14&amp;"'!A2:E1000"), (INDIRECT("'"&amp;O$14&amp;"'!B2:B1000")=$B74) * (INDIRECT("'"&amp;O$14&amp;"'!C2:C1000")=$C74)
        ),
        5,
        FALSE
    )=0,
    "",
    VLOOKUP(
        $A74,
        _xlfn._xlws.FILTER(
            INDIRECT("'"&amp;O$14&amp;"'!A2:E1000"), (INDIRECT("'"&amp;O$14&amp;"'!B2:B1000")=$B74) * (INDIRECT("'"&amp;O$14&amp;"'!C2:C1000")=$C74)
        ),
        5,
        FALSE
    )
)</f>
        <v/>
      </c>
      <c r="P74" s="103">
        <f t="array" ref="P74">IF(
    VLOOKUP(
        $A74,
        _xlfn._xlws.FILTER(
            INDIRECT("'"&amp;P$14&amp;"'!A2:E1000"), (INDIRECT("'"&amp;P$14&amp;"'!B2:B1000")=$B74) * (INDIRECT("'"&amp;P$14&amp;"'!C2:C1000")=$C74)
        ),
        5,
        FALSE
    )=0,
    "",
    VLOOKUP(
        $A74,
        _xlfn._xlws.FILTER(
            INDIRECT("'"&amp;P$14&amp;"'!A2:E1000"), (INDIRECT("'"&amp;P$14&amp;"'!B2:B1000")=$B74) * (INDIRECT("'"&amp;P$14&amp;"'!C2:C1000")=$C74)
        ),
        5,
        FALSE
    )
)</f>
        <v/>
      </c>
      <c r="Q74" s="103">
        <f t="array" ref="Q74">IF(
    VLOOKUP(
        $A74,
        _xlfn._xlws.FILTER(
            INDIRECT("'"&amp;Q$14&amp;"'!A2:E1000"), (INDIRECT("'"&amp;Q$14&amp;"'!B2:B1000")=$B74) * (INDIRECT("'"&amp;Q$14&amp;"'!C2:C1000")=$C74)
        ),
        5,
        FALSE
    )=0,
    "",
    VLOOKUP(
        $A74,
        _xlfn._xlws.FILTER(
            INDIRECT("'"&amp;Q$14&amp;"'!A2:E1000"), (INDIRECT("'"&amp;Q$14&amp;"'!B2:B1000")=$B74) * (INDIRECT("'"&amp;Q$14&amp;"'!C2:C1000")=$C74)
        ),
        5,
        FALSE
    )
)</f>
        <v/>
      </c>
    </row>
    <row r="75">
      <c r="A75" s="58" t="inlineStr">
        <is>
          <t>Valquiria</t>
        </is>
      </c>
      <c r="B75" s="50" t="inlineStr">
        <is>
          <t>Cascavel</t>
        </is>
      </c>
      <c r="C75" s="50" t="n">
        <v>5</v>
      </c>
      <c r="D75" s="103">
        <f t="array" ref="D75">IF(
    VLOOKUP(
        $A75,
        _xlfn._xlws.FILTER(
            INDIRECT("'"&amp;D$14&amp;"'!A2:E1000"), (INDIRECT("'"&amp;D$14&amp;"'!B2:B1000")=$B75) * (INDIRECT("'"&amp;D$14&amp;"'!C2:C1000")=$C75)
        ),
        5,
        FALSE
    )=0,
    "",
    VLOOKUP(
        $A75,
        _xlfn._xlws.FILTER(
            INDIRECT("'"&amp;D$14&amp;"'!A2:E1000"), (INDIRECT("'"&amp;D$14&amp;"'!B2:B1000")=$B75) * (INDIRECT("'"&amp;D$14&amp;"'!C2:C1000")=$C75)
        ),
        5,
        FALSE
    )
)</f>
        <v/>
      </c>
      <c r="E75" s="103">
        <f t="array" ref="E75">IF(
    VLOOKUP(
        $A75,
        _xlfn._xlws.FILTER(
            INDIRECT("'"&amp;E$14&amp;"'!A2:E1000"), (INDIRECT("'"&amp;E$14&amp;"'!B2:B1000")=$B75) * (INDIRECT("'"&amp;E$14&amp;"'!C2:C1000")=$C75)
        ),
        5,
        FALSE
    )=0,
    "",
    VLOOKUP(
        $A75,
        _xlfn._xlws.FILTER(
            INDIRECT("'"&amp;E$14&amp;"'!A2:E1000"), (INDIRECT("'"&amp;E$14&amp;"'!B2:B1000")=$B75) * (INDIRECT("'"&amp;E$14&amp;"'!C2:C1000")=$C75)
        ),
        5,
        FALSE
    )
)</f>
        <v/>
      </c>
      <c r="F75" s="103">
        <f t="array" ref="F75">IF(
    VLOOKUP(
        $A75,
        _xlfn._xlws.FILTER(
            INDIRECT("'"&amp;F$14&amp;"'!A2:E1000"), (INDIRECT("'"&amp;F$14&amp;"'!B2:B1000")=$B75) * (INDIRECT("'"&amp;F$14&amp;"'!C2:C1000")=$C75)
        ),
        5,
        FALSE
    )=0,
    "",
    VLOOKUP(
        $A75,
        _xlfn._xlws.FILTER(
            INDIRECT("'"&amp;F$14&amp;"'!A2:E1000"), (INDIRECT("'"&amp;F$14&amp;"'!B2:B1000")=$B75) * (INDIRECT("'"&amp;F$14&amp;"'!C2:C1000")=$C75)
        ),
        5,
        FALSE
    )
)</f>
        <v/>
      </c>
      <c r="G75" s="103">
        <f t="array" ref="G75">IF(
    VLOOKUP(
        $A75,
        _xlfn._xlws.FILTER(
            INDIRECT("'"&amp;G$14&amp;"'!A2:E1000"), (INDIRECT("'"&amp;G$14&amp;"'!B2:B1000")=$B75) * (INDIRECT("'"&amp;G$14&amp;"'!C2:C1000")=$C75)
        ),
        5,
        FALSE
    )=0,
    "",
    VLOOKUP(
        $A75,
        _xlfn._xlws.FILTER(
            INDIRECT("'"&amp;G$14&amp;"'!A2:E1000"), (INDIRECT("'"&amp;G$14&amp;"'!B2:B1000")=$B75) * (INDIRECT("'"&amp;G$14&amp;"'!C2:C1000")=$C75)
        ),
        5,
        FALSE
    )
)</f>
        <v/>
      </c>
      <c r="H75" s="103">
        <f t="array" ref="H75">IF(
    VLOOKUP(
        $A75,
        _xlfn._xlws.FILTER(
            INDIRECT("'"&amp;H$14&amp;"'!A2:E1000"), (INDIRECT("'"&amp;H$14&amp;"'!B2:B1000")=$B75) * (INDIRECT("'"&amp;H$14&amp;"'!C2:C1000")=$C75)
        ),
        5,
        FALSE
    )=0,
    "",
    VLOOKUP(
        $A75,
        _xlfn._xlws.FILTER(
            INDIRECT("'"&amp;H$14&amp;"'!A2:E1000"), (INDIRECT("'"&amp;H$14&amp;"'!B2:B1000")=$B75) * (INDIRECT("'"&amp;H$14&amp;"'!C2:C1000")=$C75)
        ),
        5,
        FALSE
    )
)</f>
        <v/>
      </c>
      <c r="I75" s="103">
        <f t="array" ref="I75">IF(
    VLOOKUP(
        $A75,
        _xlfn._xlws.FILTER(
            INDIRECT("'"&amp;I$14&amp;"'!A2:E1000"), (INDIRECT("'"&amp;I$14&amp;"'!B2:B1000")=$B75) * (INDIRECT("'"&amp;I$14&amp;"'!C2:C1000")=$C75)
        ),
        5,
        FALSE
    )=0,
    "",
    VLOOKUP(
        $A75,
        _xlfn._xlws.FILTER(
            INDIRECT("'"&amp;I$14&amp;"'!A2:E1000"), (INDIRECT("'"&amp;I$14&amp;"'!B2:B1000")=$B75) * (INDIRECT("'"&amp;I$14&amp;"'!C2:C1000")=$C75)
        ),
        5,
        FALSE
    )
)</f>
        <v/>
      </c>
      <c r="J75" s="103">
        <f t="array" ref="J75">IF(
    VLOOKUP(
        $A75,
        _xlfn._xlws.FILTER(
            INDIRECT("'"&amp;J$14&amp;"'!A2:E1000"), (INDIRECT("'"&amp;J$14&amp;"'!B2:B1000")=$B75) * (INDIRECT("'"&amp;J$14&amp;"'!C2:C1000")=$C75)
        ),
        5,
        FALSE
    )=0,
    "",
    VLOOKUP(
        $A75,
        _xlfn._xlws.FILTER(
            INDIRECT("'"&amp;J$14&amp;"'!A2:E1000"), (INDIRECT("'"&amp;J$14&amp;"'!B2:B1000")=$B75) * (INDIRECT("'"&amp;J$14&amp;"'!C2:C1000")=$C75)
        ),
        5,
        FALSE
    )
)</f>
        <v/>
      </c>
      <c r="K75" s="103">
        <f t="array" ref="K75">IF(
    VLOOKUP(
        $A75,
        _xlfn._xlws.FILTER(
            INDIRECT("'"&amp;K$14&amp;"'!A2:E1000"), (INDIRECT("'"&amp;K$14&amp;"'!B2:B1000")=$B75) * (INDIRECT("'"&amp;K$14&amp;"'!C2:C1000")=$C75)
        ),
        5,
        FALSE
    )=0,
    "",
    VLOOKUP(
        $A75,
        _xlfn._xlws.FILTER(
            INDIRECT("'"&amp;K$14&amp;"'!A2:E1000"), (INDIRECT("'"&amp;K$14&amp;"'!B2:B1000")=$B75) * (INDIRECT("'"&amp;K$14&amp;"'!C2:C1000")=$C75)
        ),
        5,
        FALSE
    )
)</f>
        <v/>
      </c>
      <c r="L75" s="103">
        <f t="array" ref="L75">IF(
    VLOOKUP(
        $A75,
        _xlfn._xlws.FILTER(
            INDIRECT("'"&amp;L$14&amp;"'!A2:E1000"), (INDIRECT("'"&amp;L$14&amp;"'!B2:B1000")=$B75) * (INDIRECT("'"&amp;L$14&amp;"'!C2:C1000")=$C75)
        ),
        5,
        FALSE
    )=0,
    "",
    VLOOKUP(
        $A75,
        _xlfn._xlws.FILTER(
            INDIRECT("'"&amp;L$14&amp;"'!A2:E1000"), (INDIRECT("'"&amp;L$14&amp;"'!B2:B1000")=$B75) * (INDIRECT("'"&amp;L$14&amp;"'!C2:C1000")=$C75)
        ),
        5,
        FALSE
    )
)</f>
        <v/>
      </c>
      <c r="M75" s="103">
        <f t="array" ref="M75">IF(
    VLOOKUP(
        $A75,
        _xlfn._xlws.FILTER(
            INDIRECT("'"&amp;M$14&amp;"'!A2:E1000"), (INDIRECT("'"&amp;M$14&amp;"'!B2:B1000")=$B75) * (INDIRECT("'"&amp;M$14&amp;"'!C2:C1000")=$C75)
        ),
        5,
        FALSE
    )=0,
    "",
    VLOOKUP(
        $A75,
        _xlfn._xlws.FILTER(
            INDIRECT("'"&amp;M$14&amp;"'!A2:E1000"), (INDIRECT("'"&amp;M$14&amp;"'!B2:B1000")=$B75) * (INDIRECT("'"&amp;M$14&amp;"'!C2:C1000")=$C75)
        ),
        5,
        FALSE
    )
)</f>
        <v/>
      </c>
      <c r="N75" s="103">
        <f t="array" ref="N75">IF(
    VLOOKUP(
        $A75,
        _xlfn._xlws.FILTER(
            INDIRECT("'"&amp;N$14&amp;"'!A2:E1000"), (INDIRECT("'"&amp;N$14&amp;"'!B2:B1000")=$B75) * (INDIRECT("'"&amp;N$14&amp;"'!C2:C1000")=$C75)
        ),
        5,
        FALSE
    )=0,
    "",
    VLOOKUP(
        $A75,
        _xlfn._xlws.FILTER(
            INDIRECT("'"&amp;N$14&amp;"'!A2:E1000"), (INDIRECT("'"&amp;N$14&amp;"'!B2:B1000")=$B75) * (INDIRECT("'"&amp;N$14&amp;"'!C2:C1000")=$C75)
        ),
        5,
        FALSE
    )
)</f>
        <v/>
      </c>
      <c r="O75" s="103">
        <f t="array" ref="O75">IF(
    VLOOKUP(
        $A75,
        _xlfn._xlws.FILTER(
            INDIRECT("'"&amp;O$14&amp;"'!A2:E1000"), (INDIRECT("'"&amp;O$14&amp;"'!B2:B1000")=$B75) * (INDIRECT("'"&amp;O$14&amp;"'!C2:C1000")=$C75)
        ),
        5,
        FALSE
    )=0,
    "",
    VLOOKUP(
        $A75,
        _xlfn._xlws.FILTER(
            INDIRECT("'"&amp;O$14&amp;"'!A2:E1000"), (INDIRECT("'"&amp;O$14&amp;"'!B2:B1000")=$B75) * (INDIRECT("'"&amp;O$14&amp;"'!C2:C1000")=$C75)
        ),
        5,
        FALSE
    )
)</f>
        <v/>
      </c>
      <c r="P75" s="103">
        <f t="array" ref="P75">IF(
    VLOOKUP(
        $A75,
        _xlfn._xlws.FILTER(
            INDIRECT("'"&amp;P$14&amp;"'!A2:E1000"), (INDIRECT("'"&amp;P$14&amp;"'!B2:B1000")=$B75) * (INDIRECT("'"&amp;P$14&amp;"'!C2:C1000")=$C75)
        ),
        5,
        FALSE
    )=0,
    "",
    VLOOKUP(
        $A75,
        _xlfn._xlws.FILTER(
            INDIRECT("'"&amp;P$14&amp;"'!A2:E1000"), (INDIRECT("'"&amp;P$14&amp;"'!B2:B1000")=$B75) * (INDIRECT("'"&amp;P$14&amp;"'!C2:C1000")=$C75)
        ),
        5,
        FALSE
    )
)</f>
        <v/>
      </c>
      <c r="Q75" s="103">
        <f t="array" ref="Q75">IF(
    VLOOKUP(
        $A75,
        _xlfn._xlws.FILTER(
            INDIRECT("'"&amp;Q$14&amp;"'!A2:E1000"), (INDIRECT("'"&amp;Q$14&amp;"'!B2:B1000")=$B75) * (INDIRECT("'"&amp;Q$14&amp;"'!C2:C1000")=$C75)
        ),
        5,
        FALSE
    )=0,
    "",
    VLOOKUP(
        $A75,
        _xlfn._xlws.FILTER(
            INDIRECT("'"&amp;Q$14&amp;"'!A2:E1000"), (INDIRECT("'"&amp;Q$14&amp;"'!B2:B1000")=$B75) * (INDIRECT("'"&amp;Q$14&amp;"'!C2:C1000")=$C75)
        ),
        5,
        FALSE
    )
)</f>
        <v/>
      </c>
    </row>
    <row r="76">
      <c r="A76" s="58" t="inlineStr">
        <is>
          <t>Valquiria</t>
        </is>
      </c>
      <c r="B76" s="50" t="inlineStr">
        <is>
          <t>Cascavel</t>
        </is>
      </c>
      <c r="C76" s="50" t="n">
        <v>6</v>
      </c>
      <c r="D76" s="103">
        <f t="array" ref="D76">IF(
    VLOOKUP(
        $A76,
        _xlfn._xlws.FILTER(
            INDIRECT("'"&amp;D$14&amp;"'!A2:E1000"), (INDIRECT("'"&amp;D$14&amp;"'!B2:B1000")=$B76) * (INDIRECT("'"&amp;D$14&amp;"'!C2:C1000")=$C76)
        ),
        5,
        FALSE
    )=0,
    "",
    VLOOKUP(
        $A76,
        _xlfn._xlws.FILTER(
            INDIRECT("'"&amp;D$14&amp;"'!A2:E1000"), (INDIRECT("'"&amp;D$14&amp;"'!B2:B1000")=$B76) * (INDIRECT("'"&amp;D$14&amp;"'!C2:C1000")=$C76)
        ),
        5,
        FALSE
    )
)</f>
        <v/>
      </c>
      <c r="E76" s="103">
        <f t="array" ref="E76">IF(
    VLOOKUP(
        $A76,
        _xlfn._xlws.FILTER(
            INDIRECT("'"&amp;E$14&amp;"'!A2:E1000"), (INDIRECT("'"&amp;E$14&amp;"'!B2:B1000")=$B76) * (INDIRECT("'"&amp;E$14&amp;"'!C2:C1000")=$C76)
        ),
        5,
        FALSE
    )=0,
    "",
    VLOOKUP(
        $A76,
        _xlfn._xlws.FILTER(
            INDIRECT("'"&amp;E$14&amp;"'!A2:E1000"), (INDIRECT("'"&amp;E$14&amp;"'!B2:B1000")=$B76) * (INDIRECT("'"&amp;E$14&amp;"'!C2:C1000")=$C76)
        ),
        5,
        FALSE
    )
)</f>
        <v/>
      </c>
      <c r="F76" s="103">
        <f t="array" ref="F76">IF(
    VLOOKUP(
        $A76,
        _xlfn._xlws.FILTER(
            INDIRECT("'"&amp;F$14&amp;"'!A2:E1000"), (INDIRECT("'"&amp;F$14&amp;"'!B2:B1000")=$B76) * (INDIRECT("'"&amp;F$14&amp;"'!C2:C1000")=$C76)
        ),
        5,
        FALSE
    )=0,
    "",
    VLOOKUP(
        $A76,
        _xlfn._xlws.FILTER(
            INDIRECT("'"&amp;F$14&amp;"'!A2:E1000"), (INDIRECT("'"&amp;F$14&amp;"'!B2:B1000")=$B76) * (INDIRECT("'"&amp;F$14&amp;"'!C2:C1000")=$C76)
        ),
        5,
        FALSE
    )
)</f>
        <v/>
      </c>
      <c r="G76" s="103">
        <f t="array" ref="G76">IF(
    VLOOKUP(
        $A76,
        _xlfn._xlws.FILTER(
            INDIRECT("'"&amp;G$14&amp;"'!A2:E1000"), (INDIRECT("'"&amp;G$14&amp;"'!B2:B1000")=$B76) * (INDIRECT("'"&amp;G$14&amp;"'!C2:C1000")=$C76)
        ),
        5,
        FALSE
    )=0,
    "",
    VLOOKUP(
        $A76,
        _xlfn._xlws.FILTER(
            INDIRECT("'"&amp;G$14&amp;"'!A2:E1000"), (INDIRECT("'"&amp;G$14&amp;"'!B2:B1000")=$B76) * (INDIRECT("'"&amp;G$14&amp;"'!C2:C1000")=$C76)
        ),
        5,
        FALSE
    )
)</f>
        <v/>
      </c>
      <c r="H76" s="103">
        <f t="array" ref="H76">IF(
    VLOOKUP(
        $A76,
        _xlfn._xlws.FILTER(
            INDIRECT("'"&amp;H$14&amp;"'!A2:E1000"), (INDIRECT("'"&amp;H$14&amp;"'!B2:B1000")=$B76) * (INDIRECT("'"&amp;H$14&amp;"'!C2:C1000")=$C76)
        ),
        5,
        FALSE
    )=0,
    "",
    VLOOKUP(
        $A76,
        _xlfn._xlws.FILTER(
            INDIRECT("'"&amp;H$14&amp;"'!A2:E1000"), (INDIRECT("'"&amp;H$14&amp;"'!B2:B1000")=$B76) * (INDIRECT("'"&amp;H$14&amp;"'!C2:C1000")=$C76)
        ),
        5,
        FALSE
    )
)</f>
        <v/>
      </c>
      <c r="I76" s="103">
        <f t="array" ref="I76">IF(
    VLOOKUP(
        $A76,
        _xlfn._xlws.FILTER(
            INDIRECT("'"&amp;I$14&amp;"'!A2:E1000"), (INDIRECT("'"&amp;I$14&amp;"'!B2:B1000")=$B76) * (INDIRECT("'"&amp;I$14&amp;"'!C2:C1000")=$C76)
        ),
        5,
        FALSE
    )=0,
    "",
    VLOOKUP(
        $A76,
        _xlfn._xlws.FILTER(
            INDIRECT("'"&amp;I$14&amp;"'!A2:E1000"), (INDIRECT("'"&amp;I$14&amp;"'!B2:B1000")=$B76) * (INDIRECT("'"&amp;I$14&amp;"'!C2:C1000")=$C76)
        ),
        5,
        FALSE
    )
)</f>
        <v/>
      </c>
      <c r="J76" s="103">
        <f t="array" ref="J76">IF(
    VLOOKUP(
        $A76,
        _xlfn._xlws.FILTER(
            INDIRECT("'"&amp;J$14&amp;"'!A2:E1000"), (INDIRECT("'"&amp;J$14&amp;"'!B2:B1000")=$B76) * (INDIRECT("'"&amp;J$14&amp;"'!C2:C1000")=$C76)
        ),
        5,
        FALSE
    )=0,
    "",
    VLOOKUP(
        $A76,
        _xlfn._xlws.FILTER(
            INDIRECT("'"&amp;J$14&amp;"'!A2:E1000"), (INDIRECT("'"&amp;J$14&amp;"'!B2:B1000")=$B76) * (INDIRECT("'"&amp;J$14&amp;"'!C2:C1000")=$C76)
        ),
        5,
        FALSE
    )
)</f>
        <v/>
      </c>
      <c r="K76" s="103">
        <f t="array" ref="K76">IF(
    VLOOKUP(
        $A76,
        _xlfn._xlws.FILTER(
            INDIRECT("'"&amp;K$14&amp;"'!A2:E1000"), (INDIRECT("'"&amp;K$14&amp;"'!B2:B1000")=$B76) * (INDIRECT("'"&amp;K$14&amp;"'!C2:C1000")=$C76)
        ),
        5,
        FALSE
    )=0,
    "",
    VLOOKUP(
        $A76,
        _xlfn._xlws.FILTER(
            INDIRECT("'"&amp;K$14&amp;"'!A2:E1000"), (INDIRECT("'"&amp;K$14&amp;"'!B2:B1000")=$B76) * (INDIRECT("'"&amp;K$14&amp;"'!C2:C1000")=$C76)
        ),
        5,
        FALSE
    )
)</f>
        <v/>
      </c>
      <c r="L76" s="103">
        <f t="array" ref="L76">IF(
    VLOOKUP(
        $A76,
        _xlfn._xlws.FILTER(
            INDIRECT("'"&amp;L$14&amp;"'!A2:E1000"), (INDIRECT("'"&amp;L$14&amp;"'!B2:B1000")=$B76) * (INDIRECT("'"&amp;L$14&amp;"'!C2:C1000")=$C76)
        ),
        5,
        FALSE
    )=0,
    "",
    VLOOKUP(
        $A76,
        _xlfn._xlws.FILTER(
            INDIRECT("'"&amp;L$14&amp;"'!A2:E1000"), (INDIRECT("'"&amp;L$14&amp;"'!B2:B1000")=$B76) * (INDIRECT("'"&amp;L$14&amp;"'!C2:C1000")=$C76)
        ),
        5,
        FALSE
    )
)</f>
        <v/>
      </c>
      <c r="M76" s="103">
        <f t="array" ref="M76">IF(
    VLOOKUP(
        $A76,
        _xlfn._xlws.FILTER(
            INDIRECT("'"&amp;M$14&amp;"'!A2:E1000"), (INDIRECT("'"&amp;M$14&amp;"'!B2:B1000")=$B76) * (INDIRECT("'"&amp;M$14&amp;"'!C2:C1000")=$C76)
        ),
        5,
        FALSE
    )=0,
    "",
    VLOOKUP(
        $A76,
        _xlfn._xlws.FILTER(
            INDIRECT("'"&amp;M$14&amp;"'!A2:E1000"), (INDIRECT("'"&amp;M$14&amp;"'!B2:B1000")=$B76) * (INDIRECT("'"&amp;M$14&amp;"'!C2:C1000")=$C76)
        ),
        5,
        FALSE
    )
)</f>
        <v/>
      </c>
      <c r="N76" s="103">
        <f t="array" ref="N76">IF(
    VLOOKUP(
        $A76,
        _xlfn._xlws.FILTER(
            INDIRECT("'"&amp;N$14&amp;"'!A2:E1000"), (INDIRECT("'"&amp;N$14&amp;"'!B2:B1000")=$B76) * (INDIRECT("'"&amp;N$14&amp;"'!C2:C1000")=$C76)
        ),
        5,
        FALSE
    )=0,
    "",
    VLOOKUP(
        $A76,
        _xlfn._xlws.FILTER(
            INDIRECT("'"&amp;N$14&amp;"'!A2:E1000"), (INDIRECT("'"&amp;N$14&amp;"'!B2:B1000")=$B76) * (INDIRECT("'"&amp;N$14&amp;"'!C2:C1000")=$C76)
        ),
        5,
        FALSE
    )
)</f>
        <v/>
      </c>
      <c r="O76" s="103">
        <f t="array" ref="O76">IF(
    VLOOKUP(
        $A76,
        _xlfn._xlws.FILTER(
            INDIRECT("'"&amp;O$14&amp;"'!A2:E1000"), (INDIRECT("'"&amp;O$14&amp;"'!B2:B1000")=$B76) * (INDIRECT("'"&amp;O$14&amp;"'!C2:C1000")=$C76)
        ),
        5,
        FALSE
    )=0,
    "",
    VLOOKUP(
        $A76,
        _xlfn._xlws.FILTER(
            INDIRECT("'"&amp;O$14&amp;"'!A2:E1000"), (INDIRECT("'"&amp;O$14&amp;"'!B2:B1000")=$B76) * (INDIRECT("'"&amp;O$14&amp;"'!C2:C1000")=$C76)
        ),
        5,
        FALSE
    )
)</f>
        <v/>
      </c>
      <c r="P76" s="103">
        <f t="array" ref="P76">IF(
    VLOOKUP(
        $A76,
        _xlfn._xlws.FILTER(
            INDIRECT("'"&amp;P$14&amp;"'!A2:E1000"), (INDIRECT("'"&amp;P$14&amp;"'!B2:B1000")=$B76) * (INDIRECT("'"&amp;P$14&amp;"'!C2:C1000")=$C76)
        ),
        5,
        FALSE
    )=0,
    "",
    VLOOKUP(
        $A76,
        _xlfn._xlws.FILTER(
            INDIRECT("'"&amp;P$14&amp;"'!A2:E1000"), (INDIRECT("'"&amp;P$14&amp;"'!B2:B1000")=$B76) * (INDIRECT("'"&amp;P$14&amp;"'!C2:C1000")=$C76)
        ),
        5,
        FALSE
    )
)</f>
        <v/>
      </c>
      <c r="Q76" s="103">
        <f t="array" ref="Q76">IF(
    VLOOKUP(
        $A76,
        _xlfn._xlws.FILTER(
            INDIRECT("'"&amp;Q$14&amp;"'!A2:E1000"), (INDIRECT("'"&amp;Q$14&amp;"'!B2:B1000")=$B76) * (INDIRECT("'"&amp;Q$14&amp;"'!C2:C1000")=$C76)
        ),
        5,
        FALSE
    )=0,
    "",
    VLOOKUP(
        $A76,
        _xlfn._xlws.FILTER(
            INDIRECT("'"&amp;Q$14&amp;"'!A2:E1000"), (INDIRECT("'"&amp;Q$14&amp;"'!B2:B1000")=$B76) * (INDIRECT("'"&amp;Q$14&amp;"'!C2:C1000")=$C76)
        ),
        5,
        FALSE
    )
)</f>
        <v/>
      </c>
    </row>
    <row r="77">
      <c r="A77" s="58" t="inlineStr">
        <is>
          <t>Valquiria</t>
        </is>
      </c>
      <c r="B77" s="50" t="inlineStr">
        <is>
          <t>Céu Azul</t>
        </is>
      </c>
      <c r="C77" s="50" t="n">
        <v>1</v>
      </c>
      <c r="D77" s="103">
        <f t="array" ref="D77">IF(
    VLOOKUP(
        $A77,
        _xlfn._xlws.FILTER(
            INDIRECT("'"&amp;D$14&amp;"'!A2:E1000"), (INDIRECT("'"&amp;D$14&amp;"'!B2:B1000")=$B77) * (INDIRECT("'"&amp;D$14&amp;"'!C2:C1000")=$C77)
        ),
        5,
        FALSE
    )=0,
    "",
    VLOOKUP(
        $A77,
        _xlfn._xlws.FILTER(
            INDIRECT("'"&amp;D$14&amp;"'!A2:E1000"), (INDIRECT("'"&amp;D$14&amp;"'!B2:B1000")=$B77) * (INDIRECT("'"&amp;D$14&amp;"'!C2:C1000")=$C77)
        ),
        5,
        FALSE
    )
)</f>
        <v/>
      </c>
      <c r="E77" s="103">
        <f t="array" ref="E77">IF(
    VLOOKUP(
        $A77,
        _xlfn._xlws.FILTER(
            INDIRECT("'"&amp;E$14&amp;"'!A2:E1000"), (INDIRECT("'"&amp;E$14&amp;"'!B2:B1000")=$B77) * (INDIRECT("'"&amp;E$14&amp;"'!C2:C1000")=$C77)
        ),
        5,
        FALSE
    )=0,
    "",
    VLOOKUP(
        $A77,
        _xlfn._xlws.FILTER(
            INDIRECT("'"&amp;E$14&amp;"'!A2:E1000"), (INDIRECT("'"&amp;E$14&amp;"'!B2:B1000")=$B77) * (INDIRECT("'"&amp;E$14&amp;"'!C2:C1000")=$C77)
        ),
        5,
        FALSE
    )
)</f>
        <v/>
      </c>
      <c r="F77" s="103">
        <f t="array" ref="F77">IF(
    VLOOKUP(
        $A77,
        _xlfn._xlws.FILTER(
            INDIRECT("'"&amp;F$14&amp;"'!A2:E1000"), (INDIRECT("'"&amp;F$14&amp;"'!B2:B1000")=$B77) * (INDIRECT("'"&amp;F$14&amp;"'!C2:C1000")=$C77)
        ),
        5,
        FALSE
    )=0,
    "",
    VLOOKUP(
        $A77,
        _xlfn._xlws.FILTER(
            INDIRECT("'"&amp;F$14&amp;"'!A2:E1000"), (INDIRECT("'"&amp;F$14&amp;"'!B2:B1000")=$B77) * (INDIRECT("'"&amp;F$14&amp;"'!C2:C1000")=$C77)
        ),
        5,
        FALSE
    )
)</f>
        <v/>
      </c>
      <c r="G77" s="103">
        <f t="array" ref="G77">IF(
    VLOOKUP(
        $A77,
        _xlfn._xlws.FILTER(
            INDIRECT("'"&amp;G$14&amp;"'!A2:E1000"), (INDIRECT("'"&amp;G$14&amp;"'!B2:B1000")=$B77) * (INDIRECT("'"&amp;G$14&amp;"'!C2:C1000")=$C77)
        ),
        5,
        FALSE
    )=0,
    "",
    VLOOKUP(
        $A77,
        _xlfn._xlws.FILTER(
            INDIRECT("'"&amp;G$14&amp;"'!A2:E1000"), (INDIRECT("'"&amp;G$14&amp;"'!B2:B1000")=$B77) * (INDIRECT("'"&amp;G$14&amp;"'!C2:C1000")=$C77)
        ),
        5,
        FALSE
    )
)</f>
        <v/>
      </c>
      <c r="H77" s="103">
        <f t="array" ref="H77">IF(
    VLOOKUP(
        $A77,
        _xlfn._xlws.FILTER(
            INDIRECT("'"&amp;H$14&amp;"'!A2:E1000"), (INDIRECT("'"&amp;H$14&amp;"'!B2:B1000")=$B77) * (INDIRECT("'"&amp;H$14&amp;"'!C2:C1000")=$C77)
        ),
        5,
        FALSE
    )=0,
    "",
    VLOOKUP(
        $A77,
        _xlfn._xlws.FILTER(
            INDIRECT("'"&amp;H$14&amp;"'!A2:E1000"), (INDIRECT("'"&amp;H$14&amp;"'!B2:B1000")=$B77) * (INDIRECT("'"&amp;H$14&amp;"'!C2:C1000")=$C77)
        ),
        5,
        FALSE
    )
)</f>
        <v/>
      </c>
      <c r="I77" s="103">
        <f t="array" ref="I77">IF(
    VLOOKUP(
        $A77,
        _xlfn._xlws.FILTER(
            INDIRECT("'"&amp;I$14&amp;"'!A2:E1000"), (INDIRECT("'"&amp;I$14&amp;"'!B2:B1000")=$B77) * (INDIRECT("'"&amp;I$14&amp;"'!C2:C1000")=$C77)
        ),
        5,
        FALSE
    )=0,
    "",
    VLOOKUP(
        $A77,
        _xlfn._xlws.FILTER(
            INDIRECT("'"&amp;I$14&amp;"'!A2:E1000"), (INDIRECT("'"&amp;I$14&amp;"'!B2:B1000")=$B77) * (INDIRECT("'"&amp;I$14&amp;"'!C2:C1000")=$C77)
        ),
        5,
        FALSE
    )
)</f>
        <v/>
      </c>
      <c r="J77" s="103">
        <f t="array" ref="J77">IF(
    VLOOKUP(
        $A77,
        _xlfn._xlws.FILTER(
            INDIRECT("'"&amp;J$14&amp;"'!A2:E1000"), (INDIRECT("'"&amp;J$14&amp;"'!B2:B1000")=$B77) * (INDIRECT("'"&amp;J$14&amp;"'!C2:C1000")=$C77)
        ),
        5,
        FALSE
    )=0,
    "",
    VLOOKUP(
        $A77,
        _xlfn._xlws.FILTER(
            INDIRECT("'"&amp;J$14&amp;"'!A2:E1000"), (INDIRECT("'"&amp;J$14&amp;"'!B2:B1000")=$B77) * (INDIRECT("'"&amp;J$14&amp;"'!C2:C1000")=$C77)
        ),
        5,
        FALSE
    )
)</f>
        <v/>
      </c>
      <c r="K77" s="103">
        <f t="array" ref="K77">IF(
    VLOOKUP(
        $A77,
        _xlfn._xlws.FILTER(
            INDIRECT("'"&amp;K$14&amp;"'!A2:E1000"), (INDIRECT("'"&amp;K$14&amp;"'!B2:B1000")=$B77) * (INDIRECT("'"&amp;K$14&amp;"'!C2:C1000")=$C77)
        ),
        5,
        FALSE
    )=0,
    "",
    VLOOKUP(
        $A77,
        _xlfn._xlws.FILTER(
            INDIRECT("'"&amp;K$14&amp;"'!A2:E1000"), (INDIRECT("'"&amp;K$14&amp;"'!B2:B1000")=$B77) * (INDIRECT("'"&amp;K$14&amp;"'!C2:C1000")=$C77)
        ),
        5,
        FALSE
    )
)</f>
        <v/>
      </c>
      <c r="L77" s="103">
        <f t="array" ref="L77">IF(
    VLOOKUP(
        $A77,
        _xlfn._xlws.FILTER(
            INDIRECT("'"&amp;L$14&amp;"'!A2:E1000"), (INDIRECT("'"&amp;L$14&amp;"'!B2:B1000")=$B77) * (INDIRECT("'"&amp;L$14&amp;"'!C2:C1000")=$C77)
        ),
        5,
        FALSE
    )=0,
    "",
    VLOOKUP(
        $A77,
        _xlfn._xlws.FILTER(
            INDIRECT("'"&amp;L$14&amp;"'!A2:E1000"), (INDIRECT("'"&amp;L$14&amp;"'!B2:B1000")=$B77) * (INDIRECT("'"&amp;L$14&amp;"'!C2:C1000")=$C77)
        ),
        5,
        FALSE
    )
)</f>
        <v/>
      </c>
      <c r="M77" s="103">
        <f t="array" ref="M77">IF(
    VLOOKUP(
        $A77,
        _xlfn._xlws.FILTER(
            INDIRECT("'"&amp;M$14&amp;"'!A2:E1000"), (INDIRECT("'"&amp;M$14&amp;"'!B2:B1000")=$B77) * (INDIRECT("'"&amp;M$14&amp;"'!C2:C1000")=$C77)
        ),
        5,
        FALSE
    )=0,
    "",
    VLOOKUP(
        $A77,
        _xlfn._xlws.FILTER(
            INDIRECT("'"&amp;M$14&amp;"'!A2:E1000"), (INDIRECT("'"&amp;M$14&amp;"'!B2:B1000")=$B77) * (INDIRECT("'"&amp;M$14&amp;"'!C2:C1000")=$C77)
        ),
        5,
        FALSE
    )
)</f>
        <v/>
      </c>
      <c r="N77" s="103">
        <f t="array" ref="N77">IF(
    VLOOKUP(
        $A77,
        _xlfn._xlws.FILTER(
            INDIRECT("'"&amp;N$14&amp;"'!A2:E1000"), (INDIRECT("'"&amp;N$14&amp;"'!B2:B1000")=$B77) * (INDIRECT("'"&amp;N$14&amp;"'!C2:C1000")=$C77)
        ),
        5,
        FALSE
    )=0,
    "",
    VLOOKUP(
        $A77,
        _xlfn._xlws.FILTER(
            INDIRECT("'"&amp;N$14&amp;"'!A2:E1000"), (INDIRECT("'"&amp;N$14&amp;"'!B2:B1000")=$B77) * (INDIRECT("'"&amp;N$14&amp;"'!C2:C1000")=$C77)
        ),
        5,
        FALSE
    )
)</f>
        <v/>
      </c>
      <c r="O77" s="103">
        <f t="array" ref="O77">IF(
    VLOOKUP(
        $A77,
        _xlfn._xlws.FILTER(
            INDIRECT("'"&amp;O$14&amp;"'!A2:E1000"), (INDIRECT("'"&amp;O$14&amp;"'!B2:B1000")=$B77) * (INDIRECT("'"&amp;O$14&amp;"'!C2:C1000")=$C77)
        ),
        5,
        FALSE
    )=0,
    "",
    VLOOKUP(
        $A77,
        _xlfn._xlws.FILTER(
            INDIRECT("'"&amp;O$14&amp;"'!A2:E1000"), (INDIRECT("'"&amp;O$14&amp;"'!B2:B1000")=$B77) * (INDIRECT("'"&amp;O$14&amp;"'!C2:C1000")=$C77)
        ),
        5,
        FALSE
    )
)</f>
        <v/>
      </c>
      <c r="P77" s="103">
        <f t="array" ref="P77">IF(
    VLOOKUP(
        $A77,
        _xlfn._xlws.FILTER(
            INDIRECT("'"&amp;P$14&amp;"'!A2:E1000"), (INDIRECT("'"&amp;P$14&amp;"'!B2:B1000")=$B77) * (INDIRECT("'"&amp;P$14&amp;"'!C2:C1000")=$C77)
        ),
        5,
        FALSE
    )=0,
    "",
    VLOOKUP(
        $A77,
        _xlfn._xlws.FILTER(
            INDIRECT("'"&amp;P$14&amp;"'!A2:E1000"), (INDIRECT("'"&amp;P$14&amp;"'!B2:B1000")=$B77) * (INDIRECT("'"&amp;P$14&amp;"'!C2:C1000")=$C77)
        ),
        5,
        FALSE
    )
)</f>
        <v/>
      </c>
      <c r="Q77" s="103">
        <f t="array" ref="Q77">IF(
    VLOOKUP(
        $A77,
        _xlfn._xlws.FILTER(
            INDIRECT("'"&amp;Q$14&amp;"'!A2:E1000"), (INDIRECT("'"&amp;Q$14&amp;"'!B2:B1000")=$B77) * (INDIRECT("'"&amp;Q$14&amp;"'!C2:C1000")=$C77)
        ),
        5,
        FALSE
    )=0,
    "",
    VLOOKUP(
        $A77,
        _xlfn._xlws.FILTER(
            INDIRECT("'"&amp;Q$14&amp;"'!A2:E1000"), (INDIRECT("'"&amp;Q$14&amp;"'!B2:B1000")=$B77) * (INDIRECT("'"&amp;Q$14&amp;"'!C2:C1000")=$C77)
        ),
        5,
        FALSE
    )
)</f>
        <v/>
      </c>
    </row>
    <row r="78">
      <c r="A78" s="58" t="inlineStr">
        <is>
          <t>Valquiria</t>
        </is>
      </c>
      <c r="B78" s="50" t="inlineStr">
        <is>
          <t>Lindoeste</t>
        </is>
      </c>
      <c r="C78" s="50" t="n">
        <v>1</v>
      </c>
      <c r="D78" s="103">
        <f t="array" ref="D78">IF(
    VLOOKUP(
        $A78,
        _xlfn._xlws.FILTER(
            INDIRECT("'"&amp;D$14&amp;"'!A2:E1000"), (INDIRECT("'"&amp;D$14&amp;"'!B2:B1000")=$B78) * (INDIRECT("'"&amp;D$14&amp;"'!C2:C1000")=$C78)
        ),
        5,
        FALSE
    )=0,
    "",
    VLOOKUP(
        $A78,
        _xlfn._xlws.FILTER(
            INDIRECT("'"&amp;D$14&amp;"'!A2:E1000"), (INDIRECT("'"&amp;D$14&amp;"'!B2:B1000")=$B78) * (INDIRECT("'"&amp;D$14&amp;"'!C2:C1000")=$C78)
        ),
        5,
        FALSE
    )
)</f>
        <v/>
      </c>
      <c r="E78" s="103">
        <f t="array" ref="E78">IF(
    VLOOKUP(
        $A78,
        _xlfn._xlws.FILTER(
            INDIRECT("'"&amp;E$14&amp;"'!A2:E1000"), (INDIRECT("'"&amp;E$14&amp;"'!B2:B1000")=$B78) * (INDIRECT("'"&amp;E$14&amp;"'!C2:C1000")=$C78)
        ),
        5,
        FALSE
    )=0,
    "",
    VLOOKUP(
        $A78,
        _xlfn._xlws.FILTER(
            INDIRECT("'"&amp;E$14&amp;"'!A2:E1000"), (INDIRECT("'"&amp;E$14&amp;"'!B2:B1000")=$B78) * (INDIRECT("'"&amp;E$14&amp;"'!C2:C1000")=$C78)
        ),
        5,
        FALSE
    )
)</f>
        <v/>
      </c>
      <c r="F78" s="103">
        <f t="array" ref="F78">IF(
    VLOOKUP(
        $A78,
        _xlfn._xlws.FILTER(
            INDIRECT("'"&amp;F$14&amp;"'!A2:E1000"), (INDIRECT("'"&amp;F$14&amp;"'!B2:B1000")=$B78) * (INDIRECT("'"&amp;F$14&amp;"'!C2:C1000")=$C78)
        ),
        5,
        FALSE
    )=0,
    "",
    VLOOKUP(
        $A78,
        _xlfn._xlws.FILTER(
            INDIRECT("'"&amp;F$14&amp;"'!A2:E1000"), (INDIRECT("'"&amp;F$14&amp;"'!B2:B1000")=$B78) * (INDIRECT("'"&amp;F$14&amp;"'!C2:C1000")=$C78)
        ),
        5,
        FALSE
    )
)</f>
        <v/>
      </c>
      <c r="G78" s="103">
        <f t="array" ref="G78">IF(
    VLOOKUP(
        $A78,
        _xlfn._xlws.FILTER(
            INDIRECT("'"&amp;G$14&amp;"'!A2:E1000"), (INDIRECT("'"&amp;G$14&amp;"'!B2:B1000")=$B78) * (INDIRECT("'"&amp;G$14&amp;"'!C2:C1000")=$C78)
        ),
        5,
        FALSE
    )=0,
    "",
    VLOOKUP(
        $A78,
        _xlfn._xlws.FILTER(
            INDIRECT("'"&amp;G$14&amp;"'!A2:E1000"), (INDIRECT("'"&amp;G$14&amp;"'!B2:B1000")=$B78) * (INDIRECT("'"&amp;G$14&amp;"'!C2:C1000")=$C78)
        ),
        5,
        FALSE
    )
)</f>
        <v/>
      </c>
      <c r="H78" s="103">
        <f t="array" ref="H78">IF(
    VLOOKUP(
        $A78,
        _xlfn._xlws.FILTER(
            INDIRECT("'"&amp;H$14&amp;"'!A2:E1000"), (INDIRECT("'"&amp;H$14&amp;"'!B2:B1000")=$B78) * (INDIRECT("'"&amp;H$14&amp;"'!C2:C1000")=$C78)
        ),
        5,
        FALSE
    )=0,
    "",
    VLOOKUP(
        $A78,
        _xlfn._xlws.FILTER(
            INDIRECT("'"&amp;H$14&amp;"'!A2:E1000"), (INDIRECT("'"&amp;H$14&amp;"'!B2:B1000")=$B78) * (INDIRECT("'"&amp;H$14&amp;"'!C2:C1000")=$C78)
        ),
        5,
        FALSE
    )
)</f>
        <v/>
      </c>
      <c r="I78" s="103">
        <f t="array" ref="I78">IF(
    VLOOKUP(
        $A78,
        _xlfn._xlws.FILTER(
            INDIRECT("'"&amp;I$14&amp;"'!A2:E1000"), (INDIRECT("'"&amp;I$14&amp;"'!B2:B1000")=$B78) * (INDIRECT("'"&amp;I$14&amp;"'!C2:C1000")=$C78)
        ),
        5,
        FALSE
    )=0,
    "",
    VLOOKUP(
        $A78,
        _xlfn._xlws.FILTER(
            INDIRECT("'"&amp;I$14&amp;"'!A2:E1000"), (INDIRECT("'"&amp;I$14&amp;"'!B2:B1000")=$B78) * (INDIRECT("'"&amp;I$14&amp;"'!C2:C1000")=$C78)
        ),
        5,
        FALSE
    )
)</f>
        <v/>
      </c>
      <c r="J78" s="103">
        <f t="array" ref="J78">IF(
    VLOOKUP(
        $A78,
        _xlfn._xlws.FILTER(
            INDIRECT("'"&amp;J$14&amp;"'!A2:E1000"), (INDIRECT("'"&amp;J$14&amp;"'!B2:B1000")=$B78) * (INDIRECT("'"&amp;J$14&amp;"'!C2:C1000")=$C78)
        ),
        5,
        FALSE
    )=0,
    "",
    VLOOKUP(
        $A78,
        _xlfn._xlws.FILTER(
            INDIRECT("'"&amp;J$14&amp;"'!A2:E1000"), (INDIRECT("'"&amp;J$14&amp;"'!B2:B1000")=$B78) * (INDIRECT("'"&amp;J$14&amp;"'!C2:C1000")=$C78)
        ),
        5,
        FALSE
    )
)</f>
        <v/>
      </c>
      <c r="K78" s="103">
        <f t="array" ref="K78">IF(
    VLOOKUP(
        $A78,
        _xlfn._xlws.FILTER(
            INDIRECT("'"&amp;K$14&amp;"'!A2:E1000"), (INDIRECT("'"&amp;K$14&amp;"'!B2:B1000")=$B78) * (INDIRECT("'"&amp;K$14&amp;"'!C2:C1000")=$C78)
        ),
        5,
        FALSE
    )=0,
    "",
    VLOOKUP(
        $A78,
        _xlfn._xlws.FILTER(
            INDIRECT("'"&amp;K$14&amp;"'!A2:E1000"), (INDIRECT("'"&amp;K$14&amp;"'!B2:B1000")=$B78) * (INDIRECT("'"&amp;K$14&amp;"'!C2:C1000")=$C78)
        ),
        5,
        FALSE
    )
)</f>
        <v/>
      </c>
      <c r="L78" s="103">
        <f t="array" ref="L78">IF(
    VLOOKUP(
        $A78,
        _xlfn._xlws.FILTER(
            INDIRECT("'"&amp;L$14&amp;"'!A2:E1000"), (INDIRECT("'"&amp;L$14&amp;"'!B2:B1000")=$B78) * (INDIRECT("'"&amp;L$14&amp;"'!C2:C1000")=$C78)
        ),
        5,
        FALSE
    )=0,
    "",
    VLOOKUP(
        $A78,
        _xlfn._xlws.FILTER(
            INDIRECT("'"&amp;L$14&amp;"'!A2:E1000"), (INDIRECT("'"&amp;L$14&amp;"'!B2:B1000")=$B78) * (INDIRECT("'"&amp;L$14&amp;"'!C2:C1000")=$C78)
        ),
        5,
        FALSE
    )
)</f>
        <v/>
      </c>
      <c r="M78" s="103">
        <f t="array" ref="M78">IF(
    VLOOKUP(
        $A78,
        _xlfn._xlws.FILTER(
            INDIRECT("'"&amp;M$14&amp;"'!A2:E1000"), (INDIRECT("'"&amp;M$14&amp;"'!B2:B1000")=$B78) * (INDIRECT("'"&amp;M$14&amp;"'!C2:C1000")=$C78)
        ),
        5,
        FALSE
    )=0,
    "",
    VLOOKUP(
        $A78,
        _xlfn._xlws.FILTER(
            INDIRECT("'"&amp;M$14&amp;"'!A2:E1000"), (INDIRECT("'"&amp;M$14&amp;"'!B2:B1000")=$B78) * (INDIRECT("'"&amp;M$14&amp;"'!C2:C1000")=$C78)
        ),
        5,
        FALSE
    )
)</f>
        <v/>
      </c>
      <c r="N78" s="103">
        <f t="array" ref="N78">IF(
    VLOOKUP(
        $A78,
        _xlfn._xlws.FILTER(
            INDIRECT("'"&amp;N$14&amp;"'!A2:E1000"), (INDIRECT("'"&amp;N$14&amp;"'!B2:B1000")=$B78) * (INDIRECT("'"&amp;N$14&amp;"'!C2:C1000")=$C78)
        ),
        5,
        FALSE
    )=0,
    "",
    VLOOKUP(
        $A78,
        _xlfn._xlws.FILTER(
            INDIRECT("'"&amp;N$14&amp;"'!A2:E1000"), (INDIRECT("'"&amp;N$14&amp;"'!B2:B1000")=$B78) * (INDIRECT("'"&amp;N$14&amp;"'!C2:C1000")=$C78)
        ),
        5,
        FALSE
    )
)</f>
        <v/>
      </c>
      <c r="O78" s="103">
        <f t="array" ref="O78">IF(
    VLOOKUP(
        $A78,
        _xlfn._xlws.FILTER(
            INDIRECT("'"&amp;O$14&amp;"'!A2:E1000"), (INDIRECT("'"&amp;O$14&amp;"'!B2:B1000")=$B78) * (INDIRECT("'"&amp;O$14&amp;"'!C2:C1000")=$C78)
        ),
        5,
        FALSE
    )=0,
    "",
    VLOOKUP(
        $A78,
        _xlfn._xlws.FILTER(
            INDIRECT("'"&amp;O$14&amp;"'!A2:E1000"), (INDIRECT("'"&amp;O$14&amp;"'!B2:B1000")=$B78) * (INDIRECT("'"&amp;O$14&amp;"'!C2:C1000")=$C78)
        ),
        5,
        FALSE
    )
)</f>
        <v/>
      </c>
      <c r="P78" s="103">
        <f t="array" ref="P78">IF(
    VLOOKUP(
        $A78,
        _xlfn._xlws.FILTER(
            INDIRECT("'"&amp;P$14&amp;"'!A2:E1000"), (INDIRECT("'"&amp;P$14&amp;"'!B2:B1000")=$B78) * (INDIRECT("'"&amp;P$14&amp;"'!C2:C1000")=$C78)
        ),
        5,
        FALSE
    )=0,
    "",
    VLOOKUP(
        $A78,
        _xlfn._xlws.FILTER(
            INDIRECT("'"&amp;P$14&amp;"'!A2:E1000"), (INDIRECT("'"&amp;P$14&amp;"'!B2:B1000")=$B78) * (INDIRECT("'"&amp;P$14&amp;"'!C2:C1000")=$C78)
        ),
        5,
        FALSE
    )
)</f>
        <v/>
      </c>
      <c r="Q78" s="103">
        <f t="array" ref="Q78">IF(
    VLOOKUP(
        $A78,
        _xlfn._xlws.FILTER(
            INDIRECT("'"&amp;Q$14&amp;"'!A2:E1000"), (INDIRECT("'"&amp;Q$14&amp;"'!B2:B1000")=$B78) * (INDIRECT("'"&amp;Q$14&amp;"'!C2:C1000")=$C78)
        ),
        5,
        FALSE
    )=0,
    "",
    VLOOKUP(
        $A78,
        _xlfn._xlws.FILTER(
            INDIRECT("'"&amp;Q$14&amp;"'!A2:E1000"), (INDIRECT("'"&amp;Q$14&amp;"'!B2:B1000")=$B78) * (INDIRECT("'"&amp;Q$14&amp;"'!C2:C1000")=$C78)
        ),
        5,
        FALSE
    )
)</f>
        <v/>
      </c>
    </row>
    <row r="79">
      <c r="A79" s="58" t="inlineStr">
        <is>
          <t>Valquiria</t>
        </is>
      </c>
      <c r="B79" s="50" t="inlineStr">
        <is>
          <t>Santa Lúcia</t>
        </is>
      </c>
      <c r="C79" s="50" t="n">
        <v>1</v>
      </c>
      <c r="D79" s="103">
        <f t="array" ref="D79">IF(
    VLOOKUP(
        $A79,
        _xlfn._xlws.FILTER(
            INDIRECT("'"&amp;D$14&amp;"'!A2:E1000"), (INDIRECT("'"&amp;D$14&amp;"'!B2:B1000")=$B79) * (INDIRECT("'"&amp;D$14&amp;"'!C2:C1000")=$C79)
        ),
        5,
        FALSE
    )=0,
    "",
    VLOOKUP(
        $A79,
        _xlfn._xlws.FILTER(
            INDIRECT("'"&amp;D$14&amp;"'!A2:E1000"), (INDIRECT("'"&amp;D$14&amp;"'!B2:B1000")=$B79) * (INDIRECT("'"&amp;D$14&amp;"'!C2:C1000")=$C79)
        ),
        5,
        FALSE
    )
)</f>
        <v/>
      </c>
      <c r="E79" s="103">
        <f t="array" ref="E79">IF(
    VLOOKUP(
        $A79,
        _xlfn._xlws.FILTER(
            INDIRECT("'"&amp;E$14&amp;"'!A2:E1000"), (INDIRECT("'"&amp;E$14&amp;"'!B2:B1000")=$B79) * (INDIRECT("'"&amp;E$14&amp;"'!C2:C1000")=$C79)
        ),
        5,
        FALSE
    )=0,
    "",
    VLOOKUP(
        $A79,
        _xlfn._xlws.FILTER(
            INDIRECT("'"&amp;E$14&amp;"'!A2:E1000"), (INDIRECT("'"&amp;E$14&amp;"'!B2:B1000")=$B79) * (INDIRECT("'"&amp;E$14&amp;"'!C2:C1000")=$C79)
        ),
        5,
        FALSE
    )
)</f>
        <v/>
      </c>
      <c r="F79" s="103">
        <f t="array" ref="F79">IF(
    VLOOKUP(
        $A79,
        _xlfn._xlws.FILTER(
            INDIRECT("'"&amp;F$14&amp;"'!A2:E1000"), (INDIRECT("'"&amp;F$14&amp;"'!B2:B1000")=$B79) * (INDIRECT("'"&amp;F$14&amp;"'!C2:C1000")=$C79)
        ),
        5,
        FALSE
    )=0,
    "",
    VLOOKUP(
        $A79,
        _xlfn._xlws.FILTER(
            INDIRECT("'"&amp;F$14&amp;"'!A2:E1000"), (INDIRECT("'"&amp;F$14&amp;"'!B2:B1000")=$B79) * (INDIRECT("'"&amp;F$14&amp;"'!C2:C1000")=$C79)
        ),
        5,
        FALSE
    )
)</f>
        <v/>
      </c>
      <c r="G79" s="103">
        <f t="array" ref="G79">IF(
    VLOOKUP(
        $A79,
        _xlfn._xlws.FILTER(
            INDIRECT("'"&amp;G$14&amp;"'!A2:E1000"), (INDIRECT("'"&amp;G$14&amp;"'!B2:B1000")=$B79) * (INDIRECT("'"&amp;G$14&amp;"'!C2:C1000")=$C79)
        ),
        5,
        FALSE
    )=0,
    "",
    VLOOKUP(
        $A79,
        _xlfn._xlws.FILTER(
            INDIRECT("'"&amp;G$14&amp;"'!A2:E1000"), (INDIRECT("'"&amp;G$14&amp;"'!B2:B1000")=$B79) * (INDIRECT("'"&amp;G$14&amp;"'!C2:C1000")=$C79)
        ),
        5,
        FALSE
    )
)</f>
        <v/>
      </c>
      <c r="H79" s="103">
        <f t="array" ref="H79">IF(
    VLOOKUP(
        $A79,
        _xlfn._xlws.FILTER(
            INDIRECT("'"&amp;H$14&amp;"'!A2:E1000"), (INDIRECT("'"&amp;H$14&amp;"'!B2:B1000")=$B79) * (INDIRECT("'"&amp;H$14&amp;"'!C2:C1000")=$C79)
        ),
        5,
        FALSE
    )=0,
    "",
    VLOOKUP(
        $A79,
        _xlfn._xlws.FILTER(
            INDIRECT("'"&amp;H$14&amp;"'!A2:E1000"), (INDIRECT("'"&amp;H$14&amp;"'!B2:B1000")=$B79) * (INDIRECT("'"&amp;H$14&amp;"'!C2:C1000")=$C79)
        ),
        5,
        FALSE
    )
)</f>
        <v/>
      </c>
      <c r="I79" s="103">
        <f t="array" ref="I79">IF(
    VLOOKUP(
        $A79,
        _xlfn._xlws.FILTER(
            INDIRECT("'"&amp;I$14&amp;"'!A2:E1000"), (INDIRECT("'"&amp;I$14&amp;"'!B2:B1000")=$B79) * (INDIRECT("'"&amp;I$14&amp;"'!C2:C1000")=$C79)
        ),
        5,
        FALSE
    )=0,
    "",
    VLOOKUP(
        $A79,
        _xlfn._xlws.FILTER(
            INDIRECT("'"&amp;I$14&amp;"'!A2:E1000"), (INDIRECT("'"&amp;I$14&amp;"'!B2:B1000")=$B79) * (INDIRECT("'"&amp;I$14&amp;"'!C2:C1000")=$C79)
        ),
        5,
        FALSE
    )
)</f>
        <v/>
      </c>
      <c r="J79" s="103">
        <f t="array" ref="J79">IF(
    VLOOKUP(
        $A79,
        _xlfn._xlws.FILTER(
            INDIRECT("'"&amp;J$14&amp;"'!A2:E1000"), (INDIRECT("'"&amp;J$14&amp;"'!B2:B1000")=$B79) * (INDIRECT("'"&amp;J$14&amp;"'!C2:C1000")=$C79)
        ),
        5,
        FALSE
    )=0,
    "",
    VLOOKUP(
        $A79,
        _xlfn._xlws.FILTER(
            INDIRECT("'"&amp;J$14&amp;"'!A2:E1000"), (INDIRECT("'"&amp;J$14&amp;"'!B2:B1000")=$B79) * (INDIRECT("'"&amp;J$14&amp;"'!C2:C1000")=$C79)
        ),
        5,
        FALSE
    )
)</f>
        <v/>
      </c>
      <c r="K79" s="103">
        <f t="array" ref="K79">IF(
    VLOOKUP(
        $A79,
        _xlfn._xlws.FILTER(
            INDIRECT("'"&amp;K$14&amp;"'!A2:E1000"), (INDIRECT("'"&amp;K$14&amp;"'!B2:B1000")=$B79) * (INDIRECT("'"&amp;K$14&amp;"'!C2:C1000")=$C79)
        ),
        5,
        FALSE
    )=0,
    "",
    VLOOKUP(
        $A79,
        _xlfn._xlws.FILTER(
            INDIRECT("'"&amp;K$14&amp;"'!A2:E1000"), (INDIRECT("'"&amp;K$14&amp;"'!B2:B1000")=$B79) * (INDIRECT("'"&amp;K$14&amp;"'!C2:C1000")=$C79)
        ),
        5,
        FALSE
    )
)</f>
        <v/>
      </c>
      <c r="L79" s="103">
        <f t="array" ref="L79">IF(
    VLOOKUP(
        $A79,
        _xlfn._xlws.FILTER(
            INDIRECT("'"&amp;L$14&amp;"'!A2:E1000"), (INDIRECT("'"&amp;L$14&amp;"'!B2:B1000")=$B79) * (INDIRECT("'"&amp;L$14&amp;"'!C2:C1000")=$C79)
        ),
        5,
        FALSE
    )=0,
    "",
    VLOOKUP(
        $A79,
        _xlfn._xlws.FILTER(
            INDIRECT("'"&amp;L$14&amp;"'!A2:E1000"), (INDIRECT("'"&amp;L$14&amp;"'!B2:B1000")=$B79) * (INDIRECT("'"&amp;L$14&amp;"'!C2:C1000")=$C79)
        ),
        5,
        FALSE
    )
)</f>
        <v/>
      </c>
      <c r="M79" s="103">
        <f t="array" ref="M79">IF(
    VLOOKUP(
        $A79,
        _xlfn._xlws.FILTER(
            INDIRECT("'"&amp;M$14&amp;"'!A2:E1000"), (INDIRECT("'"&amp;M$14&amp;"'!B2:B1000")=$B79) * (INDIRECT("'"&amp;M$14&amp;"'!C2:C1000")=$C79)
        ),
        5,
        FALSE
    )=0,
    "",
    VLOOKUP(
        $A79,
        _xlfn._xlws.FILTER(
            INDIRECT("'"&amp;M$14&amp;"'!A2:E1000"), (INDIRECT("'"&amp;M$14&amp;"'!B2:B1000")=$B79) * (INDIRECT("'"&amp;M$14&amp;"'!C2:C1000")=$C79)
        ),
        5,
        FALSE
    )
)</f>
        <v/>
      </c>
      <c r="N79" s="103">
        <f t="array" ref="N79">IF(
    VLOOKUP(
        $A79,
        _xlfn._xlws.FILTER(
            INDIRECT("'"&amp;N$14&amp;"'!A2:E1000"), (INDIRECT("'"&amp;N$14&amp;"'!B2:B1000")=$B79) * (INDIRECT("'"&amp;N$14&amp;"'!C2:C1000")=$C79)
        ),
        5,
        FALSE
    )=0,
    "",
    VLOOKUP(
        $A79,
        _xlfn._xlws.FILTER(
            INDIRECT("'"&amp;N$14&amp;"'!A2:E1000"), (INDIRECT("'"&amp;N$14&amp;"'!B2:B1000")=$B79) * (INDIRECT("'"&amp;N$14&amp;"'!C2:C1000")=$C79)
        ),
        5,
        FALSE
    )
)</f>
        <v/>
      </c>
      <c r="O79" s="103">
        <f t="array" ref="O79">IF(
    VLOOKUP(
        $A79,
        _xlfn._xlws.FILTER(
            INDIRECT("'"&amp;O$14&amp;"'!A2:E1000"), (INDIRECT("'"&amp;O$14&amp;"'!B2:B1000")=$B79) * (INDIRECT("'"&amp;O$14&amp;"'!C2:C1000")=$C79)
        ),
        5,
        FALSE
    )=0,
    "",
    VLOOKUP(
        $A79,
        _xlfn._xlws.FILTER(
            INDIRECT("'"&amp;O$14&amp;"'!A2:E1000"), (INDIRECT("'"&amp;O$14&amp;"'!B2:B1000")=$B79) * (INDIRECT("'"&amp;O$14&amp;"'!C2:C1000")=$C79)
        ),
        5,
        FALSE
    )
)</f>
        <v/>
      </c>
      <c r="P79" s="103">
        <f t="array" ref="P79">IF(
    VLOOKUP(
        $A79,
        _xlfn._xlws.FILTER(
            INDIRECT("'"&amp;P$14&amp;"'!A2:E1000"), (INDIRECT("'"&amp;P$14&amp;"'!B2:B1000")=$B79) * (INDIRECT("'"&amp;P$14&amp;"'!C2:C1000")=$C79)
        ),
        5,
        FALSE
    )=0,
    "",
    VLOOKUP(
        $A79,
        _xlfn._xlws.FILTER(
            INDIRECT("'"&amp;P$14&amp;"'!A2:E1000"), (INDIRECT("'"&amp;P$14&amp;"'!B2:B1000")=$B79) * (INDIRECT("'"&amp;P$14&amp;"'!C2:C1000")=$C79)
        ),
        5,
        FALSE
    )
)</f>
        <v/>
      </c>
      <c r="Q79" s="103">
        <f t="array" ref="Q79">IF(
    VLOOKUP(
        $A79,
        _xlfn._xlws.FILTER(
            INDIRECT("'"&amp;Q$14&amp;"'!A2:E1000"), (INDIRECT("'"&amp;Q$14&amp;"'!B2:B1000")=$B79) * (INDIRECT("'"&amp;Q$14&amp;"'!C2:C1000")=$C79)
        ),
        5,
        FALSE
    )=0,
    "",
    VLOOKUP(
        $A79,
        _xlfn._xlws.FILTER(
            INDIRECT("'"&amp;Q$14&amp;"'!A2:E1000"), (INDIRECT("'"&amp;Q$14&amp;"'!B2:B1000")=$B79) * (INDIRECT("'"&amp;Q$14&amp;"'!C2:C1000")=$C79)
        ),
        5,
        FALSE
    )
)</f>
        <v/>
      </c>
    </row>
    <row r="80">
      <c r="A80" s="58" t="inlineStr">
        <is>
          <t>Valquiria</t>
        </is>
      </c>
      <c r="B80" s="50" t="inlineStr">
        <is>
          <t>Santa Tereza do Oeste</t>
        </is>
      </c>
      <c r="C80" s="50" t="n">
        <v>1</v>
      </c>
      <c r="D80" s="103">
        <f t="array" ref="D80">IF(
    VLOOKUP(
        $A80,
        _xlfn._xlws.FILTER(
            INDIRECT("'"&amp;D$14&amp;"'!A2:E1000"), (INDIRECT("'"&amp;D$14&amp;"'!B2:B1000")=$B80) * (INDIRECT("'"&amp;D$14&amp;"'!C2:C1000")=$C80)
        ),
        5,
        FALSE
    )=0,
    "",
    VLOOKUP(
        $A80,
        _xlfn._xlws.FILTER(
            INDIRECT("'"&amp;D$14&amp;"'!A2:E1000"), (INDIRECT("'"&amp;D$14&amp;"'!B2:B1000")=$B80) * (INDIRECT("'"&amp;D$14&amp;"'!C2:C1000")=$C80)
        ),
        5,
        FALSE
    )
)</f>
        <v/>
      </c>
      <c r="E80" s="103">
        <f t="array" ref="E80">IF(
    VLOOKUP(
        $A80,
        _xlfn._xlws.FILTER(
            INDIRECT("'"&amp;E$14&amp;"'!A2:E1000"), (INDIRECT("'"&amp;E$14&amp;"'!B2:B1000")=$B80) * (INDIRECT("'"&amp;E$14&amp;"'!C2:C1000")=$C80)
        ),
        5,
        FALSE
    )=0,
    "",
    VLOOKUP(
        $A80,
        _xlfn._xlws.FILTER(
            INDIRECT("'"&amp;E$14&amp;"'!A2:E1000"), (INDIRECT("'"&amp;E$14&amp;"'!B2:B1000")=$B80) * (INDIRECT("'"&amp;E$14&amp;"'!C2:C1000")=$C80)
        ),
        5,
        FALSE
    )
)</f>
        <v/>
      </c>
      <c r="F80" s="103">
        <f t="array" ref="F80">IF(
    VLOOKUP(
        $A80,
        _xlfn._xlws.FILTER(
            INDIRECT("'"&amp;F$14&amp;"'!A2:E1000"), (INDIRECT("'"&amp;F$14&amp;"'!B2:B1000")=$B80) * (INDIRECT("'"&amp;F$14&amp;"'!C2:C1000")=$C80)
        ),
        5,
        FALSE
    )=0,
    "",
    VLOOKUP(
        $A80,
        _xlfn._xlws.FILTER(
            INDIRECT("'"&amp;F$14&amp;"'!A2:E1000"), (INDIRECT("'"&amp;F$14&amp;"'!B2:B1000")=$B80) * (INDIRECT("'"&amp;F$14&amp;"'!C2:C1000")=$C80)
        ),
        5,
        FALSE
    )
)</f>
        <v/>
      </c>
      <c r="G80" s="103">
        <f t="array" ref="G80">IF(
    VLOOKUP(
        $A80,
        _xlfn._xlws.FILTER(
            INDIRECT("'"&amp;G$14&amp;"'!A2:E1000"), (INDIRECT("'"&amp;G$14&amp;"'!B2:B1000")=$B80) * (INDIRECT("'"&amp;G$14&amp;"'!C2:C1000")=$C80)
        ),
        5,
        FALSE
    )=0,
    "",
    VLOOKUP(
        $A80,
        _xlfn._xlws.FILTER(
            INDIRECT("'"&amp;G$14&amp;"'!A2:E1000"), (INDIRECT("'"&amp;G$14&amp;"'!B2:B1000")=$B80) * (INDIRECT("'"&amp;G$14&amp;"'!C2:C1000")=$C80)
        ),
        5,
        FALSE
    )
)</f>
        <v/>
      </c>
      <c r="H80" s="103">
        <f t="array" ref="H80">IF(
    VLOOKUP(
        $A80,
        _xlfn._xlws.FILTER(
            INDIRECT("'"&amp;H$14&amp;"'!A2:E1000"), (INDIRECT("'"&amp;H$14&amp;"'!B2:B1000")=$B80) * (INDIRECT("'"&amp;H$14&amp;"'!C2:C1000")=$C80)
        ),
        5,
        FALSE
    )=0,
    "",
    VLOOKUP(
        $A80,
        _xlfn._xlws.FILTER(
            INDIRECT("'"&amp;H$14&amp;"'!A2:E1000"), (INDIRECT("'"&amp;H$14&amp;"'!B2:B1000")=$B80) * (INDIRECT("'"&amp;H$14&amp;"'!C2:C1000")=$C80)
        ),
        5,
        FALSE
    )
)</f>
        <v/>
      </c>
      <c r="I80" s="103">
        <f t="array" ref="I80">IF(
    VLOOKUP(
        $A80,
        _xlfn._xlws.FILTER(
            INDIRECT("'"&amp;I$14&amp;"'!A2:E1000"), (INDIRECT("'"&amp;I$14&amp;"'!B2:B1000")=$B80) * (INDIRECT("'"&amp;I$14&amp;"'!C2:C1000")=$C80)
        ),
        5,
        FALSE
    )=0,
    "",
    VLOOKUP(
        $A80,
        _xlfn._xlws.FILTER(
            INDIRECT("'"&amp;I$14&amp;"'!A2:E1000"), (INDIRECT("'"&amp;I$14&amp;"'!B2:B1000")=$B80) * (INDIRECT("'"&amp;I$14&amp;"'!C2:C1000")=$C80)
        ),
        5,
        FALSE
    )
)</f>
        <v/>
      </c>
      <c r="J80" s="103">
        <f t="array" ref="J80">IF(
    VLOOKUP(
        $A80,
        _xlfn._xlws.FILTER(
            INDIRECT("'"&amp;J$14&amp;"'!A2:E1000"), (INDIRECT("'"&amp;J$14&amp;"'!B2:B1000")=$B80) * (INDIRECT("'"&amp;J$14&amp;"'!C2:C1000")=$C80)
        ),
        5,
        FALSE
    )=0,
    "",
    VLOOKUP(
        $A80,
        _xlfn._xlws.FILTER(
            INDIRECT("'"&amp;J$14&amp;"'!A2:E1000"), (INDIRECT("'"&amp;J$14&amp;"'!B2:B1000")=$B80) * (INDIRECT("'"&amp;J$14&amp;"'!C2:C1000")=$C80)
        ),
        5,
        FALSE
    )
)</f>
        <v/>
      </c>
      <c r="K80" s="103">
        <f t="array" ref="K80">IF(
    VLOOKUP(
        $A80,
        _xlfn._xlws.FILTER(
            INDIRECT("'"&amp;K$14&amp;"'!A2:E1000"), (INDIRECT("'"&amp;K$14&amp;"'!B2:B1000")=$B80) * (INDIRECT("'"&amp;K$14&amp;"'!C2:C1000")=$C80)
        ),
        5,
        FALSE
    )=0,
    "",
    VLOOKUP(
        $A80,
        _xlfn._xlws.FILTER(
            INDIRECT("'"&amp;K$14&amp;"'!A2:E1000"), (INDIRECT("'"&amp;K$14&amp;"'!B2:B1000")=$B80) * (INDIRECT("'"&amp;K$14&amp;"'!C2:C1000")=$C80)
        ),
        5,
        FALSE
    )
)</f>
        <v/>
      </c>
      <c r="L80" s="103">
        <f t="array" ref="L80">IF(
    VLOOKUP(
        $A80,
        _xlfn._xlws.FILTER(
            INDIRECT("'"&amp;L$14&amp;"'!A2:E1000"), (INDIRECT("'"&amp;L$14&amp;"'!B2:B1000")=$B80) * (INDIRECT("'"&amp;L$14&amp;"'!C2:C1000")=$C80)
        ),
        5,
        FALSE
    )=0,
    "",
    VLOOKUP(
        $A80,
        _xlfn._xlws.FILTER(
            INDIRECT("'"&amp;L$14&amp;"'!A2:E1000"), (INDIRECT("'"&amp;L$14&amp;"'!B2:B1000")=$B80) * (INDIRECT("'"&amp;L$14&amp;"'!C2:C1000")=$C80)
        ),
        5,
        FALSE
    )
)</f>
        <v/>
      </c>
      <c r="M80" s="103">
        <f t="array" ref="M80">IF(
    VLOOKUP(
        $A80,
        _xlfn._xlws.FILTER(
            INDIRECT("'"&amp;M$14&amp;"'!A2:E1000"), (INDIRECT("'"&amp;M$14&amp;"'!B2:B1000")=$B80) * (INDIRECT("'"&amp;M$14&amp;"'!C2:C1000")=$C80)
        ),
        5,
        FALSE
    )=0,
    "",
    VLOOKUP(
        $A80,
        _xlfn._xlws.FILTER(
            INDIRECT("'"&amp;M$14&amp;"'!A2:E1000"), (INDIRECT("'"&amp;M$14&amp;"'!B2:B1000")=$B80) * (INDIRECT("'"&amp;M$14&amp;"'!C2:C1000")=$C80)
        ),
        5,
        FALSE
    )
)</f>
        <v/>
      </c>
      <c r="N80" s="103">
        <f t="array" ref="N80">IF(
    VLOOKUP(
        $A80,
        _xlfn._xlws.FILTER(
            INDIRECT("'"&amp;N$14&amp;"'!A2:E1000"), (INDIRECT("'"&amp;N$14&amp;"'!B2:B1000")=$B80) * (INDIRECT("'"&amp;N$14&amp;"'!C2:C1000")=$C80)
        ),
        5,
        FALSE
    )=0,
    "",
    VLOOKUP(
        $A80,
        _xlfn._xlws.FILTER(
            INDIRECT("'"&amp;N$14&amp;"'!A2:E1000"), (INDIRECT("'"&amp;N$14&amp;"'!B2:B1000")=$B80) * (INDIRECT("'"&amp;N$14&amp;"'!C2:C1000")=$C80)
        ),
        5,
        FALSE
    )
)</f>
        <v/>
      </c>
      <c r="O80" s="103">
        <f t="array" ref="O80">IF(
    VLOOKUP(
        $A80,
        _xlfn._xlws.FILTER(
            INDIRECT("'"&amp;O$14&amp;"'!A2:E1000"), (INDIRECT("'"&amp;O$14&amp;"'!B2:B1000")=$B80) * (INDIRECT("'"&amp;O$14&amp;"'!C2:C1000")=$C80)
        ),
        5,
        FALSE
    )=0,
    "",
    VLOOKUP(
        $A80,
        _xlfn._xlws.FILTER(
            INDIRECT("'"&amp;O$14&amp;"'!A2:E1000"), (INDIRECT("'"&amp;O$14&amp;"'!B2:B1000")=$B80) * (INDIRECT("'"&amp;O$14&amp;"'!C2:C1000")=$C80)
        ),
        5,
        FALSE
    )
)</f>
        <v/>
      </c>
      <c r="P80" s="103">
        <f t="array" ref="P80">IF(
    VLOOKUP(
        $A80,
        _xlfn._xlws.FILTER(
            INDIRECT("'"&amp;P$14&amp;"'!A2:E1000"), (INDIRECT("'"&amp;P$14&amp;"'!B2:B1000")=$B80) * (INDIRECT("'"&amp;P$14&amp;"'!C2:C1000")=$C80)
        ),
        5,
        FALSE
    )=0,
    "",
    VLOOKUP(
        $A80,
        _xlfn._xlws.FILTER(
            INDIRECT("'"&amp;P$14&amp;"'!A2:E1000"), (INDIRECT("'"&amp;P$14&amp;"'!B2:B1000")=$B80) * (INDIRECT("'"&amp;P$14&amp;"'!C2:C1000")=$C80)
        ),
        5,
        FALSE
    )
)</f>
        <v/>
      </c>
      <c r="Q80" s="103">
        <f t="array" ref="Q80">IF(
    VLOOKUP(
        $A80,
        _xlfn._xlws.FILTER(
            INDIRECT("'"&amp;Q$14&amp;"'!A2:E1000"), (INDIRECT("'"&amp;Q$14&amp;"'!B2:B1000")=$B80) * (INDIRECT("'"&amp;Q$14&amp;"'!C2:C1000")=$C80)
        ),
        5,
        FALSE
    )=0,
    "",
    VLOOKUP(
        $A80,
        _xlfn._xlws.FILTER(
            INDIRECT("'"&amp;Q$14&amp;"'!A2:E1000"), (INDIRECT("'"&amp;Q$14&amp;"'!B2:B1000")=$B80) * (INDIRECT("'"&amp;Q$14&amp;"'!C2:C1000")=$C80)
        ),
        5,
        FALSE
    )
)</f>
        <v/>
      </c>
    </row>
  </sheetData>
  <conditionalFormatting sqref="D2:Q80">
    <cfRule type="cellIs" priority="38" operator="equal" dxfId="18">
      <formula>"Enviado"</formula>
    </cfRule>
    <cfRule type="cellIs" priority="39" operator="equal" dxfId="19">
      <formula>"Atrasado"</formula>
    </cfRule>
    <cfRule type="cellIs" priority="40" operator="equal" dxfId="20">
      <formula>"Atrasado &gt;= 2"</formula>
    </cfRule>
    <cfRule type="cellIs" priority="41" operator="equal" dxfId="21">
      <formula>"Duplicado"</formula>
    </cfRule>
    <cfRule type="cellIs" priority="42" operator="equal" dxfId="22">
      <formula>"Sem Técnico"</formula>
    </cfRule>
    <cfRule type="cellIs" priority="43" operator="equal" dxfId="23">
      <formula>"Outras Ocorrências"</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27" customWidth="1" min="2" max="2"/>
    <col width="8.5703125" customWidth="1" min="4" max="4"/>
  </cols>
  <sheetData>
    <row r="1" ht="15.75" customHeight="1">
      <c r="A1" s="97" t="inlineStr">
        <is>
          <t>Regional</t>
        </is>
      </c>
      <c r="B1" s="98" t="inlineStr">
        <is>
          <t>Municípios</t>
        </is>
      </c>
      <c r="C1" s="98" t="inlineStr">
        <is>
          <t>UVR</t>
        </is>
      </c>
      <c r="D1" s="111" t="inlineStr">
        <is>
          <t>11.24</t>
        </is>
      </c>
      <c r="E1" s="111" t="inlineStr">
        <is>
          <t>12.24</t>
        </is>
      </c>
      <c r="F1" s="111" t="inlineStr">
        <is>
          <t>01.25</t>
        </is>
      </c>
      <c r="G1" s="111" t="inlineStr">
        <is>
          <t>02.25</t>
        </is>
      </c>
      <c r="H1" s="111" t="inlineStr">
        <is>
          <t>03.25</t>
        </is>
      </c>
      <c r="I1" s="111" t="inlineStr">
        <is>
          <t>04.25</t>
        </is>
      </c>
      <c r="J1" s="111" t="inlineStr">
        <is>
          <t>05.25</t>
        </is>
      </c>
      <c r="K1" s="111" t="inlineStr">
        <is>
          <t>06.25</t>
        </is>
      </c>
      <c r="L1" s="111" t="inlineStr">
        <is>
          <t>07.25</t>
        </is>
      </c>
      <c r="M1" s="111" t="inlineStr">
        <is>
          <t>08.25</t>
        </is>
      </c>
      <c r="N1" s="111" t="inlineStr">
        <is>
          <t>09.25</t>
        </is>
      </c>
      <c r="O1" s="111" t="inlineStr">
        <is>
          <t>10.25</t>
        </is>
      </c>
      <c r="P1" s="111" t="inlineStr">
        <is>
          <t>11.25</t>
        </is>
      </c>
      <c r="Q1" s="111" t="inlineStr">
        <is>
          <t>12.25</t>
        </is>
      </c>
    </row>
    <row r="2">
      <c r="A2" s="42" t="inlineStr">
        <is>
          <t>Bianca</t>
        </is>
      </c>
      <c r="B2" s="50" t="inlineStr">
        <is>
          <t>Anahy</t>
        </is>
      </c>
      <c r="C2" s="50" t="n">
        <v>1</v>
      </c>
      <c r="D2" s="50">
        <f t="array" ref="D2">IF(
    VLOOKUP(
        $A2,
        _xlfn._xlws.FILTER(
            INDIRECT("'"&amp;D$1&amp;"'!A2:G1000"), (INDIRECT("'"&amp;D$1&amp;"'!B2:B1000")=$B2) * (INDIRECT("'"&amp;D$1&amp;"'!C2:C1000")=$C2)
        ),
        5,
        FALSE
    )="",
    "",
    VLOOKUP(
        $A2,
        _xlfn._xlws.FILTER(
            INDIRECT("'"&amp;D$1&amp;"'!A2:G1000"), (INDIRECT("'"&amp;D$1&amp;"'!B2:B1000")=$B2) * (INDIRECT("'"&amp;D$1&amp;"'!C2:C1000")=$C2)
        ),7,
        FALSE
    )
)</f>
        <v/>
      </c>
      <c r="E2" s="50">
        <f t="array" ref="E2">IF(
    VLOOKUP(
        $A2,
        _xlfn._xlws.FILTER(
            INDIRECT("'"&amp;E$1&amp;"'!A2:G1000"), (INDIRECT("'"&amp;E$1&amp;"'!B2:B1000")=$B2) * (INDIRECT("'"&amp;E$1&amp;"'!C2:C1000")=$C2)
        ),
        5,
        FALSE
    )="",
    "",
    VLOOKUP(
        $A2,
        _xlfn._xlws.FILTER(
            INDIRECT("'"&amp;E$1&amp;"'!A2:G1000"), (INDIRECT("'"&amp;E$1&amp;"'!B2:B1000")=$B2) * (INDIRECT("'"&amp;E$1&amp;"'!C2:C1000")=$C2)
        ),7,
        FALSE
    )
)</f>
        <v/>
      </c>
      <c r="F2" s="50">
        <f t="array" ref="F2">IF(
    VLOOKUP(
        $A2,
        _xlfn._xlws.FILTER(
            INDIRECT("'"&amp;F$1&amp;"'!A2:G1000"), (INDIRECT("'"&amp;F$1&amp;"'!B2:B1000")=$B2) * (INDIRECT("'"&amp;F$1&amp;"'!C2:C1000")=$C2)
        ),
        5,
        FALSE
    )="",
    "",
    VLOOKUP(
        $A2,
        _xlfn._xlws.FILTER(
            INDIRECT("'"&amp;F$1&amp;"'!A2:G1000"), (INDIRECT("'"&amp;F$1&amp;"'!B2:B1000")=$B2) * (INDIRECT("'"&amp;F$1&amp;"'!C2:C1000")=$C2)
        ),7,
        FALSE
    )
)</f>
        <v/>
      </c>
      <c r="G2" s="50">
        <f t="array" ref="G2">IF(
    VLOOKUP(
        $A2,
        _xlfn._xlws.FILTER(
            INDIRECT("'"&amp;G$1&amp;"'!A2:G1000"), (INDIRECT("'"&amp;G$1&amp;"'!B2:B1000")=$B2) * (INDIRECT("'"&amp;G$1&amp;"'!C2:C1000")=$C2)
        ),
        5,
        FALSE
    )="",
    "",
    VLOOKUP(
        $A2,
        _xlfn._xlws.FILTER(
            INDIRECT("'"&amp;G$1&amp;"'!A2:G1000"), (INDIRECT("'"&amp;G$1&amp;"'!B2:B1000")=$B2) * (INDIRECT("'"&amp;G$1&amp;"'!C2:C1000")=$C2)
        ),7,
        FALSE
    )
)</f>
        <v/>
      </c>
      <c r="H2" s="50">
        <f t="array" ref="H2">IF(
    VLOOKUP(
        $A2,
        _xlfn._xlws.FILTER(
            INDIRECT("'"&amp;H$1&amp;"'!A2:G1000"), (INDIRECT("'"&amp;H$1&amp;"'!B2:B1000")=$B2) * (INDIRECT("'"&amp;H$1&amp;"'!C2:C1000")=$C2)
        ),
        5,
        FALSE
    )="",
    "",
    VLOOKUP(
        $A2,
        _xlfn._xlws.FILTER(
            INDIRECT("'"&amp;H$1&amp;"'!A2:G1000"), (INDIRECT("'"&amp;H$1&amp;"'!B2:B1000")=$B2) * (INDIRECT("'"&amp;H$1&amp;"'!C2:C1000")=$C2)
        ),7,
        FALSE
    )
)</f>
        <v/>
      </c>
      <c r="I2" s="50">
        <f t="array" ref="I2">IF(
    VLOOKUP(
        $A2,
        _xlfn._xlws.FILTER(
            INDIRECT("'"&amp;I$1&amp;"'!A2:G1000"), (INDIRECT("'"&amp;I$1&amp;"'!B2:B1000")=$B2) * (INDIRECT("'"&amp;I$1&amp;"'!C2:C1000")=$C2)
        ),
        5,
        FALSE
    )="",
    "",
    VLOOKUP(
        $A2,
        _xlfn._xlws.FILTER(
            INDIRECT("'"&amp;I$1&amp;"'!A2:G1000"), (INDIRECT("'"&amp;I$1&amp;"'!B2:B1000")=$B2) * (INDIRECT("'"&amp;I$1&amp;"'!C2:C1000")=$C2)
        ),7,
        FALSE
    )
)</f>
        <v/>
      </c>
      <c r="J2" s="50">
        <f t="array" ref="J2">IF(
    VLOOKUP(
        $A2,
        _xlfn._xlws.FILTER(
            INDIRECT("'"&amp;J$1&amp;"'!A2:G1000"), (INDIRECT("'"&amp;J$1&amp;"'!B2:B1000")=$B2) * (INDIRECT("'"&amp;J$1&amp;"'!C2:C1000")=$C2)
        ),
        5,
        FALSE
    )="",
    "",
    VLOOKUP(
        $A2,
        _xlfn._xlws.FILTER(
            INDIRECT("'"&amp;J$1&amp;"'!A2:G1000"), (INDIRECT("'"&amp;J$1&amp;"'!B2:B1000")=$B2) * (INDIRECT("'"&amp;J$1&amp;"'!C2:C1000")=$C2)
        ),7,
        FALSE
    )
)</f>
        <v/>
      </c>
      <c r="K2" s="50">
        <f t="array" ref="K2">IF(
    VLOOKUP(
        $A2,
        _xlfn._xlws.FILTER(
            INDIRECT("'"&amp;K$1&amp;"'!A2:G1000"), (INDIRECT("'"&amp;K$1&amp;"'!B2:B1000")=$B2) * (INDIRECT("'"&amp;K$1&amp;"'!C2:C1000")=$C2)
        ),
        5,
        FALSE
    )="",
    "",
    VLOOKUP(
        $A2,
        _xlfn._xlws.FILTER(
            INDIRECT("'"&amp;K$1&amp;"'!A2:G1000"), (INDIRECT("'"&amp;K$1&amp;"'!B2:B1000")=$B2) * (INDIRECT("'"&amp;K$1&amp;"'!C2:C1000")=$C2)
        ),7,
        FALSE
    )
)</f>
        <v/>
      </c>
      <c r="L2" s="50">
        <f t="array" ref="L2">IF(
    VLOOKUP(
        $A2,
        _xlfn._xlws.FILTER(
            INDIRECT("'"&amp;L$1&amp;"'!A2:G1000"), (INDIRECT("'"&amp;L$1&amp;"'!B2:B1000")=$B2) * (INDIRECT("'"&amp;L$1&amp;"'!C2:C1000")=$C2)
        ),
        5,
        FALSE
    )="",
    "",
    VLOOKUP(
        $A2,
        _xlfn._xlws.FILTER(
            INDIRECT("'"&amp;L$1&amp;"'!A2:G1000"), (INDIRECT("'"&amp;L$1&amp;"'!B2:B1000")=$B2) * (INDIRECT("'"&amp;L$1&amp;"'!C2:C1000")=$C2)
        ),7,
        FALSE
    )
)</f>
        <v/>
      </c>
      <c r="M2" s="50">
        <f t="array" ref="M2">IF(
    VLOOKUP(
        $A2,
        _xlfn._xlws.FILTER(
            INDIRECT("'"&amp;M$1&amp;"'!A2:G1000"), (INDIRECT("'"&amp;M$1&amp;"'!B2:B1000")=$B2) * (INDIRECT("'"&amp;M$1&amp;"'!C2:C1000")=$C2)
        ),
        5,
        FALSE
    )="",
    "",
    VLOOKUP(
        $A2,
        _xlfn._xlws.FILTER(
            INDIRECT("'"&amp;M$1&amp;"'!A2:G1000"), (INDIRECT("'"&amp;M$1&amp;"'!B2:B1000")=$B2) * (INDIRECT("'"&amp;M$1&amp;"'!C2:C1000")=$C2)
        ),7,
        FALSE
    )
)</f>
        <v/>
      </c>
      <c r="N2" s="50">
        <f t="array" ref="N2">IF(
    VLOOKUP(
        $A2,
        _xlfn._xlws.FILTER(
            INDIRECT("'"&amp;N$1&amp;"'!A2:G1000"), (INDIRECT("'"&amp;N$1&amp;"'!B2:B1000")=$B2) * (INDIRECT("'"&amp;N$1&amp;"'!C2:C1000")=$C2)
        ),
        5,
        FALSE
    )="",
    "",
    VLOOKUP(
        $A2,
        _xlfn._xlws.FILTER(
            INDIRECT("'"&amp;N$1&amp;"'!A2:G1000"), (INDIRECT("'"&amp;N$1&amp;"'!B2:B1000")=$B2) * (INDIRECT("'"&amp;N$1&amp;"'!C2:C1000")=$C2)
        ),7,
        FALSE
    )
)</f>
        <v/>
      </c>
      <c r="O2" s="50">
        <f t="array" ref="O2">IF(
    VLOOKUP(
        $A2,
        _xlfn._xlws.FILTER(
            INDIRECT("'"&amp;O$1&amp;"'!A2:G1000"), (INDIRECT("'"&amp;O$1&amp;"'!B2:B1000")=$B2) * (INDIRECT("'"&amp;O$1&amp;"'!C2:C1000")=$C2)
        ),
        5,
        FALSE
    )="",
    "",
    VLOOKUP(
        $A2,
        _xlfn._xlws.FILTER(
            INDIRECT("'"&amp;O$1&amp;"'!A2:G1000"), (INDIRECT("'"&amp;O$1&amp;"'!B2:B1000")=$B2) * (INDIRECT("'"&amp;O$1&amp;"'!C2:C1000")=$C2)
        ),7,
        FALSE
    )
)</f>
        <v/>
      </c>
      <c r="P2" s="50">
        <f t="array" ref="P2">IF(
    VLOOKUP(
        $A2,
        _xlfn._xlws.FILTER(
            INDIRECT("'"&amp;P$1&amp;"'!A2:G1000"), (INDIRECT("'"&amp;P$1&amp;"'!B2:B1000")=$B2) * (INDIRECT("'"&amp;P$1&amp;"'!C2:C1000")=$C2)
        ),
        5,
        FALSE
    )="",
    "",
    VLOOKUP(
        $A2,
        _xlfn._xlws.FILTER(
            INDIRECT("'"&amp;P$1&amp;"'!A2:G1000"), (INDIRECT("'"&amp;P$1&amp;"'!B2:B1000")=$B2) * (INDIRECT("'"&amp;P$1&amp;"'!C2:C1000")=$C2)
        ),7,
        FALSE
    )
)</f>
        <v/>
      </c>
      <c r="Q2" s="50">
        <f t="array" ref="Q2">IF(
    VLOOKUP(
        $A2,
        _xlfn._xlws.FILTER(
            INDIRECT("'"&amp;Q$1&amp;"'!A2:G1000"), (INDIRECT("'"&amp;Q$1&amp;"'!B2:B1000")=$B2) * (INDIRECT("'"&amp;Q$1&amp;"'!C2:C1000")=$C2)
        ),
        5,
        FALSE
    )="",
    "",
    VLOOKUP(
        $A2,
        _xlfn._xlws.FILTER(
            INDIRECT("'"&amp;Q$1&amp;"'!A2:G1000"), (INDIRECT("'"&amp;Q$1&amp;"'!B2:B1000")=$B2) * (INDIRECT("'"&amp;Q$1&amp;"'!C2:C1000")=$C2)
        ),7,
        FALSE
    )
)</f>
        <v/>
      </c>
    </row>
    <row r="3">
      <c r="A3" s="42" t="inlineStr">
        <is>
          <t>Bianca</t>
        </is>
      </c>
      <c r="B3" s="50" t="inlineStr">
        <is>
          <t>Boa Vista da Aparecida</t>
        </is>
      </c>
      <c r="C3" s="50" t="n">
        <v>1</v>
      </c>
      <c r="D3" s="50">
        <f t="array" ref="D3">IF(
    VLOOKUP(
        $A3,
        _xlfn._xlws.FILTER(
            INDIRECT("'"&amp;D$1&amp;"'!A2:G1000"), (INDIRECT("'"&amp;D$1&amp;"'!B2:B1000")=$B3) * (INDIRECT("'"&amp;D$1&amp;"'!C2:C1000")=$C3)
        ),
        5,
        FALSE
    )="",
    "",
    VLOOKUP(
        $A3,
        _xlfn._xlws.FILTER(
            INDIRECT("'"&amp;D$1&amp;"'!A2:G1000"), (INDIRECT("'"&amp;D$1&amp;"'!B2:B1000")=$B3) * (INDIRECT("'"&amp;D$1&amp;"'!C2:C1000")=$C3)
        ),7,
        FALSE
    )
)</f>
        <v/>
      </c>
      <c r="E3" s="50">
        <f t="array" ref="E3">IF(
    VLOOKUP(
        $A3,
        _xlfn._xlws.FILTER(
            INDIRECT("'"&amp;E$1&amp;"'!A2:G1000"), (INDIRECT("'"&amp;E$1&amp;"'!B2:B1000")=$B3) * (INDIRECT("'"&amp;E$1&amp;"'!C2:C1000")=$C3)
        ),
        5,
        FALSE
    )="",
    "",
    VLOOKUP(
        $A3,
        _xlfn._xlws.FILTER(
            INDIRECT("'"&amp;E$1&amp;"'!A2:G1000"), (INDIRECT("'"&amp;E$1&amp;"'!B2:B1000")=$B3) * (INDIRECT("'"&amp;E$1&amp;"'!C2:C1000")=$C3)
        ),7,
        FALSE
    )
)</f>
        <v/>
      </c>
      <c r="F3" s="50">
        <f t="array" ref="F3">IF(
    VLOOKUP(
        $A3,
        _xlfn._xlws.FILTER(
            INDIRECT("'"&amp;F$1&amp;"'!A2:G1000"), (INDIRECT("'"&amp;F$1&amp;"'!B2:B1000")=$B3) * (INDIRECT("'"&amp;F$1&amp;"'!C2:C1000")=$C3)
        ),
        5,
        FALSE
    )="",
    "",
    VLOOKUP(
        $A3,
        _xlfn._xlws.FILTER(
            INDIRECT("'"&amp;F$1&amp;"'!A2:G1000"), (INDIRECT("'"&amp;F$1&amp;"'!B2:B1000")=$B3) * (INDIRECT("'"&amp;F$1&amp;"'!C2:C1000")=$C3)
        ),7,
        FALSE
    )
)</f>
        <v/>
      </c>
      <c r="G3" s="50">
        <f t="array" ref="G3">IF(
    VLOOKUP(
        $A3,
        _xlfn._xlws.FILTER(
            INDIRECT("'"&amp;G$1&amp;"'!A2:G1000"), (INDIRECT("'"&amp;G$1&amp;"'!B2:B1000")=$B3) * (INDIRECT("'"&amp;G$1&amp;"'!C2:C1000")=$C3)
        ),
        5,
        FALSE
    )="",
    "",
    VLOOKUP(
        $A3,
        _xlfn._xlws.FILTER(
            INDIRECT("'"&amp;G$1&amp;"'!A2:G1000"), (INDIRECT("'"&amp;G$1&amp;"'!B2:B1000")=$B3) * (INDIRECT("'"&amp;G$1&amp;"'!C2:C1000")=$C3)
        ),7,
        FALSE
    )
)</f>
        <v/>
      </c>
      <c r="H3" s="50">
        <f t="array" ref="H3">IF(
    VLOOKUP(
        $A3,
        _xlfn._xlws.FILTER(
            INDIRECT("'"&amp;H$1&amp;"'!A2:G1000"), (INDIRECT("'"&amp;H$1&amp;"'!B2:B1000")=$B3) * (INDIRECT("'"&amp;H$1&amp;"'!C2:C1000")=$C3)
        ),
        5,
        FALSE
    )="",
    "",
    VLOOKUP(
        $A3,
        _xlfn._xlws.FILTER(
            INDIRECT("'"&amp;H$1&amp;"'!A2:G1000"), (INDIRECT("'"&amp;H$1&amp;"'!B2:B1000")=$B3) * (INDIRECT("'"&amp;H$1&amp;"'!C2:C1000")=$C3)
        ),7,
        FALSE
    )
)</f>
        <v/>
      </c>
      <c r="I3" s="50">
        <f t="array" ref="I3">IF(
    VLOOKUP(
        $A3,
        _xlfn._xlws.FILTER(
            INDIRECT("'"&amp;I$1&amp;"'!A2:G1000"), (INDIRECT("'"&amp;I$1&amp;"'!B2:B1000")=$B3) * (INDIRECT("'"&amp;I$1&amp;"'!C2:C1000")=$C3)
        ),
        5,
        FALSE
    )="",
    "",
    VLOOKUP(
        $A3,
        _xlfn._xlws.FILTER(
            INDIRECT("'"&amp;I$1&amp;"'!A2:G1000"), (INDIRECT("'"&amp;I$1&amp;"'!B2:B1000")=$B3) * (INDIRECT("'"&amp;I$1&amp;"'!C2:C1000")=$C3)
        ),7,
        FALSE
    )
)</f>
        <v/>
      </c>
      <c r="J3" s="50">
        <f t="array" ref="J3">IF(
    VLOOKUP(
        $A3,
        _xlfn._xlws.FILTER(
            INDIRECT("'"&amp;J$1&amp;"'!A2:G1000"), (INDIRECT("'"&amp;J$1&amp;"'!B2:B1000")=$B3) * (INDIRECT("'"&amp;J$1&amp;"'!C2:C1000")=$C3)
        ),
        5,
        FALSE
    )="",
    "",
    VLOOKUP(
        $A3,
        _xlfn._xlws.FILTER(
            INDIRECT("'"&amp;J$1&amp;"'!A2:G1000"), (INDIRECT("'"&amp;J$1&amp;"'!B2:B1000")=$B3) * (INDIRECT("'"&amp;J$1&amp;"'!C2:C1000")=$C3)
        ),7,
        FALSE
    )
)</f>
        <v/>
      </c>
      <c r="K3" s="50">
        <f t="array" ref="K3">IF(
    VLOOKUP(
        $A3,
        _xlfn._xlws.FILTER(
            INDIRECT("'"&amp;K$1&amp;"'!A2:G1000"), (INDIRECT("'"&amp;K$1&amp;"'!B2:B1000")=$B3) * (INDIRECT("'"&amp;K$1&amp;"'!C2:C1000")=$C3)
        ),
        5,
        FALSE
    )="",
    "",
    VLOOKUP(
        $A3,
        _xlfn._xlws.FILTER(
            INDIRECT("'"&amp;K$1&amp;"'!A2:G1000"), (INDIRECT("'"&amp;K$1&amp;"'!B2:B1000")=$B3) * (INDIRECT("'"&amp;K$1&amp;"'!C2:C1000")=$C3)
        ),7,
        FALSE
    )
)</f>
        <v/>
      </c>
      <c r="L3" s="50">
        <f t="array" ref="L3">IF(
    VLOOKUP(
        $A3,
        _xlfn._xlws.FILTER(
            INDIRECT("'"&amp;L$1&amp;"'!A2:G1000"), (INDIRECT("'"&amp;L$1&amp;"'!B2:B1000")=$B3) * (INDIRECT("'"&amp;L$1&amp;"'!C2:C1000")=$C3)
        ),
        5,
        FALSE
    )="",
    "",
    VLOOKUP(
        $A3,
        _xlfn._xlws.FILTER(
            INDIRECT("'"&amp;L$1&amp;"'!A2:G1000"), (INDIRECT("'"&amp;L$1&amp;"'!B2:B1000")=$B3) * (INDIRECT("'"&amp;L$1&amp;"'!C2:C1000")=$C3)
        ),7,
        FALSE
    )
)</f>
        <v/>
      </c>
      <c r="M3" s="50">
        <f t="array" ref="M3">IF(
    VLOOKUP(
        $A3,
        _xlfn._xlws.FILTER(
            INDIRECT("'"&amp;M$1&amp;"'!A2:G1000"), (INDIRECT("'"&amp;M$1&amp;"'!B2:B1000")=$B3) * (INDIRECT("'"&amp;M$1&amp;"'!C2:C1000")=$C3)
        ),
        5,
        FALSE
    )="",
    "",
    VLOOKUP(
        $A3,
        _xlfn._xlws.FILTER(
            INDIRECT("'"&amp;M$1&amp;"'!A2:G1000"), (INDIRECT("'"&amp;M$1&amp;"'!B2:B1000")=$B3) * (INDIRECT("'"&amp;M$1&amp;"'!C2:C1000")=$C3)
        ),7,
        FALSE
    )
)</f>
        <v/>
      </c>
      <c r="N3" s="50">
        <f t="array" ref="N3">IF(
    VLOOKUP(
        $A3,
        _xlfn._xlws.FILTER(
            INDIRECT("'"&amp;N$1&amp;"'!A2:G1000"), (INDIRECT("'"&amp;N$1&amp;"'!B2:B1000")=$B3) * (INDIRECT("'"&amp;N$1&amp;"'!C2:C1000")=$C3)
        ),
        5,
        FALSE
    )="",
    "",
    VLOOKUP(
        $A3,
        _xlfn._xlws.FILTER(
            INDIRECT("'"&amp;N$1&amp;"'!A2:G1000"), (INDIRECT("'"&amp;N$1&amp;"'!B2:B1000")=$B3) * (INDIRECT("'"&amp;N$1&amp;"'!C2:C1000")=$C3)
        ),7,
        FALSE
    )
)</f>
        <v/>
      </c>
      <c r="O3" s="50">
        <f t="array" ref="O3">IF(
    VLOOKUP(
        $A3,
        _xlfn._xlws.FILTER(
            INDIRECT("'"&amp;O$1&amp;"'!A2:G1000"), (INDIRECT("'"&amp;O$1&amp;"'!B2:B1000")=$B3) * (INDIRECT("'"&amp;O$1&amp;"'!C2:C1000")=$C3)
        ),
        5,
        FALSE
    )="",
    "",
    VLOOKUP(
        $A3,
        _xlfn._xlws.FILTER(
            INDIRECT("'"&amp;O$1&amp;"'!A2:G1000"), (INDIRECT("'"&amp;O$1&amp;"'!B2:B1000")=$B3) * (INDIRECT("'"&amp;O$1&amp;"'!C2:C1000")=$C3)
        ),7,
        FALSE
    )
)</f>
        <v/>
      </c>
      <c r="P3" s="50">
        <f t="array" ref="P3">IF(
    VLOOKUP(
        $A3,
        _xlfn._xlws.FILTER(
            INDIRECT("'"&amp;P$1&amp;"'!A2:G1000"), (INDIRECT("'"&amp;P$1&amp;"'!B2:B1000")=$B3) * (INDIRECT("'"&amp;P$1&amp;"'!C2:C1000")=$C3)
        ),
        5,
        FALSE
    )="",
    "",
    VLOOKUP(
        $A3,
        _xlfn._xlws.FILTER(
            INDIRECT("'"&amp;P$1&amp;"'!A2:G1000"), (INDIRECT("'"&amp;P$1&amp;"'!B2:B1000")=$B3) * (INDIRECT("'"&amp;P$1&amp;"'!C2:C1000")=$C3)
        ),7,
        FALSE
    )
)</f>
        <v/>
      </c>
      <c r="Q3" s="50">
        <f t="array" ref="Q3">IF(
    VLOOKUP(
        $A3,
        _xlfn._xlws.FILTER(
            INDIRECT("'"&amp;Q$1&amp;"'!A2:G1000"), (INDIRECT("'"&amp;Q$1&amp;"'!B2:B1000")=$B3) * (INDIRECT("'"&amp;Q$1&amp;"'!C2:C1000")=$C3)
        ),
        5,
        FALSE
    )="",
    "",
    VLOOKUP(
        $A3,
        _xlfn._xlws.FILTER(
            INDIRECT("'"&amp;Q$1&amp;"'!A2:G1000"), (INDIRECT("'"&amp;Q$1&amp;"'!B2:B1000")=$B3) * (INDIRECT("'"&amp;Q$1&amp;"'!C2:C1000")=$C3)
        ),7,
        FALSE
    )
)</f>
        <v/>
      </c>
    </row>
    <row r="4">
      <c r="A4" s="42" t="inlineStr">
        <is>
          <t>Bianca</t>
        </is>
      </c>
      <c r="B4" s="50" t="inlineStr">
        <is>
          <t>Braganey</t>
        </is>
      </c>
      <c r="C4" s="50" t="n">
        <v>1</v>
      </c>
      <c r="D4" s="50">
        <f t="array" ref="D4">IF(
    VLOOKUP(
        $A4,
        _xlfn._xlws.FILTER(
            INDIRECT("'"&amp;D$1&amp;"'!A2:G1000"), (INDIRECT("'"&amp;D$1&amp;"'!B2:B1000")=$B4) * (INDIRECT("'"&amp;D$1&amp;"'!C2:C1000")=$C4)
        ),
        5,
        FALSE
    )="",
    "",
    VLOOKUP(
        $A4,
        _xlfn._xlws.FILTER(
            INDIRECT("'"&amp;D$1&amp;"'!A2:G1000"), (INDIRECT("'"&amp;D$1&amp;"'!B2:B1000")=$B4) * (INDIRECT("'"&amp;D$1&amp;"'!C2:C1000")=$C4)
        ),7,
        FALSE
    )
)</f>
        <v/>
      </c>
      <c r="E4" s="50">
        <f t="array" ref="E4">IF(
    VLOOKUP(
        $A4,
        _xlfn._xlws.FILTER(
            INDIRECT("'"&amp;E$1&amp;"'!A2:G1000"), (INDIRECT("'"&amp;E$1&amp;"'!B2:B1000")=$B4) * (INDIRECT("'"&amp;E$1&amp;"'!C2:C1000")=$C4)
        ),
        5,
        FALSE
    )="",
    "",
    VLOOKUP(
        $A4,
        _xlfn._xlws.FILTER(
            INDIRECT("'"&amp;E$1&amp;"'!A2:G1000"), (INDIRECT("'"&amp;E$1&amp;"'!B2:B1000")=$B4) * (INDIRECT("'"&amp;E$1&amp;"'!C2:C1000")=$C4)
        ),7,
        FALSE
    )
)</f>
        <v/>
      </c>
      <c r="F4" s="50">
        <f t="array" ref="F4">IF(
    VLOOKUP(
        $A4,
        _xlfn._xlws.FILTER(
            INDIRECT("'"&amp;F$1&amp;"'!A2:G1000"), (INDIRECT("'"&amp;F$1&amp;"'!B2:B1000")=$B4) * (INDIRECT("'"&amp;F$1&amp;"'!C2:C1000")=$C4)
        ),
        5,
        FALSE
    )="",
    "",
    VLOOKUP(
        $A4,
        _xlfn._xlws.FILTER(
            INDIRECT("'"&amp;F$1&amp;"'!A2:G1000"), (INDIRECT("'"&amp;F$1&amp;"'!B2:B1000")=$B4) * (INDIRECT("'"&amp;F$1&amp;"'!C2:C1000")=$C4)
        ),7,
        FALSE
    )
)</f>
        <v/>
      </c>
      <c r="G4" s="50">
        <f t="array" ref="G4">IF(
    VLOOKUP(
        $A4,
        _xlfn._xlws.FILTER(
            INDIRECT("'"&amp;G$1&amp;"'!A2:G1000"), (INDIRECT("'"&amp;G$1&amp;"'!B2:B1000")=$B4) * (INDIRECT("'"&amp;G$1&amp;"'!C2:C1000")=$C4)
        ),
        5,
        FALSE
    )="",
    "",
    VLOOKUP(
        $A4,
        _xlfn._xlws.FILTER(
            INDIRECT("'"&amp;G$1&amp;"'!A2:G1000"), (INDIRECT("'"&amp;G$1&amp;"'!B2:B1000")=$B4) * (INDIRECT("'"&amp;G$1&amp;"'!C2:C1000")=$C4)
        ),7,
        FALSE
    )
)</f>
        <v/>
      </c>
      <c r="H4" s="50">
        <f t="array" ref="H4">IF(
    VLOOKUP(
        $A4,
        _xlfn._xlws.FILTER(
            INDIRECT("'"&amp;H$1&amp;"'!A2:G1000"), (INDIRECT("'"&amp;H$1&amp;"'!B2:B1000")=$B4) * (INDIRECT("'"&amp;H$1&amp;"'!C2:C1000")=$C4)
        ),
        5,
        FALSE
    )="",
    "",
    VLOOKUP(
        $A4,
        _xlfn._xlws.FILTER(
            INDIRECT("'"&amp;H$1&amp;"'!A2:G1000"), (INDIRECT("'"&amp;H$1&amp;"'!B2:B1000")=$B4) * (INDIRECT("'"&amp;H$1&amp;"'!C2:C1000")=$C4)
        ),7,
        FALSE
    )
)</f>
        <v/>
      </c>
      <c r="I4" s="50">
        <f t="array" ref="I4">IF(
    VLOOKUP(
        $A4,
        _xlfn._xlws.FILTER(
            INDIRECT("'"&amp;I$1&amp;"'!A2:G1000"), (INDIRECT("'"&amp;I$1&amp;"'!B2:B1000")=$B4) * (INDIRECT("'"&amp;I$1&amp;"'!C2:C1000")=$C4)
        ),
        5,
        FALSE
    )="",
    "",
    VLOOKUP(
        $A4,
        _xlfn._xlws.FILTER(
            INDIRECT("'"&amp;I$1&amp;"'!A2:G1000"), (INDIRECT("'"&amp;I$1&amp;"'!B2:B1000")=$B4) * (INDIRECT("'"&amp;I$1&amp;"'!C2:C1000")=$C4)
        ),7,
        FALSE
    )
)</f>
        <v/>
      </c>
      <c r="J4" s="50">
        <f t="array" ref="J4">IF(
    VLOOKUP(
        $A4,
        _xlfn._xlws.FILTER(
            INDIRECT("'"&amp;J$1&amp;"'!A2:G1000"), (INDIRECT("'"&amp;J$1&amp;"'!B2:B1000")=$B4) * (INDIRECT("'"&amp;J$1&amp;"'!C2:C1000")=$C4)
        ),
        5,
        FALSE
    )="",
    "",
    VLOOKUP(
        $A4,
        _xlfn._xlws.FILTER(
            INDIRECT("'"&amp;J$1&amp;"'!A2:G1000"), (INDIRECT("'"&amp;J$1&amp;"'!B2:B1000")=$B4) * (INDIRECT("'"&amp;J$1&amp;"'!C2:C1000")=$C4)
        ),7,
        FALSE
    )
)</f>
        <v/>
      </c>
      <c r="K4" s="50">
        <f t="array" ref="K4">IF(
    VLOOKUP(
        $A4,
        _xlfn._xlws.FILTER(
            INDIRECT("'"&amp;K$1&amp;"'!A2:G1000"), (INDIRECT("'"&amp;K$1&amp;"'!B2:B1000")=$B4) * (INDIRECT("'"&amp;K$1&amp;"'!C2:C1000")=$C4)
        ),
        5,
        FALSE
    )="",
    "",
    VLOOKUP(
        $A4,
        _xlfn._xlws.FILTER(
            INDIRECT("'"&amp;K$1&amp;"'!A2:G1000"), (INDIRECT("'"&amp;K$1&amp;"'!B2:B1000")=$B4) * (INDIRECT("'"&amp;K$1&amp;"'!C2:C1000")=$C4)
        ),7,
        FALSE
    )
)</f>
        <v/>
      </c>
      <c r="L4" s="50">
        <f t="array" ref="L4">IF(
    VLOOKUP(
        $A4,
        _xlfn._xlws.FILTER(
            INDIRECT("'"&amp;L$1&amp;"'!A2:G1000"), (INDIRECT("'"&amp;L$1&amp;"'!B2:B1000")=$B4) * (INDIRECT("'"&amp;L$1&amp;"'!C2:C1000")=$C4)
        ),
        5,
        FALSE
    )="",
    "",
    VLOOKUP(
        $A4,
        _xlfn._xlws.FILTER(
            INDIRECT("'"&amp;L$1&amp;"'!A2:G1000"), (INDIRECT("'"&amp;L$1&amp;"'!B2:B1000")=$B4) * (INDIRECT("'"&amp;L$1&amp;"'!C2:C1000")=$C4)
        ),7,
        FALSE
    )
)</f>
        <v/>
      </c>
      <c r="M4" s="50">
        <f t="array" ref="M4">IF(
    VLOOKUP(
        $A4,
        _xlfn._xlws.FILTER(
            INDIRECT("'"&amp;M$1&amp;"'!A2:G1000"), (INDIRECT("'"&amp;M$1&amp;"'!B2:B1000")=$B4) * (INDIRECT("'"&amp;M$1&amp;"'!C2:C1000")=$C4)
        ),
        5,
        FALSE
    )="",
    "",
    VLOOKUP(
        $A4,
        _xlfn._xlws.FILTER(
            INDIRECT("'"&amp;M$1&amp;"'!A2:G1000"), (INDIRECT("'"&amp;M$1&amp;"'!B2:B1000")=$B4) * (INDIRECT("'"&amp;M$1&amp;"'!C2:C1000")=$C4)
        ),7,
        FALSE
    )
)</f>
        <v/>
      </c>
      <c r="N4" s="50">
        <f t="array" ref="N4">IF(
    VLOOKUP(
        $A4,
        _xlfn._xlws.FILTER(
            INDIRECT("'"&amp;N$1&amp;"'!A2:G1000"), (INDIRECT("'"&amp;N$1&amp;"'!B2:B1000")=$B4) * (INDIRECT("'"&amp;N$1&amp;"'!C2:C1000")=$C4)
        ),
        5,
        FALSE
    )="",
    "",
    VLOOKUP(
        $A4,
        _xlfn._xlws.FILTER(
            INDIRECT("'"&amp;N$1&amp;"'!A2:G1000"), (INDIRECT("'"&amp;N$1&amp;"'!B2:B1000")=$B4) * (INDIRECT("'"&amp;N$1&amp;"'!C2:C1000")=$C4)
        ),7,
        FALSE
    )
)</f>
        <v/>
      </c>
      <c r="O4" s="50">
        <f t="array" ref="O4">IF(
    VLOOKUP(
        $A4,
        _xlfn._xlws.FILTER(
            INDIRECT("'"&amp;O$1&amp;"'!A2:G1000"), (INDIRECT("'"&amp;O$1&amp;"'!B2:B1000")=$B4) * (INDIRECT("'"&amp;O$1&amp;"'!C2:C1000")=$C4)
        ),
        5,
        FALSE
    )="",
    "",
    VLOOKUP(
        $A4,
        _xlfn._xlws.FILTER(
            INDIRECT("'"&amp;O$1&amp;"'!A2:G1000"), (INDIRECT("'"&amp;O$1&amp;"'!B2:B1000")=$B4) * (INDIRECT("'"&amp;O$1&amp;"'!C2:C1000")=$C4)
        ),7,
        FALSE
    )
)</f>
        <v/>
      </c>
      <c r="P4" s="50">
        <f t="array" ref="P4">IF(
    VLOOKUP(
        $A4,
        _xlfn._xlws.FILTER(
            INDIRECT("'"&amp;P$1&amp;"'!A2:G1000"), (INDIRECT("'"&amp;P$1&amp;"'!B2:B1000")=$B4) * (INDIRECT("'"&amp;P$1&amp;"'!C2:C1000")=$C4)
        ),
        5,
        FALSE
    )="",
    "",
    VLOOKUP(
        $A4,
        _xlfn._xlws.FILTER(
            INDIRECT("'"&amp;P$1&amp;"'!A2:G1000"), (INDIRECT("'"&amp;P$1&amp;"'!B2:B1000")=$B4) * (INDIRECT("'"&amp;P$1&amp;"'!C2:C1000")=$C4)
        ),7,
        FALSE
    )
)</f>
        <v/>
      </c>
      <c r="Q4" s="50">
        <f t="array" ref="Q4">IF(
    VLOOKUP(
        $A4,
        _xlfn._xlws.FILTER(
            INDIRECT("'"&amp;Q$1&amp;"'!A2:G1000"), (INDIRECT("'"&amp;Q$1&amp;"'!B2:B1000")=$B4) * (INDIRECT("'"&amp;Q$1&amp;"'!C2:C1000")=$C4)
        ),
        5,
        FALSE
    )="",
    "",
    VLOOKUP(
        $A4,
        _xlfn._xlws.FILTER(
            INDIRECT("'"&amp;Q$1&amp;"'!A2:G1000"), (INDIRECT("'"&amp;Q$1&amp;"'!B2:B1000")=$B4) * (INDIRECT("'"&amp;Q$1&amp;"'!C2:C1000")=$C4)
        ),7,
        FALSE
    )
)</f>
        <v/>
      </c>
    </row>
    <row r="5">
      <c r="A5" s="42" t="inlineStr">
        <is>
          <t>Bianca</t>
        </is>
      </c>
      <c r="B5" s="50" t="inlineStr">
        <is>
          <t>Campo Bonito</t>
        </is>
      </c>
      <c r="C5" s="50" t="n">
        <v>1</v>
      </c>
      <c r="D5" s="50">
        <f t="array" ref="D5">IF(
    VLOOKUP(
        $A5,
        _xlfn._xlws.FILTER(
            INDIRECT("'"&amp;D$1&amp;"'!A2:G1000"), (INDIRECT("'"&amp;D$1&amp;"'!B2:B1000")=$B5) * (INDIRECT("'"&amp;D$1&amp;"'!C2:C1000")=$C5)
        ),
        5,
        FALSE
    )="",
    "",
    VLOOKUP(
        $A5,
        _xlfn._xlws.FILTER(
            INDIRECT("'"&amp;D$1&amp;"'!A2:G1000"), (INDIRECT("'"&amp;D$1&amp;"'!B2:B1000")=$B5) * (INDIRECT("'"&amp;D$1&amp;"'!C2:C1000")=$C5)
        ),7,
        FALSE
    )
)</f>
        <v/>
      </c>
      <c r="E5" s="50">
        <f t="array" ref="E5">IF(
    VLOOKUP(
        $A5,
        _xlfn._xlws.FILTER(
            INDIRECT("'"&amp;E$1&amp;"'!A2:G1000"), (INDIRECT("'"&amp;E$1&amp;"'!B2:B1000")=$B5) * (INDIRECT("'"&amp;E$1&amp;"'!C2:C1000")=$C5)
        ),
        5,
        FALSE
    )="",
    "",
    VLOOKUP(
        $A5,
        _xlfn._xlws.FILTER(
            INDIRECT("'"&amp;E$1&amp;"'!A2:G1000"), (INDIRECT("'"&amp;E$1&amp;"'!B2:B1000")=$B5) * (INDIRECT("'"&amp;E$1&amp;"'!C2:C1000")=$C5)
        ),7,
        FALSE
    )
)</f>
        <v/>
      </c>
      <c r="F5" s="50">
        <f t="array" ref="F5">IF(
    VLOOKUP(
        $A5,
        _xlfn._xlws.FILTER(
            INDIRECT("'"&amp;F$1&amp;"'!A2:G1000"), (INDIRECT("'"&amp;F$1&amp;"'!B2:B1000")=$B5) * (INDIRECT("'"&amp;F$1&amp;"'!C2:C1000")=$C5)
        ),
        5,
        FALSE
    )="",
    "",
    VLOOKUP(
        $A5,
        _xlfn._xlws.FILTER(
            INDIRECT("'"&amp;F$1&amp;"'!A2:G1000"), (INDIRECT("'"&amp;F$1&amp;"'!B2:B1000")=$B5) * (INDIRECT("'"&amp;F$1&amp;"'!C2:C1000")=$C5)
        ),7,
        FALSE
    )
)</f>
        <v/>
      </c>
      <c r="G5" s="50">
        <f t="array" ref="G5">IF(
    VLOOKUP(
        $A5,
        _xlfn._xlws.FILTER(
            INDIRECT("'"&amp;G$1&amp;"'!A2:G1000"), (INDIRECT("'"&amp;G$1&amp;"'!B2:B1000")=$B5) * (INDIRECT("'"&amp;G$1&amp;"'!C2:C1000")=$C5)
        ),
        5,
        FALSE
    )="",
    "",
    VLOOKUP(
        $A5,
        _xlfn._xlws.FILTER(
            INDIRECT("'"&amp;G$1&amp;"'!A2:G1000"), (INDIRECT("'"&amp;G$1&amp;"'!B2:B1000")=$B5) * (INDIRECT("'"&amp;G$1&amp;"'!C2:C1000")=$C5)
        ),7,
        FALSE
    )
)</f>
        <v/>
      </c>
      <c r="H5" s="50">
        <f t="array" ref="H5">IF(
    VLOOKUP(
        $A5,
        _xlfn._xlws.FILTER(
            INDIRECT("'"&amp;H$1&amp;"'!A2:G1000"), (INDIRECT("'"&amp;H$1&amp;"'!B2:B1000")=$B5) * (INDIRECT("'"&amp;H$1&amp;"'!C2:C1000")=$C5)
        ),
        5,
        FALSE
    )="",
    "",
    VLOOKUP(
        $A5,
        _xlfn._xlws.FILTER(
            INDIRECT("'"&amp;H$1&amp;"'!A2:G1000"), (INDIRECT("'"&amp;H$1&amp;"'!B2:B1000")=$B5) * (INDIRECT("'"&amp;H$1&amp;"'!C2:C1000")=$C5)
        ),7,
        FALSE
    )
)</f>
        <v/>
      </c>
      <c r="I5" s="50">
        <f t="array" ref="I5">IF(
    VLOOKUP(
        $A5,
        _xlfn._xlws.FILTER(
            INDIRECT("'"&amp;I$1&amp;"'!A2:G1000"), (INDIRECT("'"&amp;I$1&amp;"'!B2:B1000")=$B5) * (INDIRECT("'"&amp;I$1&amp;"'!C2:C1000")=$C5)
        ),
        5,
        FALSE
    )="",
    "",
    VLOOKUP(
        $A5,
        _xlfn._xlws.FILTER(
            INDIRECT("'"&amp;I$1&amp;"'!A2:G1000"), (INDIRECT("'"&amp;I$1&amp;"'!B2:B1000")=$B5) * (INDIRECT("'"&amp;I$1&amp;"'!C2:C1000")=$C5)
        ),7,
        FALSE
    )
)</f>
        <v/>
      </c>
      <c r="J5" s="50">
        <f t="array" ref="J5">IF(
    VLOOKUP(
        $A5,
        _xlfn._xlws.FILTER(
            INDIRECT("'"&amp;J$1&amp;"'!A2:G1000"), (INDIRECT("'"&amp;J$1&amp;"'!B2:B1000")=$B5) * (INDIRECT("'"&amp;J$1&amp;"'!C2:C1000")=$C5)
        ),
        5,
        FALSE
    )="",
    "",
    VLOOKUP(
        $A5,
        _xlfn._xlws.FILTER(
            INDIRECT("'"&amp;J$1&amp;"'!A2:G1000"), (INDIRECT("'"&amp;J$1&amp;"'!B2:B1000")=$B5) * (INDIRECT("'"&amp;J$1&amp;"'!C2:C1000")=$C5)
        ),7,
        FALSE
    )
)</f>
        <v/>
      </c>
      <c r="K5" s="50">
        <f t="array" ref="K5">IF(
    VLOOKUP(
        $A5,
        _xlfn._xlws.FILTER(
            INDIRECT("'"&amp;K$1&amp;"'!A2:G1000"), (INDIRECT("'"&amp;K$1&amp;"'!B2:B1000")=$B5) * (INDIRECT("'"&amp;K$1&amp;"'!C2:C1000")=$C5)
        ),
        5,
        FALSE
    )="",
    "",
    VLOOKUP(
        $A5,
        _xlfn._xlws.FILTER(
            INDIRECT("'"&amp;K$1&amp;"'!A2:G1000"), (INDIRECT("'"&amp;K$1&amp;"'!B2:B1000")=$B5) * (INDIRECT("'"&amp;K$1&amp;"'!C2:C1000")=$C5)
        ),7,
        FALSE
    )
)</f>
        <v/>
      </c>
      <c r="L5" s="50">
        <f t="array" ref="L5">IF(
    VLOOKUP(
        $A5,
        _xlfn._xlws.FILTER(
            INDIRECT("'"&amp;L$1&amp;"'!A2:G1000"), (INDIRECT("'"&amp;L$1&amp;"'!B2:B1000")=$B5) * (INDIRECT("'"&amp;L$1&amp;"'!C2:C1000")=$C5)
        ),
        5,
        FALSE
    )="",
    "",
    VLOOKUP(
        $A5,
        _xlfn._xlws.FILTER(
            INDIRECT("'"&amp;L$1&amp;"'!A2:G1000"), (INDIRECT("'"&amp;L$1&amp;"'!B2:B1000")=$B5) * (INDIRECT("'"&amp;L$1&amp;"'!C2:C1000")=$C5)
        ),7,
        FALSE
    )
)</f>
        <v/>
      </c>
      <c r="M5" s="50">
        <f t="array" ref="M5">IF(
    VLOOKUP(
        $A5,
        _xlfn._xlws.FILTER(
            INDIRECT("'"&amp;M$1&amp;"'!A2:G1000"), (INDIRECT("'"&amp;M$1&amp;"'!B2:B1000")=$B5) * (INDIRECT("'"&amp;M$1&amp;"'!C2:C1000")=$C5)
        ),
        5,
        FALSE
    )="",
    "",
    VLOOKUP(
        $A5,
        _xlfn._xlws.FILTER(
            INDIRECT("'"&amp;M$1&amp;"'!A2:G1000"), (INDIRECT("'"&amp;M$1&amp;"'!B2:B1000")=$B5) * (INDIRECT("'"&amp;M$1&amp;"'!C2:C1000")=$C5)
        ),7,
        FALSE
    )
)</f>
        <v/>
      </c>
      <c r="N5" s="50">
        <f t="array" ref="N5">IF(
    VLOOKUP(
        $A5,
        _xlfn._xlws.FILTER(
            INDIRECT("'"&amp;N$1&amp;"'!A2:G1000"), (INDIRECT("'"&amp;N$1&amp;"'!B2:B1000")=$B5) * (INDIRECT("'"&amp;N$1&amp;"'!C2:C1000")=$C5)
        ),
        5,
        FALSE
    )="",
    "",
    VLOOKUP(
        $A5,
        _xlfn._xlws.FILTER(
            INDIRECT("'"&amp;N$1&amp;"'!A2:G1000"), (INDIRECT("'"&amp;N$1&amp;"'!B2:B1000")=$B5) * (INDIRECT("'"&amp;N$1&amp;"'!C2:C1000")=$C5)
        ),7,
        FALSE
    )
)</f>
        <v/>
      </c>
      <c r="O5" s="50">
        <f t="array" ref="O5">IF(
    VLOOKUP(
        $A5,
        _xlfn._xlws.FILTER(
            INDIRECT("'"&amp;O$1&amp;"'!A2:G1000"), (INDIRECT("'"&amp;O$1&amp;"'!B2:B1000")=$B5) * (INDIRECT("'"&amp;O$1&amp;"'!C2:C1000")=$C5)
        ),
        5,
        FALSE
    )="",
    "",
    VLOOKUP(
        $A5,
        _xlfn._xlws.FILTER(
            INDIRECT("'"&amp;O$1&amp;"'!A2:G1000"), (INDIRECT("'"&amp;O$1&amp;"'!B2:B1000")=$B5) * (INDIRECT("'"&amp;O$1&amp;"'!C2:C1000")=$C5)
        ),7,
        FALSE
    )
)</f>
        <v/>
      </c>
      <c r="P5" s="50">
        <f t="array" ref="P5">IF(
    VLOOKUP(
        $A5,
        _xlfn._xlws.FILTER(
            INDIRECT("'"&amp;P$1&amp;"'!A2:G1000"), (INDIRECT("'"&amp;P$1&amp;"'!B2:B1000")=$B5) * (INDIRECT("'"&amp;P$1&amp;"'!C2:C1000")=$C5)
        ),
        5,
        FALSE
    )="",
    "",
    VLOOKUP(
        $A5,
        _xlfn._xlws.FILTER(
            INDIRECT("'"&amp;P$1&amp;"'!A2:G1000"), (INDIRECT("'"&amp;P$1&amp;"'!B2:B1000")=$B5) * (INDIRECT("'"&amp;P$1&amp;"'!C2:C1000")=$C5)
        ),7,
        FALSE
    )
)</f>
        <v/>
      </c>
      <c r="Q5" s="50">
        <f t="array" ref="Q5">IF(
    VLOOKUP(
        $A5,
        _xlfn._xlws.FILTER(
            INDIRECT("'"&amp;Q$1&amp;"'!A2:G1000"), (INDIRECT("'"&amp;Q$1&amp;"'!B2:B1000")=$B5) * (INDIRECT("'"&amp;Q$1&amp;"'!C2:C1000")=$C5)
        ),
        5,
        FALSE
    )="",
    "",
    VLOOKUP(
        $A5,
        _xlfn._xlws.FILTER(
            INDIRECT("'"&amp;Q$1&amp;"'!A2:G1000"), (INDIRECT("'"&amp;Q$1&amp;"'!B2:B1000")=$B5) * (INDIRECT("'"&amp;Q$1&amp;"'!C2:C1000")=$C5)
        ),7,
        FALSE
    )
)</f>
        <v/>
      </c>
    </row>
    <row r="6">
      <c r="A6" s="42" t="inlineStr">
        <is>
          <t>Bianca</t>
        </is>
      </c>
      <c r="B6" s="50" t="inlineStr">
        <is>
          <t>Catanduvas</t>
        </is>
      </c>
      <c r="C6" s="50" t="n">
        <v>1</v>
      </c>
      <c r="D6" s="50">
        <f t="array" ref="D6">IF(
    VLOOKUP(
        $A6,
        _xlfn._xlws.FILTER(
            INDIRECT("'"&amp;D$1&amp;"'!A2:G1000"), (INDIRECT("'"&amp;D$1&amp;"'!B2:B1000")=$B6) * (INDIRECT("'"&amp;D$1&amp;"'!C2:C1000")=$C6)
        ),
        5,
        FALSE
    )="",
    "",
    VLOOKUP(
        $A6,
        _xlfn._xlws.FILTER(
            INDIRECT("'"&amp;D$1&amp;"'!A2:G1000"), (INDIRECT("'"&amp;D$1&amp;"'!B2:B1000")=$B6) * (INDIRECT("'"&amp;D$1&amp;"'!C2:C1000")=$C6)
        ),7,
        FALSE
    )
)</f>
        <v/>
      </c>
      <c r="E6" s="50">
        <f t="array" ref="E6">IF(
    VLOOKUP(
        $A6,
        _xlfn._xlws.FILTER(
            INDIRECT("'"&amp;E$1&amp;"'!A2:G1000"), (INDIRECT("'"&amp;E$1&amp;"'!B2:B1000")=$B6) * (INDIRECT("'"&amp;E$1&amp;"'!C2:C1000")=$C6)
        ),
        5,
        FALSE
    )="",
    "",
    VLOOKUP(
        $A6,
        _xlfn._xlws.FILTER(
            INDIRECT("'"&amp;E$1&amp;"'!A2:G1000"), (INDIRECT("'"&amp;E$1&amp;"'!B2:B1000")=$B6) * (INDIRECT("'"&amp;E$1&amp;"'!C2:C1000")=$C6)
        ),7,
        FALSE
    )
)</f>
        <v/>
      </c>
      <c r="F6" s="50">
        <f t="array" ref="F6">IF(
    VLOOKUP(
        $A6,
        _xlfn._xlws.FILTER(
            INDIRECT("'"&amp;F$1&amp;"'!A2:G1000"), (INDIRECT("'"&amp;F$1&amp;"'!B2:B1000")=$B6) * (INDIRECT("'"&amp;F$1&amp;"'!C2:C1000")=$C6)
        ),
        5,
        FALSE
    )="",
    "",
    VLOOKUP(
        $A6,
        _xlfn._xlws.FILTER(
            INDIRECT("'"&amp;F$1&amp;"'!A2:G1000"), (INDIRECT("'"&amp;F$1&amp;"'!B2:B1000")=$B6) * (INDIRECT("'"&amp;F$1&amp;"'!C2:C1000")=$C6)
        ),7,
        FALSE
    )
)</f>
        <v/>
      </c>
      <c r="G6" s="50">
        <f t="array" ref="G6">IF(
    VLOOKUP(
        $A6,
        _xlfn._xlws.FILTER(
            INDIRECT("'"&amp;G$1&amp;"'!A2:G1000"), (INDIRECT("'"&amp;G$1&amp;"'!B2:B1000")=$B6) * (INDIRECT("'"&amp;G$1&amp;"'!C2:C1000")=$C6)
        ),
        5,
        FALSE
    )="",
    "",
    VLOOKUP(
        $A6,
        _xlfn._xlws.FILTER(
            INDIRECT("'"&amp;G$1&amp;"'!A2:G1000"), (INDIRECT("'"&amp;G$1&amp;"'!B2:B1000")=$B6) * (INDIRECT("'"&amp;G$1&amp;"'!C2:C1000")=$C6)
        ),7,
        FALSE
    )
)</f>
        <v/>
      </c>
      <c r="H6" s="50">
        <f t="array" ref="H6">IF(
    VLOOKUP(
        $A6,
        _xlfn._xlws.FILTER(
            INDIRECT("'"&amp;H$1&amp;"'!A2:G1000"), (INDIRECT("'"&amp;H$1&amp;"'!B2:B1000")=$B6) * (INDIRECT("'"&amp;H$1&amp;"'!C2:C1000")=$C6)
        ),
        5,
        FALSE
    )="",
    "",
    VLOOKUP(
        $A6,
        _xlfn._xlws.FILTER(
            INDIRECT("'"&amp;H$1&amp;"'!A2:G1000"), (INDIRECT("'"&amp;H$1&amp;"'!B2:B1000")=$B6) * (INDIRECT("'"&amp;H$1&amp;"'!C2:C1000")=$C6)
        ),7,
        FALSE
    )
)</f>
        <v/>
      </c>
      <c r="I6" s="50">
        <f t="array" ref="I6">IF(
    VLOOKUP(
        $A6,
        _xlfn._xlws.FILTER(
            INDIRECT("'"&amp;I$1&amp;"'!A2:G1000"), (INDIRECT("'"&amp;I$1&amp;"'!B2:B1000")=$B6) * (INDIRECT("'"&amp;I$1&amp;"'!C2:C1000")=$C6)
        ),
        5,
        FALSE
    )="",
    "",
    VLOOKUP(
        $A6,
        _xlfn._xlws.FILTER(
            INDIRECT("'"&amp;I$1&amp;"'!A2:G1000"), (INDIRECT("'"&amp;I$1&amp;"'!B2:B1000")=$B6) * (INDIRECT("'"&amp;I$1&amp;"'!C2:C1000")=$C6)
        ),7,
        FALSE
    )
)</f>
        <v/>
      </c>
      <c r="J6" s="50">
        <f t="array" ref="J6">IF(
    VLOOKUP(
        $A6,
        _xlfn._xlws.FILTER(
            INDIRECT("'"&amp;J$1&amp;"'!A2:G1000"), (INDIRECT("'"&amp;J$1&amp;"'!B2:B1000")=$B6) * (INDIRECT("'"&amp;J$1&amp;"'!C2:C1000")=$C6)
        ),
        5,
        FALSE
    )="",
    "",
    VLOOKUP(
        $A6,
        _xlfn._xlws.FILTER(
            INDIRECT("'"&amp;J$1&amp;"'!A2:G1000"), (INDIRECT("'"&amp;J$1&amp;"'!B2:B1000")=$B6) * (INDIRECT("'"&amp;J$1&amp;"'!C2:C1000")=$C6)
        ),7,
        FALSE
    )
)</f>
        <v/>
      </c>
      <c r="K6" s="50">
        <f t="array" ref="K6">IF(
    VLOOKUP(
        $A6,
        _xlfn._xlws.FILTER(
            INDIRECT("'"&amp;K$1&amp;"'!A2:G1000"), (INDIRECT("'"&amp;K$1&amp;"'!B2:B1000")=$B6) * (INDIRECT("'"&amp;K$1&amp;"'!C2:C1000")=$C6)
        ),
        5,
        FALSE
    )="",
    "",
    VLOOKUP(
        $A6,
        _xlfn._xlws.FILTER(
            INDIRECT("'"&amp;K$1&amp;"'!A2:G1000"), (INDIRECT("'"&amp;K$1&amp;"'!B2:B1000")=$B6) * (INDIRECT("'"&amp;K$1&amp;"'!C2:C1000")=$C6)
        ),7,
        FALSE
    )
)</f>
        <v/>
      </c>
      <c r="L6" s="50">
        <f t="array" ref="L6">IF(
    VLOOKUP(
        $A6,
        _xlfn._xlws.FILTER(
            INDIRECT("'"&amp;L$1&amp;"'!A2:G1000"), (INDIRECT("'"&amp;L$1&amp;"'!B2:B1000")=$B6) * (INDIRECT("'"&amp;L$1&amp;"'!C2:C1000")=$C6)
        ),
        5,
        FALSE
    )="",
    "",
    VLOOKUP(
        $A6,
        _xlfn._xlws.FILTER(
            INDIRECT("'"&amp;L$1&amp;"'!A2:G1000"), (INDIRECT("'"&amp;L$1&amp;"'!B2:B1000")=$B6) * (INDIRECT("'"&amp;L$1&amp;"'!C2:C1000")=$C6)
        ),7,
        FALSE
    )
)</f>
        <v/>
      </c>
      <c r="M6" s="50">
        <f t="array" ref="M6">IF(
    VLOOKUP(
        $A6,
        _xlfn._xlws.FILTER(
            INDIRECT("'"&amp;M$1&amp;"'!A2:G1000"), (INDIRECT("'"&amp;M$1&amp;"'!B2:B1000")=$B6) * (INDIRECT("'"&amp;M$1&amp;"'!C2:C1000")=$C6)
        ),
        5,
        FALSE
    )="",
    "",
    VLOOKUP(
        $A6,
        _xlfn._xlws.FILTER(
            INDIRECT("'"&amp;M$1&amp;"'!A2:G1000"), (INDIRECT("'"&amp;M$1&amp;"'!B2:B1000")=$B6) * (INDIRECT("'"&amp;M$1&amp;"'!C2:C1000")=$C6)
        ),7,
        FALSE
    )
)</f>
        <v/>
      </c>
      <c r="N6" s="50">
        <f t="array" ref="N6">IF(
    VLOOKUP(
        $A6,
        _xlfn._xlws.FILTER(
            INDIRECT("'"&amp;N$1&amp;"'!A2:G1000"), (INDIRECT("'"&amp;N$1&amp;"'!B2:B1000")=$B6) * (INDIRECT("'"&amp;N$1&amp;"'!C2:C1000")=$C6)
        ),
        5,
        FALSE
    )="",
    "",
    VLOOKUP(
        $A6,
        _xlfn._xlws.FILTER(
            INDIRECT("'"&amp;N$1&amp;"'!A2:G1000"), (INDIRECT("'"&amp;N$1&amp;"'!B2:B1000")=$B6) * (INDIRECT("'"&amp;N$1&amp;"'!C2:C1000")=$C6)
        ),7,
        FALSE
    )
)</f>
        <v/>
      </c>
      <c r="O6" s="50">
        <f t="array" ref="O6">IF(
    VLOOKUP(
        $A6,
        _xlfn._xlws.FILTER(
            INDIRECT("'"&amp;O$1&amp;"'!A2:G1000"), (INDIRECT("'"&amp;O$1&amp;"'!B2:B1000")=$B6) * (INDIRECT("'"&amp;O$1&amp;"'!C2:C1000")=$C6)
        ),
        5,
        FALSE
    )="",
    "",
    VLOOKUP(
        $A6,
        _xlfn._xlws.FILTER(
            INDIRECT("'"&amp;O$1&amp;"'!A2:G1000"), (INDIRECT("'"&amp;O$1&amp;"'!B2:B1000")=$B6) * (INDIRECT("'"&amp;O$1&amp;"'!C2:C1000")=$C6)
        ),7,
        FALSE
    )
)</f>
        <v/>
      </c>
      <c r="P6" s="50">
        <f t="array" ref="P6">IF(
    VLOOKUP(
        $A6,
        _xlfn._xlws.FILTER(
            INDIRECT("'"&amp;P$1&amp;"'!A2:G1000"), (INDIRECT("'"&amp;P$1&amp;"'!B2:B1000")=$B6) * (INDIRECT("'"&amp;P$1&amp;"'!C2:C1000")=$C6)
        ),
        5,
        FALSE
    )="",
    "",
    VLOOKUP(
        $A6,
        _xlfn._xlws.FILTER(
            INDIRECT("'"&amp;P$1&amp;"'!A2:G1000"), (INDIRECT("'"&amp;P$1&amp;"'!B2:B1000")=$B6) * (INDIRECT("'"&amp;P$1&amp;"'!C2:C1000")=$C6)
        ),7,
        FALSE
    )
)</f>
        <v/>
      </c>
      <c r="Q6" s="50">
        <f t="array" ref="Q6">IF(
    VLOOKUP(
        $A6,
        _xlfn._xlws.FILTER(
            INDIRECT("'"&amp;Q$1&amp;"'!A2:G1000"), (INDIRECT("'"&amp;Q$1&amp;"'!B2:B1000")=$B6) * (INDIRECT("'"&amp;Q$1&amp;"'!C2:C1000")=$C6)
        ),
        5,
        FALSE
    )="",
    "",
    VLOOKUP(
        $A6,
        _xlfn._xlws.FILTER(
            INDIRECT("'"&amp;Q$1&amp;"'!A2:G1000"), (INDIRECT("'"&amp;Q$1&amp;"'!B2:B1000")=$B6) * (INDIRECT("'"&amp;Q$1&amp;"'!C2:C1000")=$C6)
        ),7,
        FALSE
    )
)</f>
        <v/>
      </c>
    </row>
    <row r="7">
      <c r="A7" s="42" t="inlineStr">
        <is>
          <t>Bianca</t>
        </is>
      </c>
      <c r="B7" s="50" t="inlineStr">
        <is>
          <t>Corbélia</t>
        </is>
      </c>
      <c r="C7" s="50" t="n">
        <v>1</v>
      </c>
      <c r="D7" s="50">
        <f t="array" ref="D7">IF(
    VLOOKUP(
        $A7,
        _xlfn._xlws.FILTER(
            INDIRECT("'"&amp;D$1&amp;"'!A2:G1000"), (INDIRECT("'"&amp;D$1&amp;"'!B2:B1000")=$B7) * (INDIRECT("'"&amp;D$1&amp;"'!C2:C1000")=$C7)
        ),
        5,
        FALSE
    )="",
    "",
    VLOOKUP(
        $A7,
        _xlfn._xlws.FILTER(
            INDIRECT("'"&amp;D$1&amp;"'!A2:G1000"), (INDIRECT("'"&amp;D$1&amp;"'!B2:B1000")=$B7) * (INDIRECT("'"&amp;D$1&amp;"'!C2:C1000")=$C7)
        ),7,
        FALSE
    )
)</f>
        <v/>
      </c>
      <c r="E7" s="50">
        <f t="array" ref="E7">IF(
    VLOOKUP(
        $A7,
        _xlfn._xlws.FILTER(
            INDIRECT("'"&amp;E$1&amp;"'!A2:G1000"), (INDIRECT("'"&amp;E$1&amp;"'!B2:B1000")=$B7) * (INDIRECT("'"&amp;E$1&amp;"'!C2:C1000")=$C7)
        ),
        5,
        FALSE
    )="",
    "",
    VLOOKUP(
        $A7,
        _xlfn._xlws.FILTER(
            INDIRECT("'"&amp;E$1&amp;"'!A2:G1000"), (INDIRECT("'"&amp;E$1&amp;"'!B2:B1000")=$B7) * (INDIRECT("'"&amp;E$1&amp;"'!C2:C1000")=$C7)
        ),7,
        FALSE
    )
)</f>
        <v/>
      </c>
      <c r="F7" s="50">
        <f t="array" ref="F7">IF(
    VLOOKUP(
        $A7,
        _xlfn._xlws.FILTER(
            INDIRECT("'"&amp;F$1&amp;"'!A2:G1000"), (INDIRECT("'"&amp;F$1&amp;"'!B2:B1000")=$B7) * (INDIRECT("'"&amp;F$1&amp;"'!C2:C1000")=$C7)
        ),
        5,
        FALSE
    )="",
    "",
    VLOOKUP(
        $A7,
        _xlfn._xlws.FILTER(
            INDIRECT("'"&amp;F$1&amp;"'!A2:G1000"), (INDIRECT("'"&amp;F$1&amp;"'!B2:B1000")=$B7) * (INDIRECT("'"&amp;F$1&amp;"'!C2:C1000")=$C7)
        ),7,
        FALSE
    )
)</f>
        <v/>
      </c>
      <c r="G7" s="50">
        <f t="array" ref="G7">IF(
    VLOOKUP(
        $A7,
        _xlfn._xlws.FILTER(
            INDIRECT("'"&amp;G$1&amp;"'!A2:G1000"), (INDIRECT("'"&amp;G$1&amp;"'!B2:B1000")=$B7) * (INDIRECT("'"&amp;G$1&amp;"'!C2:C1000")=$C7)
        ),
        5,
        FALSE
    )="",
    "",
    VLOOKUP(
        $A7,
        _xlfn._xlws.FILTER(
            INDIRECT("'"&amp;G$1&amp;"'!A2:G1000"), (INDIRECT("'"&amp;G$1&amp;"'!B2:B1000")=$B7) * (INDIRECT("'"&amp;G$1&amp;"'!C2:C1000")=$C7)
        ),7,
        FALSE
    )
)</f>
        <v/>
      </c>
      <c r="H7" s="50">
        <f t="array" ref="H7">IF(
    VLOOKUP(
        $A7,
        _xlfn._xlws.FILTER(
            INDIRECT("'"&amp;H$1&amp;"'!A2:G1000"), (INDIRECT("'"&amp;H$1&amp;"'!B2:B1000")=$B7) * (INDIRECT("'"&amp;H$1&amp;"'!C2:C1000")=$C7)
        ),
        5,
        FALSE
    )="",
    "",
    VLOOKUP(
        $A7,
        _xlfn._xlws.FILTER(
            INDIRECT("'"&amp;H$1&amp;"'!A2:G1000"), (INDIRECT("'"&amp;H$1&amp;"'!B2:B1000")=$B7) * (INDIRECT("'"&amp;H$1&amp;"'!C2:C1000")=$C7)
        ),7,
        FALSE
    )
)</f>
        <v/>
      </c>
      <c r="I7" s="50">
        <f t="array" ref="I7">IF(
    VLOOKUP(
        $A7,
        _xlfn._xlws.FILTER(
            INDIRECT("'"&amp;I$1&amp;"'!A2:G1000"), (INDIRECT("'"&amp;I$1&amp;"'!B2:B1000")=$B7) * (INDIRECT("'"&amp;I$1&amp;"'!C2:C1000")=$C7)
        ),
        5,
        FALSE
    )="",
    "",
    VLOOKUP(
        $A7,
        _xlfn._xlws.FILTER(
            INDIRECT("'"&amp;I$1&amp;"'!A2:G1000"), (INDIRECT("'"&amp;I$1&amp;"'!B2:B1000")=$B7) * (INDIRECT("'"&amp;I$1&amp;"'!C2:C1000")=$C7)
        ),7,
        FALSE
    )
)</f>
        <v/>
      </c>
      <c r="J7" s="50">
        <f t="array" ref="J7">IF(
    VLOOKUP(
        $A7,
        _xlfn._xlws.FILTER(
            INDIRECT("'"&amp;J$1&amp;"'!A2:G1000"), (INDIRECT("'"&amp;J$1&amp;"'!B2:B1000")=$B7) * (INDIRECT("'"&amp;J$1&amp;"'!C2:C1000")=$C7)
        ),
        5,
        FALSE
    )="",
    "",
    VLOOKUP(
        $A7,
        _xlfn._xlws.FILTER(
            INDIRECT("'"&amp;J$1&amp;"'!A2:G1000"), (INDIRECT("'"&amp;J$1&amp;"'!B2:B1000")=$B7) * (INDIRECT("'"&amp;J$1&amp;"'!C2:C1000")=$C7)
        ),7,
        FALSE
    )
)</f>
        <v/>
      </c>
      <c r="K7" s="50">
        <f t="array" ref="K7">IF(
    VLOOKUP(
        $A7,
        _xlfn._xlws.FILTER(
            INDIRECT("'"&amp;K$1&amp;"'!A2:G1000"), (INDIRECT("'"&amp;K$1&amp;"'!B2:B1000")=$B7) * (INDIRECT("'"&amp;K$1&amp;"'!C2:C1000")=$C7)
        ),
        5,
        FALSE
    )="",
    "",
    VLOOKUP(
        $A7,
        _xlfn._xlws.FILTER(
            INDIRECT("'"&amp;K$1&amp;"'!A2:G1000"), (INDIRECT("'"&amp;K$1&amp;"'!B2:B1000")=$B7) * (INDIRECT("'"&amp;K$1&amp;"'!C2:C1000")=$C7)
        ),7,
        FALSE
    )
)</f>
        <v/>
      </c>
      <c r="L7" s="50">
        <f t="array" ref="L7">IF(
    VLOOKUP(
        $A7,
        _xlfn._xlws.FILTER(
            INDIRECT("'"&amp;L$1&amp;"'!A2:G1000"), (INDIRECT("'"&amp;L$1&amp;"'!B2:B1000")=$B7) * (INDIRECT("'"&amp;L$1&amp;"'!C2:C1000")=$C7)
        ),
        5,
        FALSE
    )="",
    "",
    VLOOKUP(
        $A7,
        _xlfn._xlws.FILTER(
            INDIRECT("'"&amp;L$1&amp;"'!A2:G1000"), (INDIRECT("'"&amp;L$1&amp;"'!B2:B1000")=$B7) * (INDIRECT("'"&amp;L$1&amp;"'!C2:C1000")=$C7)
        ),7,
        FALSE
    )
)</f>
        <v/>
      </c>
      <c r="M7" s="50">
        <f t="array" ref="M7">IF(
    VLOOKUP(
        $A7,
        _xlfn._xlws.FILTER(
            INDIRECT("'"&amp;M$1&amp;"'!A2:G1000"), (INDIRECT("'"&amp;M$1&amp;"'!B2:B1000")=$B7) * (INDIRECT("'"&amp;M$1&amp;"'!C2:C1000")=$C7)
        ),
        5,
        FALSE
    )="",
    "",
    VLOOKUP(
        $A7,
        _xlfn._xlws.FILTER(
            INDIRECT("'"&amp;M$1&amp;"'!A2:G1000"), (INDIRECT("'"&amp;M$1&amp;"'!B2:B1000")=$B7) * (INDIRECT("'"&amp;M$1&amp;"'!C2:C1000")=$C7)
        ),7,
        FALSE
    )
)</f>
        <v/>
      </c>
      <c r="N7" s="50">
        <f t="array" ref="N7">IF(
    VLOOKUP(
        $A7,
        _xlfn._xlws.FILTER(
            INDIRECT("'"&amp;N$1&amp;"'!A2:G1000"), (INDIRECT("'"&amp;N$1&amp;"'!B2:B1000")=$B7) * (INDIRECT("'"&amp;N$1&amp;"'!C2:C1000")=$C7)
        ),
        5,
        FALSE
    )="",
    "",
    VLOOKUP(
        $A7,
        _xlfn._xlws.FILTER(
            INDIRECT("'"&amp;N$1&amp;"'!A2:G1000"), (INDIRECT("'"&amp;N$1&amp;"'!B2:B1000")=$B7) * (INDIRECT("'"&amp;N$1&amp;"'!C2:C1000")=$C7)
        ),7,
        FALSE
    )
)</f>
        <v/>
      </c>
      <c r="O7" s="50">
        <f t="array" ref="O7">IF(
    VLOOKUP(
        $A7,
        _xlfn._xlws.FILTER(
            INDIRECT("'"&amp;O$1&amp;"'!A2:G1000"), (INDIRECT("'"&amp;O$1&amp;"'!B2:B1000")=$B7) * (INDIRECT("'"&amp;O$1&amp;"'!C2:C1000")=$C7)
        ),
        5,
        FALSE
    )="",
    "",
    VLOOKUP(
        $A7,
        _xlfn._xlws.FILTER(
            INDIRECT("'"&amp;O$1&amp;"'!A2:G1000"), (INDIRECT("'"&amp;O$1&amp;"'!B2:B1000")=$B7) * (INDIRECT("'"&amp;O$1&amp;"'!C2:C1000")=$C7)
        ),7,
        FALSE
    )
)</f>
        <v/>
      </c>
      <c r="P7" s="50">
        <f t="array" ref="P7">IF(
    VLOOKUP(
        $A7,
        _xlfn._xlws.FILTER(
            INDIRECT("'"&amp;P$1&amp;"'!A2:G1000"), (INDIRECT("'"&amp;P$1&amp;"'!B2:B1000")=$B7) * (INDIRECT("'"&amp;P$1&amp;"'!C2:C1000")=$C7)
        ),
        5,
        FALSE
    )="",
    "",
    VLOOKUP(
        $A7,
        _xlfn._xlws.FILTER(
            INDIRECT("'"&amp;P$1&amp;"'!A2:G1000"), (INDIRECT("'"&amp;P$1&amp;"'!B2:B1000")=$B7) * (INDIRECT("'"&amp;P$1&amp;"'!C2:C1000")=$C7)
        ),7,
        FALSE
    )
)</f>
        <v/>
      </c>
      <c r="Q7" s="50">
        <f t="array" ref="Q7">IF(
    VLOOKUP(
        $A7,
        _xlfn._xlws.FILTER(
            INDIRECT("'"&amp;Q$1&amp;"'!A2:G1000"), (INDIRECT("'"&amp;Q$1&amp;"'!B2:B1000")=$B7) * (INDIRECT("'"&amp;Q$1&amp;"'!C2:C1000")=$C7)
        ),
        5,
        FALSE
    )="",
    "",
    VLOOKUP(
        $A7,
        _xlfn._xlws.FILTER(
            INDIRECT("'"&amp;Q$1&amp;"'!A2:G1000"), (INDIRECT("'"&amp;Q$1&amp;"'!B2:B1000")=$B7) * (INDIRECT("'"&amp;Q$1&amp;"'!C2:C1000")=$C7)
        ),7,
        FALSE
    )
)</f>
        <v/>
      </c>
    </row>
    <row r="8">
      <c r="A8" s="42" t="inlineStr">
        <is>
          <t>Bianca</t>
        </is>
      </c>
      <c r="B8" s="50" t="inlineStr">
        <is>
          <t>Diamante do Sul</t>
        </is>
      </c>
      <c r="C8" s="50" t="n">
        <v>1</v>
      </c>
      <c r="D8" s="50">
        <f t="array" ref="D8">IF(
    VLOOKUP(
        $A8,
        _xlfn._xlws.FILTER(
            INDIRECT("'"&amp;D$1&amp;"'!A2:G1000"), (INDIRECT("'"&amp;D$1&amp;"'!B2:B1000")=$B8) * (INDIRECT("'"&amp;D$1&amp;"'!C2:C1000")=$C8)
        ),
        5,
        FALSE
    )="",
    "",
    VLOOKUP(
        $A8,
        _xlfn._xlws.FILTER(
            INDIRECT("'"&amp;D$1&amp;"'!A2:G1000"), (INDIRECT("'"&amp;D$1&amp;"'!B2:B1000")=$B8) * (INDIRECT("'"&amp;D$1&amp;"'!C2:C1000")=$C8)
        ),7,
        FALSE
    )
)</f>
        <v/>
      </c>
      <c r="E8" s="50">
        <f t="array" ref="E8">IF(
    VLOOKUP(
        $A8,
        _xlfn._xlws.FILTER(
            INDIRECT("'"&amp;E$1&amp;"'!A2:G1000"), (INDIRECT("'"&amp;E$1&amp;"'!B2:B1000")=$B8) * (INDIRECT("'"&amp;E$1&amp;"'!C2:C1000")=$C8)
        ),
        5,
        FALSE
    )="",
    "",
    VLOOKUP(
        $A8,
        _xlfn._xlws.FILTER(
            INDIRECT("'"&amp;E$1&amp;"'!A2:G1000"), (INDIRECT("'"&amp;E$1&amp;"'!B2:B1000")=$B8) * (INDIRECT("'"&amp;E$1&amp;"'!C2:C1000")=$C8)
        ),7,
        FALSE
    )
)</f>
        <v/>
      </c>
      <c r="F8" s="50">
        <f t="array" ref="F8">IF(
    VLOOKUP(
        $A8,
        _xlfn._xlws.FILTER(
            INDIRECT("'"&amp;F$1&amp;"'!A2:G1000"), (INDIRECT("'"&amp;F$1&amp;"'!B2:B1000")=$B8) * (INDIRECT("'"&amp;F$1&amp;"'!C2:C1000")=$C8)
        ),
        5,
        FALSE
    )="",
    "",
    VLOOKUP(
        $A8,
        _xlfn._xlws.FILTER(
            INDIRECT("'"&amp;F$1&amp;"'!A2:G1000"), (INDIRECT("'"&amp;F$1&amp;"'!B2:B1000")=$B8) * (INDIRECT("'"&amp;F$1&amp;"'!C2:C1000")=$C8)
        ),7,
        FALSE
    )
)</f>
        <v/>
      </c>
      <c r="G8" s="50">
        <f t="array" ref="G8">IF(
    VLOOKUP(
        $A8,
        _xlfn._xlws.FILTER(
            INDIRECT("'"&amp;G$1&amp;"'!A2:G1000"), (INDIRECT("'"&amp;G$1&amp;"'!B2:B1000")=$B8) * (INDIRECT("'"&amp;G$1&amp;"'!C2:C1000")=$C8)
        ),
        5,
        FALSE
    )="",
    "",
    VLOOKUP(
        $A8,
        _xlfn._xlws.FILTER(
            INDIRECT("'"&amp;G$1&amp;"'!A2:G1000"), (INDIRECT("'"&amp;G$1&amp;"'!B2:B1000")=$B8) * (INDIRECT("'"&amp;G$1&amp;"'!C2:C1000")=$C8)
        ),7,
        FALSE
    )
)</f>
        <v/>
      </c>
      <c r="H8" s="50">
        <f t="array" ref="H8">IF(
    VLOOKUP(
        $A8,
        _xlfn._xlws.FILTER(
            INDIRECT("'"&amp;H$1&amp;"'!A2:G1000"), (INDIRECT("'"&amp;H$1&amp;"'!B2:B1000")=$B8) * (INDIRECT("'"&amp;H$1&amp;"'!C2:C1000")=$C8)
        ),
        5,
        FALSE
    )="",
    "",
    VLOOKUP(
        $A8,
        _xlfn._xlws.FILTER(
            INDIRECT("'"&amp;H$1&amp;"'!A2:G1000"), (INDIRECT("'"&amp;H$1&amp;"'!B2:B1000")=$B8) * (INDIRECT("'"&amp;H$1&amp;"'!C2:C1000")=$C8)
        ),7,
        FALSE
    )
)</f>
        <v/>
      </c>
      <c r="I8" s="50">
        <f t="array" ref="I8">IF(
    VLOOKUP(
        $A8,
        _xlfn._xlws.FILTER(
            INDIRECT("'"&amp;I$1&amp;"'!A2:G1000"), (INDIRECT("'"&amp;I$1&amp;"'!B2:B1000")=$B8) * (INDIRECT("'"&amp;I$1&amp;"'!C2:C1000")=$C8)
        ),
        5,
        FALSE
    )="",
    "",
    VLOOKUP(
        $A8,
        _xlfn._xlws.FILTER(
            INDIRECT("'"&amp;I$1&amp;"'!A2:G1000"), (INDIRECT("'"&amp;I$1&amp;"'!B2:B1000")=$B8) * (INDIRECT("'"&amp;I$1&amp;"'!C2:C1000")=$C8)
        ),7,
        FALSE
    )
)</f>
        <v/>
      </c>
      <c r="J8" s="50">
        <f t="array" ref="J8">IF(
    VLOOKUP(
        $A8,
        _xlfn._xlws.FILTER(
            INDIRECT("'"&amp;J$1&amp;"'!A2:G1000"), (INDIRECT("'"&amp;J$1&amp;"'!B2:B1000")=$B8) * (INDIRECT("'"&amp;J$1&amp;"'!C2:C1000")=$C8)
        ),
        5,
        FALSE
    )="",
    "",
    VLOOKUP(
        $A8,
        _xlfn._xlws.FILTER(
            INDIRECT("'"&amp;J$1&amp;"'!A2:G1000"), (INDIRECT("'"&amp;J$1&amp;"'!B2:B1000")=$B8) * (INDIRECT("'"&amp;J$1&amp;"'!C2:C1000")=$C8)
        ),7,
        FALSE
    )
)</f>
        <v/>
      </c>
      <c r="K8" s="50">
        <f t="array" ref="K8">IF(
    VLOOKUP(
        $A8,
        _xlfn._xlws.FILTER(
            INDIRECT("'"&amp;K$1&amp;"'!A2:G1000"), (INDIRECT("'"&amp;K$1&amp;"'!B2:B1000")=$B8) * (INDIRECT("'"&amp;K$1&amp;"'!C2:C1000")=$C8)
        ),
        5,
        FALSE
    )="",
    "",
    VLOOKUP(
        $A8,
        _xlfn._xlws.FILTER(
            INDIRECT("'"&amp;K$1&amp;"'!A2:G1000"), (INDIRECT("'"&amp;K$1&amp;"'!B2:B1000")=$B8) * (INDIRECT("'"&amp;K$1&amp;"'!C2:C1000")=$C8)
        ),7,
        FALSE
    )
)</f>
        <v/>
      </c>
      <c r="L8" s="50">
        <f t="array" ref="L8">IF(
    VLOOKUP(
        $A8,
        _xlfn._xlws.FILTER(
            INDIRECT("'"&amp;L$1&amp;"'!A2:G1000"), (INDIRECT("'"&amp;L$1&amp;"'!B2:B1000")=$B8) * (INDIRECT("'"&amp;L$1&amp;"'!C2:C1000")=$C8)
        ),
        5,
        FALSE
    )="",
    "",
    VLOOKUP(
        $A8,
        _xlfn._xlws.FILTER(
            INDIRECT("'"&amp;L$1&amp;"'!A2:G1000"), (INDIRECT("'"&amp;L$1&amp;"'!B2:B1000")=$B8) * (INDIRECT("'"&amp;L$1&amp;"'!C2:C1000")=$C8)
        ),7,
        FALSE
    )
)</f>
        <v/>
      </c>
      <c r="M8" s="50">
        <f t="array" ref="M8">IF(
    VLOOKUP(
        $A8,
        _xlfn._xlws.FILTER(
            INDIRECT("'"&amp;M$1&amp;"'!A2:G1000"), (INDIRECT("'"&amp;M$1&amp;"'!B2:B1000")=$B8) * (INDIRECT("'"&amp;M$1&amp;"'!C2:C1000")=$C8)
        ),
        5,
        FALSE
    )="",
    "",
    VLOOKUP(
        $A8,
        _xlfn._xlws.FILTER(
            INDIRECT("'"&amp;M$1&amp;"'!A2:G1000"), (INDIRECT("'"&amp;M$1&amp;"'!B2:B1000")=$B8) * (INDIRECT("'"&amp;M$1&amp;"'!C2:C1000")=$C8)
        ),7,
        FALSE
    )
)</f>
        <v/>
      </c>
      <c r="N8" s="50">
        <f t="array" ref="N8">IF(
    VLOOKUP(
        $A8,
        _xlfn._xlws.FILTER(
            INDIRECT("'"&amp;N$1&amp;"'!A2:G1000"), (INDIRECT("'"&amp;N$1&amp;"'!B2:B1000")=$B8) * (INDIRECT("'"&amp;N$1&amp;"'!C2:C1000")=$C8)
        ),
        5,
        FALSE
    )="",
    "",
    VLOOKUP(
        $A8,
        _xlfn._xlws.FILTER(
            INDIRECT("'"&amp;N$1&amp;"'!A2:G1000"), (INDIRECT("'"&amp;N$1&amp;"'!B2:B1000")=$B8) * (INDIRECT("'"&amp;N$1&amp;"'!C2:C1000")=$C8)
        ),7,
        FALSE
    )
)</f>
        <v/>
      </c>
      <c r="O8" s="50">
        <f t="array" ref="O8">IF(
    VLOOKUP(
        $A8,
        _xlfn._xlws.FILTER(
            INDIRECT("'"&amp;O$1&amp;"'!A2:G1000"), (INDIRECT("'"&amp;O$1&amp;"'!B2:B1000")=$B8) * (INDIRECT("'"&amp;O$1&amp;"'!C2:C1000")=$C8)
        ),
        5,
        FALSE
    )="",
    "",
    VLOOKUP(
        $A8,
        _xlfn._xlws.FILTER(
            INDIRECT("'"&amp;O$1&amp;"'!A2:G1000"), (INDIRECT("'"&amp;O$1&amp;"'!B2:B1000")=$B8) * (INDIRECT("'"&amp;O$1&amp;"'!C2:C1000")=$C8)
        ),7,
        FALSE
    )
)</f>
        <v/>
      </c>
      <c r="P8" s="50">
        <f t="array" ref="P8">IF(
    VLOOKUP(
        $A8,
        _xlfn._xlws.FILTER(
            INDIRECT("'"&amp;P$1&amp;"'!A2:G1000"), (INDIRECT("'"&amp;P$1&amp;"'!B2:B1000")=$B8) * (INDIRECT("'"&amp;P$1&amp;"'!C2:C1000")=$C8)
        ),
        5,
        FALSE
    )="",
    "",
    VLOOKUP(
        $A8,
        _xlfn._xlws.FILTER(
            INDIRECT("'"&amp;P$1&amp;"'!A2:G1000"), (INDIRECT("'"&amp;P$1&amp;"'!B2:B1000")=$B8) * (INDIRECT("'"&amp;P$1&amp;"'!C2:C1000")=$C8)
        ),7,
        FALSE
    )
)</f>
        <v/>
      </c>
      <c r="Q8" s="50">
        <f t="array" ref="Q8">IF(
    VLOOKUP(
        $A8,
        _xlfn._xlws.FILTER(
            INDIRECT("'"&amp;Q$1&amp;"'!A2:G1000"), (INDIRECT("'"&amp;Q$1&amp;"'!B2:B1000")=$B8) * (INDIRECT("'"&amp;Q$1&amp;"'!C2:C1000")=$C8)
        ),
        5,
        FALSE
    )="",
    "",
    VLOOKUP(
        $A8,
        _xlfn._xlws.FILTER(
            INDIRECT("'"&amp;Q$1&amp;"'!A2:G1000"), (INDIRECT("'"&amp;Q$1&amp;"'!B2:B1000")=$B8) * (INDIRECT("'"&amp;Q$1&amp;"'!C2:C1000")=$C8)
        ),7,
        FALSE
    )
)</f>
        <v/>
      </c>
    </row>
    <row r="9">
      <c r="A9" s="42" t="inlineStr">
        <is>
          <t>Bianca</t>
        </is>
      </c>
      <c r="B9" s="50" t="inlineStr">
        <is>
          <t>Guaraniacu</t>
        </is>
      </c>
      <c r="C9" s="50" t="n">
        <v>1</v>
      </c>
      <c r="D9" s="50">
        <f t="array" ref="D9">IF(
    VLOOKUP(
        $A9,
        _xlfn._xlws.FILTER(
            INDIRECT("'"&amp;D$1&amp;"'!A2:G1000"), (INDIRECT("'"&amp;D$1&amp;"'!B2:B1000")=$B9) * (INDIRECT("'"&amp;D$1&amp;"'!C2:C1000")=$C9)
        ),
        5,
        FALSE
    )="",
    "",
    VLOOKUP(
        $A9,
        _xlfn._xlws.FILTER(
            INDIRECT("'"&amp;D$1&amp;"'!A2:G1000"), (INDIRECT("'"&amp;D$1&amp;"'!B2:B1000")=$B9) * (INDIRECT("'"&amp;D$1&amp;"'!C2:C1000")=$C9)
        ),7,
        FALSE
    )
)</f>
        <v/>
      </c>
      <c r="E9" s="50">
        <f t="array" ref="E9">IF(
    VLOOKUP(
        $A9,
        _xlfn._xlws.FILTER(
            INDIRECT("'"&amp;E$1&amp;"'!A2:G1000"), (INDIRECT("'"&amp;E$1&amp;"'!B2:B1000")=$B9) * (INDIRECT("'"&amp;E$1&amp;"'!C2:C1000")=$C9)
        ),
        5,
        FALSE
    )="",
    "",
    VLOOKUP(
        $A9,
        _xlfn._xlws.FILTER(
            INDIRECT("'"&amp;E$1&amp;"'!A2:G1000"), (INDIRECT("'"&amp;E$1&amp;"'!B2:B1000")=$B9) * (INDIRECT("'"&amp;E$1&amp;"'!C2:C1000")=$C9)
        ),7,
        FALSE
    )
)</f>
        <v/>
      </c>
      <c r="F9" s="50">
        <f t="array" ref="F9">IF(
    VLOOKUP(
        $A9,
        _xlfn._xlws.FILTER(
            INDIRECT("'"&amp;F$1&amp;"'!A2:G1000"), (INDIRECT("'"&amp;F$1&amp;"'!B2:B1000")=$B9) * (INDIRECT("'"&amp;F$1&amp;"'!C2:C1000")=$C9)
        ),
        5,
        FALSE
    )="",
    "",
    VLOOKUP(
        $A9,
        _xlfn._xlws.FILTER(
            INDIRECT("'"&amp;F$1&amp;"'!A2:G1000"), (INDIRECT("'"&amp;F$1&amp;"'!B2:B1000")=$B9) * (INDIRECT("'"&amp;F$1&amp;"'!C2:C1000")=$C9)
        ),7,
        FALSE
    )
)</f>
        <v/>
      </c>
      <c r="G9" s="50">
        <f t="array" ref="G9">IF(
    VLOOKUP(
        $A9,
        _xlfn._xlws.FILTER(
            INDIRECT("'"&amp;G$1&amp;"'!A2:G1000"), (INDIRECT("'"&amp;G$1&amp;"'!B2:B1000")=$B9) * (INDIRECT("'"&amp;G$1&amp;"'!C2:C1000")=$C9)
        ),
        5,
        FALSE
    )="",
    "",
    VLOOKUP(
        $A9,
        _xlfn._xlws.FILTER(
            INDIRECT("'"&amp;G$1&amp;"'!A2:G1000"), (INDIRECT("'"&amp;G$1&amp;"'!B2:B1000")=$B9) * (INDIRECT("'"&amp;G$1&amp;"'!C2:C1000")=$C9)
        ),7,
        FALSE
    )
)</f>
        <v/>
      </c>
      <c r="H9" s="50">
        <f t="array" ref="H9">IF(
    VLOOKUP(
        $A9,
        _xlfn._xlws.FILTER(
            INDIRECT("'"&amp;H$1&amp;"'!A2:G1000"), (INDIRECT("'"&amp;H$1&amp;"'!B2:B1000")=$B9) * (INDIRECT("'"&amp;H$1&amp;"'!C2:C1000")=$C9)
        ),
        5,
        FALSE
    )="",
    "",
    VLOOKUP(
        $A9,
        _xlfn._xlws.FILTER(
            INDIRECT("'"&amp;H$1&amp;"'!A2:G1000"), (INDIRECT("'"&amp;H$1&amp;"'!B2:B1000")=$B9) * (INDIRECT("'"&amp;H$1&amp;"'!C2:C1000")=$C9)
        ),7,
        FALSE
    )
)</f>
        <v/>
      </c>
      <c r="I9" s="50">
        <f t="array" ref="I9">IF(
    VLOOKUP(
        $A9,
        _xlfn._xlws.FILTER(
            INDIRECT("'"&amp;I$1&amp;"'!A2:G1000"), (INDIRECT("'"&amp;I$1&amp;"'!B2:B1000")=$B9) * (INDIRECT("'"&amp;I$1&amp;"'!C2:C1000")=$C9)
        ),
        5,
        FALSE
    )="",
    "",
    VLOOKUP(
        $A9,
        _xlfn._xlws.FILTER(
            INDIRECT("'"&amp;I$1&amp;"'!A2:G1000"), (INDIRECT("'"&amp;I$1&amp;"'!B2:B1000")=$B9) * (INDIRECT("'"&amp;I$1&amp;"'!C2:C1000")=$C9)
        ),7,
        FALSE
    )
)</f>
        <v/>
      </c>
      <c r="J9" s="50">
        <f t="array" ref="J9">IF(
    VLOOKUP(
        $A9,
        _xlfn._xlws.FILTER(
            INDIRECT("'"&amp;J$1&amp;"'!A2:G1000"), (INDIRECT("'"&amp;J$1&amp;"'!B2:B1000")=$B9) * (INDIRECT("'"&amp;J$1&amp;"'!C2:C1000")=$C9)
        ),
        5,
        FALSE
    )="",
    "",
    VLOOKUP(
        $A9,
        _xlfn._xlws.FILTER(
            INDIRECT("'"&amp;J$1&amp;"'!A2:G1000"), (INDIRECT("'"&amp;J$1&amp;"'!B2:B1000")=$B9) * (INDIRECT("'"&amp;J$1&amp;"'!C2:C1000")=$C9)
        ),7,
        FALSE
    )
)</f>
        <v/>
      </c>
      <c r="K9" s="50">
        <f t="array" ref="K9">IF(
    VLOOKUP(
        $A9,
        _xlfn._xlws.FILTER(
            INDIRECT("'"&amp;K$1&amp;"'!A2:G1000"), (INDIRECT("'"&amp;K$1&amp;"'!B2:B1000")=$B9) * (INDIRECT("'"&amp;K$1&amp;"'!C2:C1000")=$C9)
        ),
        5,
        FALSE
    )="",
    "",
    VLOOKUP(
        $A9,
        _xlfn._xlws.FILTER(
            INDIRECT("'"&amp;K$1&amp;"'!A2:G1000"), (INDIRECT("'"&amp;K$1&amp;"'!B2:B1000")=$B9) * (INDIRECT("'"&amp;K$1&amp;"'!C2:C1000")=$C9)
        ),7,
        FALSE
    )
)</f>
        <v/>
      </c>
      <c r="L9" s="50">
        <f t="array" ref="L9">IF(
    VLOOKUP(
        $A9,
        _xlfn._xlws.FILTER(
            INDIRECT("'"&amp;L$1&amp;"'!A2:G1000"), (INDIRECT("'"&amp;L$1&amp;"'!B2:B1000")=$B9) * (INDIRECT("'"&amp;L$1&amp;"'!C2:C1000")=$C9)
        ),
        5,
        FALSE
    )="",
    "",
    VLOOKUP(
        $A9,
        _xlfn._xlws.FILTER(
            INDIRECT("'"&amp;L$1&amp;"'!A2:G1000"), (INDIRECT("'"&amp;L$1&amp;"'!B2:B1000")=$B9) * (INDIRECT("'"&amp;L$1&amp;"'!C2:C1000")=$C9)
        ),7,
        FALSE
    )
)</f>
        <v/>
      </c>
      <c r="M9" s="50">
        <f t="array" ref="M9">IF(
    VLOOKUP(
        $A9,
        _xlfn._xlws.FILTER(
            INDIRECT("'"&amp;M$1&amp;"'!A2:G1000"), (INDIRECT("'"&amp;M$1&amp;"'!B2:B1000")=$B9) * (INDIRECT("'"&amp;M$1&amp;"'!C2:C1000")=$C9)
        ),
        5,
        FALSE
    )="",
    "",
    VLOOKUP(
        $A9,
        _xlfn._xlws.FILTER(
            INDIRECT("'"&amp;M$1&amp;"'!A2:G1000"), (INDIRECT("'"&amp;M$1&amp;"'!B2:B1000")=$B9) * (INDIRECT("'"&amp;M$1&amp;"'!C2:C1000")=$C9)
        ),7,
        FALSE
    )
)</f>
        <v/>
      </c>
      <c r="N9" s="50">
        <f t="array" ref="N9">IF(
    VLOOKUP(
        $A9,
        _xlfn._xlws.FILTER(
            INDIRECT("'"&amp;N$1&amp;"'!A2:G1000"), (INDIRECT("'"&amp;N$1&amp;"'!B2:B1000")=$B9) * (INDIRECT("'"&amp;N$1&amp;"'!C2:C1000")=$C9)
        ),
        5,
        FALSE
    )="",
    "",
    VLOOKUP(
        $A9,
        _xlfn._xlws.FILTER(
            INDIRECT("'"&amp;N$1&amp;"'!A2:G1000"), (INDIRECT("'"&amp;N$1&amp;"'!B2:B1000")=$B9) * (INDIRECT("'"&amp;N$1&amp;"'!C2:C1000")=$C9)
        ),7,
        FALSE
    )
)</f>
        <v/>
      </c>
      <c r="O9" s="50">
        <f t="array" ref="O9">IF(
    VLOOKUP(
        $A9,
        _xlfn._xlws.FILTER(
            INDIRECT("'"&amp;O$1&amp;"'!A2:G1000"), (INDIRECT("'"&amp;O$1&amp;"'!B2:B1000")=$B9) * (INDIRECT("'"&amp;O$1&amp;"'!C2:C1000")=$C9)
        ),
        5,
        FALSE
    )="",
    "",
    VLOOKUP(
        $A9,
        _xlfn._xlws.FILTER(
            INDIRECT("'"&amp;O$1&amp;"'!A2:G1000"), (INDIRECT("'"&amp;O$1&amp;"'!B2:B1000")=$B9) * (INDIRECT("'"&amp;O$1&amp;"'!C2:C1000")=$C9)
        ),7,
        FALSE
    )
)</f>
        <v/>
      </c>
      <c r="P9" s="50">
        <f t="array" ref="P9">IF(
    VLOOKUP(
        $A9,
        _xlfn._xlws.FILTER(
            INDIRECT("'"&amp;P$1&amp;"'!A2:G1000"), (INDIRECT("'"&amp;P$1&amp;"'!B2:B1000")=$B9) * (INDIRECT("'"&amp;P$1&amp;"'!C2:C1000")=$C9)
        ),
        5,
        FALSE
    )="",
    "",
    VLOOKUP(
        $A9,
        _xlfn._xlws.FILTER(
            INDIRECT("'"&amp;P$1&amp;"'!A2:G1000"), (INDIRECT("'"&amp;P$1&amp;"'!B2:B1000")=$B9) * (INDIRECT("'"&amp;P$1&amp;"'!C2:C1000")=$C9)
        ),7,
        FALSE
    )
)</f>
        <v/>
      </c>
      <c r="Q9" s="50">
        <f t="array" ref="Q9">IF(
    VLOOKUP(
        $A9,
        _xlfn._xlws.FILTER(
            INDIRECT("'"&amp;Q$1&amp;"'!A2:G1000"), (INDIRECT("'"&amp;Q$1&amp;"'!B2:B1000")=$B9) * (INDIRECT("'"&amp;Q$1&amp;"'!C2:C1000")=$C9)
        ),
        5,
        FALSE
    )="",
    "",
    VLOOKUP(
        $A9,
        _xlfn._xlws.FILTER(
            INDIRECT("'"&amp;Q$1&amp;"'!A2:G1000"), (INDIRECT("'"&amp;Q$1&amp;"'!B2:B1000")=$B9) * (INDIRECT("'"&amp;Q$1&amp;"'!C2:C1000")=$C9)
        ),7,
        FALSE
    )
)</f>
        <v/>
      </c>
    </row>
    <row r="10">
      <c r="A10" s="42" t="inlineStr">
        <is>
          <t>Bianca</t>
        </is>
      </c>
      <c r="B10" s="50" t="inlineStr">
        <is>
          <t>Ibema</t>
        </is>
      </c>
      <c r="C10" s="50" t="n">
        <v>1</v>
      </c>
      <c r="D10" s="50">
        <f t="array" ref="D10">IF(
    VLOOKUP(
        $A10,
        _xlfn._xlws.FILTER(
            INDIRECT("'"&amp;D$1&amp;"'!A2:G1000"), (INDIRECT("'"&amp;D$1&amp;"'!B2:B1000")=$B10) * (INDIRECT("'"&amp;D$1&amp;"'!C2:C1000")=$C10)
        ),
        5,
        FALSE
    )="",
    "",
    VLOOKUP(
        $A10,
        _xlfn._xlws.FILTER(
            INDIRECT("'"&amp;D$1&amp;"'!A2:G1000"), (INDIRECT("'"&amp;D$1&amp;"'!B2:B1000")=$B10) * (INDIRECT("'"&amp;D$1&amp;"'!C2:C1000")=$C10)
        ),7,
        FALSE
    )
)</f>
        <v/>
      </c>
      <c r="E10" s="50">
        <f t="array" ref="E10">IF(
    VLOOKUP(
        $A10,
        _xlfn._xlws.FILTER(
            INDIRECT("'"&amp;E$1&amp;"'!A2:G1000"), (INDIRECT("'"&amp;E$1&amp;"'!B2:B1000")=$B10) * (INDIRECT("'"&amp;E$1&amp;"'!C2:C1000")=$C10)
        ),
        5,
        FALSE
    )="",
    "",
    VLOOKUP(
        $A10,
        _xlfn._xlws.FILTER(
            INDIRECT("'"&amp;E$1&amp;"'!A2:G1000"), (INDIRECT("'"&amp;E$1&amp;"'!B2:B1000")=$B10) * (INDIRECT("'"&amp;E$1&amp;"'!C2:C1000")=$C10)
        ),7,
        FALSE
    )
)</f>
        <v/>
      </c>
      <c r="F10" s="50">
        <f t="array" ref="F10">IF(
    VLOOKUP(
        $A10,
        _xlfn._xlws.FILTER(
            INDIRECT("'"&amp;F$1&amp;"'!A2:G1000"), (INDIRECT("'"&amp;F$1&amp;"'!B2:B1000")=$B10) * (INDIRECT("'"&amp;F$1&amp;"'!C2:C1000")=$C10)
        ),
        5,
        FALSE
    )="",
    "",
    VLOOKUP(
        $A10,
        _xlfn._xlws.FILTER(
            INDIRECT("'"&amp;F$1&amp;"'!A2:G1000"), (INDIRECT("'"&amp;F$1&amp;"'!B2:B1000")=$B10) * (INDIRECT("'"&amp;F$1&amp;"'!C2:C1000")=$C10)
        ),7,
        FALSE
    )
)</f>
        <v/>
      </c>
      <c r="G10" s="50">
        <f t="array" ref="G10">IF(
    VLOOKUP(
        $A10,
        _xlfn._xlws.FILTER(
            INDIRECT("'"&amp;G$1&amp;"'!A2:G1000"), (INDIRECT("'"&amp;G$1&amp;"'!B2:B1000")=$B10) * (INDIRECT("'"&amp;G$1&amp;"'!C2:C1000")=$C10)
        ),
        5,
        FALSE
    )="",
    "",
    VLOOKUP(
        $A10,
        _xlfn._xlws.FILTER(
            INDIRECT("'"&amp;G$1&amp;"'!A2:G1000"), (INDIRECT("'"&amp;G$1&amp;"'!B2:B1000")=$B10) * (INDIRECT("'"&amp;G$1&amp;"'!C2:C1000")=$C10)
        ),7,
        FALSE
    )
)</f>
        <v/>
      </c>
      <c r="H10" s="50">
        <f t="array" ref="H10">IF(
    VLOOKUP(
        $A10,
        _xlfn._xlws.FILTER(
            INDIRECT("'"&amp;H$1&amp;"'!A2:G1000"), (INDIRECT("'"&amp;H$1&amp;"'!B2:B1000")=$B10) * (INDIRECT("'"&amp;H$1&amp;"'!C2:C1000")=$C10)
        ),
        5,
        FALSE
    )="",
    "",
    VLOOKUP(
        $A10,
        _xlfn._xlws.FILTER(
            INDIRECT("'"&amp;H$1&amp;"'!A2:G1000"), (INDIRECT("'"&amp;H$1&amp;"'!B2:B1000")=$B10) * (INDIRECT("'"&amp;H$1&amp;"'!C2:C1000")=$C10)
        ),7,
        FALSE
    )
)</f>
        <v/>
      </c>
      <c r="I10" s="50">
        <f t="array" ref="I10">IF(
    VLOOKUP(
        $A10,
        _xlfn._xlws.FILTER(
            INDIRECT("'"&amp;I$1&amp;"'!A2:G1000"), (INDIRECT("'"&amp;I$1&amp;"'!B2:B1000")=$B10) * (INDIRECT("'"&amp;I$1&amp;"'!C2:C1000")=$C10)
        ),
        5,
        FALSE
    )="",
    "",
    VLOOKUP(
        $A10,
        _xlfn._xlws.FILTER(
            INDIRECT("'"&amp;I$1&amp;"'!A2:G1000"), (INDIRECT("'"&amp;I$1&amp;"'!B2:B1000")=$B10) * (INDIRECT("'"&amp;I$1&amp;"'!C2:C1000")=$C10)
        ),7,
        FALSE
    )
)</f>
        <v/>
      </c>
      <c r="J10" s="50">
        <f t="array" ref="J10">IF(
    VLOOKUP(
        $A10,
        _xlfn._xlws.FILTER(
            INDIRECT("'"&amp;J$1&amp;"'!A2:G1000"), (INDIRECT("'"&amp;J$1&amp;"'!B2:B1000")=$B10) * (INDIRECT("'"&amp;J$1&amp;"'!C2:C1000")=$C10)
        ),
        5,
        FALSE
    )="",
    "",
    VLOOKUP(
        $A10,
        _xlfn._xlws.FILTER(
            INDIRECT("'"&amp;J$1&amp;"'!A2:G1000"), (INDIRECT("'"&amp;J$1&amp;"'!B2:B1000")=$B10) * (INDIRECT("'"&amp;J$1&amp;"'!C2:C1000")=$C10)
        ),7,
        FALSE
    )
)</f>
        <v/>
      </c>
      <c r="K10" s="50">
        <f t="array" ref="K10">IF(
    VLOOKUP(
        $A10,
        _xlfn._xlws.FILTER(
            INDIRECT("'"&amp;K$1&amp;"'!A2:G1000"), (INDIRECT("'"&amp;K$1&amp;"'!B2:B1000")=$B10) * (INDIRECT("'"&amp;K$1&amp;"'!C2:C1000")=$C10)
        ),
        5,
        FALSE
    )="",
    "",
    VLOOKUP(
        $A10,
        _xlfn._xlws.FILTER(
            INDIRECT("'"&amp;K$1&amp;"'!A2:G1000"), (INDIRECT("'"&amp;K$1&amp;"'!B2:B1000")=$B10) * (INDIRECT("'"&amp;K$1&amp;"'!C2:C1000")=$C10)
        ),7,
        FALSE
    )
)</f>
        <v/>
      </c>
      <c r="L10" s="50">
        <f t="array" ref="L10">IF(
    VLOOKUP(
        $A10,
        _xlfn._xlws.FILTER(
            INDIRECT("'"&amp;L$1&amp;"'!A2:G1000"), (INDIRECT("'"&amp;L$1&amp;"'!B2:B1000")=$B10) * (INDIRECT("'"&amp;L$1&amp;"'!C2:C1000")=$C10)
        ),
        5,
        FALSE
    )="",
    "",
    VLOOKUP(
        $A10,
        _xlfn._xlws.FILTER(
            INDIRECT("'"&amp;L$1&amp;"'!A2:G1000"), (INDIRECT("'"&amp;L$1&amp;"'!B2:B1000")=$B10) * (INDIRECT("'"&amp;L$1&amp;"'!C2:C1000")=$C10)
        ),7,
        FALSE
    )
)</f>
        <v/>
      </c>
      <c r="M10" s="50">
        <f t="array" ref="M10">IF(
    VLOOKUP(
        $A10,
        _xlfn._xlws.FILTER(
            INDIRECT("'"&amp;M$1&amp;"'!A2:G1000"), (INDIRECT("'"&amp;M$1&amp;"'!B2:B1000")=$B10) * (INDIRECT("'"&amp;M$1&amp;"'!C2:C1000")=$C10)
        ),
        5,
        FALSE
    )="",
    "",
    VLOOKUP(
        $A10,
        _xlfn._xlws.FILTER(
            INDIRECT("'"&amp;M$1&amp;"'!A2:G1000"), (INDIRECT("'"&amp;M$1&amp;"'!B2:B1000")=$B10) * (INDIRECT("'"&amp;M$1&amp;"'!C2:C1000")=$C10)
        ),7,
        FALSE
    )
)</f>
        <v/>
      </c>
      <c r="N10" s="50">
        <f t="array" ref="N10">IF(
    VLOOKUP(
        $A10,
        _xlfn._xlws.FILTER(
            INDIRECT("'"&amp;N$1&amp;"'!A2:G1000"), (INDIRECT("'"&amp;N$1&amp;"'!B2:B1000")=$B10) * (INDIRECT("'"&amp;N$1&amp;"'!C2:C1000")=$C10)
        ),
        5,
        FALSE
    )="",
    "",
    VLOOKUP(
        $A10,
        _xlfn._xlws.FILTER(
            INDIRECT("'"&amp;N$1&amp;"'!A2:G1000"), (INDIRECT("'"&amp;N$1&amp;"'!B2:B1000")=$B10) * (INDIRECT("'"&amp;N$1&amp;"'!C2:C1000")=$C10)
        ),7,
        FALSE
    )
)</f>
        <v/>
      </c>
      <c r="O10" s="50">
        <f t="array" ref="O10">IF(
    VLOOKUP(
        $A10,
        _xlfn._xlws.FILTER(
            INDIRECT("'"&amp;O$1&amp;"'!A2:G1000"), (INDIRECT("'"&amp;O$1&amp;"'!B2:B1000")=$B10) * (INDIRECT("'"&amp;O$1&amp;"'!C2:C1000")=$C10)
        ),
        5,
        FALSE
    )="",
    "",
    VLOOKUP(
        $A10,
        _xlfn._xlws.FILTER(
            INDIRECT("'"&amp;O$1&amp;"'!A2:G1000"), (INDIRECT("'"&amp;O$1&amp;"'!B2:B1000")=$B10) * (INDIRECT("'"&amp;O$1&amp;"'!C2:C1000")=$C10)
        ),7,
        FALSE
    )
)</f>
        <v/>
      </c>
      <c r="P10" s="50">
        <f t="array" ref="P10">IF(
    VLOOKUP(
        $A10,
        _xlfn._xlws.FILTER(
            INDIRECT("'"&amp;P$1&amp;"'!A2:G1000"), (INDIRECT("'"&amp;P$1&amp;"'!B2:B1000")=$B10) * (INDIRECT("'"&amp;P$1&amp;"'!C2:C1000")=$C10)
        ),
        5,
        FALSE
    )="",
    "",
    VLOOKUP(
        $A10,
        _xlfn._xlws.FILTER(
            INDIRECT("'"&amp;P$1&amp;"'!A2:G1000"), (INDIRECT("'"&amp;P$1&amp;"'!B2:B1000")=$B10) * (INDIRECT("'"&amp;P$1&amp;"'!C2:C1000")=$C10)
        ),7,
        FALSE
    )
)</f>
        <v/>
      </c>
      <c r="Q10" s="50">
        <f t="array" ref="Q10">IF(
    VLOOKUP(
        $A10,
        _xlfn._xlws.FILTER(
            INDIRECT("'"&amp;Q$1&amp;"'!A2:G1000"), (INDIRECT("'"&amp;Q$1&amp;"'!B2:B1000")=$B10) * (INDIRECT("'"&amp;Q$1&amp;"'!C2:C1000")=$C10)
        ),
        5,
        FALSE
    )="",
    "",
    VLOOKUP(
        $A10,
        _xlfn._xlws.FILTER(
            INDIRECT("'"&amp;Q$1&amp;"'!A2:G1000"), (INDIRECT("'"&amp;Q$1&amp;"'!B2:B1000")=$B10) * (INDIRECT("'"&amp;Q$1&amp;"'!C2:C1000")=$C10)
        ),7,
        FALSE
    )
)</f>
        <v/>
      </c>
    </row>
    <row r="11">
      <c r="A11" s="42" t="inlineStr">
        <is>
          <t>Bianca</t>
        </is>
      </c>
      <c r="B11" s="50" t="inlineStr">
        <is>
          <t>Iguatu</t>
        </is>
      </c>
      <c r="C11" s="50" t="n">
        <v>1</v>
      </c>
      <c r="D11" s="50">
        <f t="array" ref="D11">IF(
    VLOOKUP(
        $A11,
        _xlfn._xlws.FILTER(
            INDIRECT("'"&amp;D$1&amp;"'!A2:G1000"), (INDIRECT("'"&amp;D$1&amp;"'!B2:B1000")=$B11) * (INDIRECT("'"&amp;D$1&amp;"'!C2:C1000")=$C11)
        ),
        5,
        FALSE
    )="",
    "",
    VLOOKUP(
        $A11,
        _xlfn._xlws.FILTER(
            INDIRECT("'"&amp;D$1&amp;"'!A2:G1000"), (INDIRECT("'"&amp;D$1&amp;"'!B2:B1000")=$B11) * (INDIRECT("'"&amp;D$1&amp;"'!C2:C1000")=$C11)
        ),7,
        FALSE
    )
)</f>
        <v/>
      </c>
      <c r="E11" s="50">
        <f t="array" ref="E11">IF(
    VLOOKUP(
        $A11,
        _xlfn._xlws.FILTER(
            INDIRECT("'"&amp;E$1&amp;"'!A2:G1000"), (INDIRECT("'"&amp;E$1&amp;"'!B2:B1000")=$B11) * (INDIRECT("'"&amp;E$1&amp;"'!C2:C1000")=$C11)
        ),
        5,
        FALSE
    )="",
    "",
    VLOOKUP(
        $A11,
        _xlfn._xlws.FILTER(
            INDIRECT("'"&amp;E$1&amp;"'!A2:G1000"), (INDIRECT("'"&amp;E$1&amp;"'!B2:B1000")=$B11) * (INDIRECT("'"&amp;E$1&amp;"'!C2:C1000")=$C11)
        ),7,
        FALSE
    )
)</f>
        <v/>
      </c>
      <c r="F11" s="50">
        <f t="array" ref="F11">IF(
    VLOOKUP(
        $A11,
        _xlfn._xlws.FILTER(
            INDIRECT("'"&amp;F$1&amp;"'!A2:G1000"), (INDIRECT("'"&amp;F$1&amp;"'!B2:B1000")=$B11) * (INDIRECT("'"&amp;F$1&amp;"'!C2:C1000")=$C11)
        ),
        5,
        FALSE
    )="",
    "",
    VLOOKUP(
        $A11,
        _xlfn._xlws.FILTER(
            INDIRECT("'"&amp;F$1&amp;"'!A2:G1000"), (INDIRECT("'"&amp;F$1&amp;"'!B2:B1000")=$B11) * (INDIRECT("'"&amp;F$1&amp;"'!C2:C1000")=$C11)
        ),7,
        FALSE
    )
)</f>
        <v/>
      </c>
      <c r="G11" s="50">
        <f t="array" ref="G11">IF(
    VLOOKUP(
        $A11,
        _xlfn._xlws.FILTER(
            INDIRECT("'"&amp;G$1&amp;"'!A2:G1000"), (INDIRECT("'"&amp;G$1&amp;"'!B2:B1000")=$B11) * (INDIRECT("'"&amp;G$1&amp;"'!C2:C1000")=$C11)
        ),
        5,
        FALSE
    )="",
    "",
    VLOOKUP(
        $A11,
        _xlfn._xlws.FILTER(
            INDIRECT("'"&amp;G$1&amp;"'!A2:G1000"), (INDIRECT("'"&amp;G$1&amp;"'!B2:B1000")=$B11) * (INDIRECT("'"&amp;G$1&amp;"'!C2:C1000")=$C11)
        ),7,
        FALSE
    )
)</f>
        <v/>
      </c>
      <c r="H11" s="50">
        <f t="array" ref="H11">IF(
    VLOOKUP(
        $A11,
        _xlfn._xlws.FILTER(
            INDIRECT("'"&amp;H$1&amp;"'!A2:G1000"), (INDIRECT("'"&amp;H$1&amp;"'!B2:B1000")=$B11) * (INDIRECT("'"&amp;H$1&amp;"'!C2:C1000")=$C11)
        ),
        5,
        FALSE
    )="",
    "",
    VLOOKUP(
        $A11,
        _xlfn._xlws.FILTER(
            INDIRECT("'"&amp;H$1&amp;"'!A2:G1000"), (INDIRECT("'"&amp;H$1&amp;"'!B2:B1000")=$B11) * (INDIRECT("'"&amp;H$1&amp;"'!C2:C1000")=$C11)
        ),7,
        FALSE
    )
)</f>
        <v/>
      </c>
      <c r="I11" s="50">
        <f t="array" ref="I11">IF(
    VLOOKUP(
        $A11,
        _xlfn._xlws.FILTER(
            INDIRECT("'"&amp;I$1&amp;"'!A2:G1000"), (INDIRECT("'"&amp;I$1&amp;"'!B2:B1000")=$B11) * (INDIRECT("'"&amp;I$1&amp;"'!C2:C1000")=$C11)
        ),
        5,
        FALSE
    )="",
    "",
    VLOOKUP(
        $A11,
        _xlfn._xlws.FILTER(
            INDIRECT("'"&amp;I$1&amp;"'!A2:G1000"), (INDIRECT("'"&amp;I$1&amp;"'!B2:B1000")=$B11) * (INDIRECT("'"&amp;I$1&amp;"'!C2:C1000")=$C11)
        ),7,
        FALSE
    )
)</f>
        <v/>
      </c>
      <c r="J11" s="50">
        <f t="array" ref="J11">IF(
    VLOOKUP(
        $A11,
        _xlfn._xlws.FILTER(
            INDIRECT("'"&amp;J$1&amp;"'!A2:G1000"), (INDIRECT("'"&amp;J$1&amp;"'!B2:B1000")=$B11) * (INDIRECT("'"&amp;J$1&amp;"'!C2:C1000")=$C11)
        ),
        5,
        FALSE
    )="",
    "",
    VLOOKUP(
        $A11,
        _xlfn._xlws.FILTER(
            INDIRECT("'"&amp;J$1&amp;"'!A2:G1000"), (INDIRECT("'"&amp;J$1&amp;"'!B2:B1000")=$B11) * (INDIRECT("'"&amp;J$1&amp;"'!C2:C1000")=$C11)
        ),7,
        FALSE
    )
)</f>
        <v/>
      </c>
      <c r="K11" s="50">
        <f t="array" ref="K11">IF(
    VLOOKUP(
        $A11,
        _xlfn._xlws.FILTER(
            INDIRECT("'"&amp;K$1&amp;"'!A2:G1000"), (INDIRECT("'"&amp;K$1&amp;"'!B2:B1000")=$B11) * (INDIRECT("'"&amp;K$1&amp;"'!C2:C1000")=$C11)
        ),
        5,
        FALSE
    )="",
    "",
    VLOOKUP(
        $A11,
        _xlfn._xlws.FILTER(
            INDIRECT("'"&amp;K$1&amp;"'!A2:G1000"), (INDIRECT("'"&amp;K$1&amp;"'!B2:B1000")=$B11) * (INDIRECT("'"&amp;K$1&amp;"'!C2:C1000")=$C11)
        ),7,
        FALSE
    )
)</f>
        <v/>
      </c>
      <c r="L11" s="50">
        <f t="array" ref="L11">IF(
    VLOOKUP(
        $A11,
        _xlfn._xlws.FILTER(
            INDIRECT("'"&amp;L$1&amp;"'!A2:G1000"), (INDIRECT("'"&amp;L$1&amp;"'!B2:B1000")=$B11) * (INDIRECT("'"&amp;L$1&amp;"'!C2:C1000")=$C11)
        ),
        5,
        FALSE
    )="",
    "",
    VLOOKUP(
        $A11,
        _xlfn._xlws.FILTER(
            INDIRECT("'"&amp;L$1&amp;"'!A2:G1000"), (INDIRECT("'"&amp;L$1&amp;"'!B2:B1000")=$B11) * (INDIRECT("'"&amp;L$1&amp;"'!C2:C1000")=$C11)
        ),7,
        FALSE
    )
)</f>
        <v/>
      </c>
      <c r="M11" s="50">
        <f t="array" ref="M11">IF(
    VLOOKUP(
        $A11,
        _xlfn._xlws.FILTER(
            INDIRECT("'"&amp;M$1&amp;"'!A2:G1000"), (INDIRECT("'"&amp;M$1&amp;"'!B2:B1000")=$B11) * (INDIRECT("'"&amp;M$1&amp;"'!C2:C1000")=$C11)
        ),
        5,
        FALSE
    )="",
    "",
    VLOOKUP(
        $A11,
        _xlfn._xlws.FILTER(
            INDIRECT("'"&amp;M$1&amp;"'!A2:G1000"), (INDIRECT("'"&amp;M$1&amp;"'!B2:B1000")=$B11) * (INDIRECT("'"&amp;M$1&amp;"'!C2:C1000")=$C11)
        ),7,
        FALSE
    )
)</f>
        <v/>
      </c>
      <c r="N11" s="50">
        <f t="array" ref="N11">IF(
    VLOOKUP(
        $A11,
        _xlfn._xlws.FILTER(
            INDIRECT("'"&amp;N$1&amp;"'!A2:G1000"), (INDIRECT("'"&amp;N$1&amp;"'!B2:B1000")=$B11) * (INDIRECT("'"&amp;N$1&amp;"'!C2:C1000")=$C11)
        ),
        5,
        FALSE
    )="",
    "",
    VLOOKUP(
        $A11,
        _xlfn._xlws.FILTER(
            INDIRECT("'"&amp;N$1&amp;"'!A2:G1000"), (INDIRECT("'"&amp;N$1&amp;"'!B2:B1000")=$B11) * (INDIRECT("'"&amp;N$1&amp;"'!C2:C1000")=$C11)
        ),7,
        FALSE
    )
)</f>
        <v/>
      </c>
      <c r="O11" s="50">
        <f t="array" ref="O11">IF(
    VLOOKUP(
        $A11,
        _xlfn._xlws.FILTER(
            INDIRECT("'"&amp;O$1&amp;"'!A2:G1000"), (INDIRECT("'"&amp;O$1&amp;"'!B2:B1000")=$B11) * (INDIRECT("'"&amp;O$1&amp;"'!C2:C1000")=$C11)
        ),
        5,
        FALSE
    )="",
    "",
    VLOOKUP(
        $A11,
        _xlfn._xlws.FILTER(
            INDIRECT("'"&amp;O$1&amp;"'!A2:G1000"), (INDIRECT("'"&amp;O$1&amp;"'!B2:B1000")=$B11) * (INDIRECT("'"&amp;O$1&amp;"'!C2:C1000")=$C11)
        ),7,
        FALSE
    )
)</f>
        <v/>
      </c>
      <c r="P11" s="50">
        <f t="array" ref="P11">IF(
    VLOOKUP(
        $A11,
        _xlfn._xlws.FILTER(
            INDIRECT("'"&amp;P$1&amp;"'!A2:G1000"), (INDIRECT("'"&amp;P$1&amp;"'!B2:B1000")=$B11) * (INDIRECT("'"&amp;P$1&amp;"'!C2:C1000")=$C11)
        ),
        5,
        FALSE
    )="",
    "",
    VLOOKUP(
        $A11,
        _xlfn._xlws.FILTER(
            INDIRECT("'"&amp;P$1&amp;"'!A2:G1000"), (INDIRECT("'"&amp;P$1&amp;"'!B2:B1000")=$B11) * (INDIRECT("'"&amp;P$1&amp;"'!C2:C1000")=$C11)
        ),7,
        FALSE
    )
)</f>
        <v/>
      </c>
      <c r="Q11" s="50">
        <f t="array" ref="Q11">IF(
    VLOOKUP(
        $A11,
        _xlfn._xlws.FILTER(
            INDIRECT("'"&amp;Q$1&amp;"'!A2:G1000"), (INDIRECT("'"&amp;Q$1&amp;"'!B2:B1000")=$B11) * (INDIRECT("'"&amp;Q$1&amp;"'!C2:C1000")=$C11)
        ),
        5,
        FALSE
    )="",
    "",
    VLOOKUP(
        $A11,
        _xlfn._xlws.FILTER(
            INDIRECT("'"&amp;Q$1&amp;"'!A2:G1000"), (INDIRECT("'"&amp;Q$1&amp;"'!B2:B1000")=$B11) * (INDIRECT("'"&amp;Q$1&amp;"'!C2:C1000")=$C11)
        ),7,
        FALSE
    )
)</f>
        <v/>
      </c>
    </row>
    <row r="12">
      <c r="A12" s="42" t="inlineStr">
        <is>
          <t>Bianca</t>
        </is>
      </c>
      <c r="B12" s="50" t="inlineStr">
        <is>
          <t>Tres Barras do Parana</t>
        </is>
      </c>
      <c r="C12" s="50" t="n">
        <v>1</v>
      </c>
      <c r="D12" s="50">
        <f t="array" ref="D12">IF(
    VLOOKUP(
        $A12,
        _xlfn._xlws.FILTER(
            INDIRECT("'"&amp;D$1&amp;"'!A2:G1000"), (INDIRECT("'"&amp;D$1&amp;"'!B2:B1000")=$B12) * (INDIRECT("'"&amp;D$1&amp;"'!C2:C1000")=$C12)
        ),
        5,
        FALSE
    )="",
    "",
    VLOOKUP(
        $A12,
        _xlfn._xlws.FILTER(
            INDIRECT("'"&amp;D$1&amp;"'!A2:G1000"), (INDIRECT("'"&amp;D$1&amp;"'!B2:B1000")=$B12) * (INDIRECT("'"&amp;D$1&amp;"'!C2:C1000")=$C12)
        ),7,
        FALSE
    )
)</f>
        <v/>
      </c>
      <c r="E12" s="50">
        <f t="array" ref="E12">IF(
    VLOOKUP(
        $A12,
        _xlfn._xlws.FILTER(
            INDIRECT("'"&amp;E$1&amp;"'!A2:G1000"), (INDIRECT("'"&amp;E$1&amp;"'!B2:B1000")=$B12) * (INDIRECT("'"&amp;E$1&amp;"'!C2:C1000")=$C12)
        ),
        5,
        FALSE
    )="",
    "",
    VLOOKUP(
        $A12,
        _xlfn._xlws.FILTER(
            INDIRECT("'"&amp;E$1&amp;"'!A2:G1000"), (INDIRECT("'"&amp;E$1&amp;"'!B2:B1000")=$B12) * (INDIRECT("'"&amp;E$1&amp;"'!C2:C1000")=$C12)
        ),7,
        FALSE
    )
)</f>
        <v/>
      </c>
      <c r="F12" s="50">
        <f t="array" ref="F12">IF(
    VLOOKUP(
        $A12,
        _xlfn._xlws.FILTER(
            INDIRECT("'"&amp;F$1&amp;"'!A2:G1000"), (INDIRECT("'"&amp;F$1&amp;"'!B2:B1000")=$B12) * (INDIRECT("'"&amp;F$1&amp;"'!C2:C1000")=$C12)
        ),
        5,
        FALSE
    )="",
    "",
    VLOOKUP(
        $A12,
        _xlfn._xlws.FILTER(
            INDIRECT("'"&amp;F$1&amp;"'!A2:G1000"), (INDIRECT("'"&amp;F$1&amp;"'!B2:B1000")=$B12) * (INDIRECT("'"&amp;F$1&amp;"'!C2:C1000")=$C12)
        ),7,
        FALSE
    )
)</f>
        <v/>
      </c>
      <c r="G12" s="50">
        <f t="array" ref="G12">IF(
    VLOOKUP(
        $A12,
        _xlfn._xlws.FILTER(
            INDIRECT("'"&amp;G$1&amp;"'!A2:G1000"), (INDIRECT("'"&amp;G$1&amp;"'!B2:B1000")=$B12) * (INDIRECT("'"&amp;G$1&amp;"'!C2:C1000")=$C12)
        ),
        5,
        FALSE
    )="",
    "",
    VLOOKUP(
        $A12,
        _xlfn._xlws.FILTER(
            INDIRECT("'"&amp;G$1&amp;"'!A2:G1000"), (INDIRECT("'"&amp;G$1&amp;"'!B2:B1000")=$B12) * (INDIRECT("'"&amp;G$1&amp;"'!C2:C1000")=$C12)
        ),7,
        FALSE
    )
)</f>
        <v/>
      </c>
      <c r="H12" s="50">
        <f t="array" ref="H12">IF(
    VLOOKUP(
        $A12,
        _xlfn._xlws.FILTER(
            INDIRECT("'"&amp;H$1&amp;"'!A2:G1000"), (INDIRECT("'"&amp;H$1&amp;"'!B2:B1000")=$B12) * (INDIRECT("'"&amp;H$1&amp;"'!C2:C1000")=$C12)
        ),
        5,
        FALSE
    )="",
    "",
    VLOOKUP(
        $A12,
        _xlfn._xlws.FILTER(
            INDIRECT("'"&amp;H$1&amp;"'!A2:G1000"), (INDIRECT("'"&amp;H$1&amp;"'!B2:B1000")=$B12) * (INDIRECT("'"&amp;H$1&amp;"'!C2:C1000")=$C12)
        ),7,
        FALSE
    )
)</f>
        <v/>
      </c>
      <c r="I12" s="50">
        <f t="array" ref="I12">IF(
    VLOOKUP(
        $A12,
        _xlfn._xlws.FILTER(
            INDIRECT("'"&amp;I$1&amp;"'!A2:G1000"), (INDIRECT("'"&amp;I$1&amp;"'!B2:B1000")=$B12) * (INDIRECT("'"&amp;I$1&amp;"'!C2:C1000")=$C12)
        ),
        5,
        FALSE
    )="",
    "",
    VLOOKUP(
        $A12,
        _xlfn._xlws.FILTER(
            INDIRECT("'"&amp;I$1&amp;"'!A2:G1000"), (INDIRECT("'"&amp;I$1&amp;"'!B2:B1000")=$B12) * (INDIRECT("'"&amp;I$1&amp;"'!C2:C1000")=$C12)
        ),7,
        FALSE
    )
)</f>
        <v/>
      </c>
      <c r="J12" s="50">
        <f t="array" ref="J12">IF(
    VLOOKUP(
        $A12,
        _xlfn._xlws.FILTER(
            INDIRECT("'"&amp;J$1&amp;"'!A2:G1000"), (INDIRECT("'"&amp;J$1&amp;"'!B2:B1000")=$B12) * (INDIRECT("'"&amp;J$1&amp;"'!C2:C1000")=$C12)
        ),
        5,
        FALSE
    )="",
    "",
    VLOOKUP(
        $A12,
        _xlfn._xlws.FILTER(
            INDIRECT("'"&amp;J$1&amp;"'!A2:G1000"), (INDIRECT("'"&amp;J$1&amp;"'!B2:B1000")=$B12) * (INDIRECT("'"&amp;J$1&amp;"'!C2:C1000")=$C12)
        ),7,
        FALSE
    )
)</f>
        <v/>
      </c>
      <c r="K12" s="50">
        <f t="array" ref="K12">IF(
    VLOOKUP(
        $A12,
        _xlfn._xlws.FILTER(
            INDIRECT("'"&amp;K$1&amp;"'!A2:G1000"), (INDIRECT("'"&amp;K$1&amp;"'!B2:B1000")=$B12) * (INDIRECT("'"&amp;K$1&amp;"'!C2:C1000")=$C12)
        ),
        5,
        FALSE
    )="",
    "",
    VLOOKUP(
        $A12,
        _xlfn._xlws.FILTER(
            INDIRECT("'"&amp;K$1&amp;"'!A2:G1000"), (INDIRECT("'"&amp;K$1&amp;"'!B2:B1000")=$B12) * (INDIRECT("'"&amp;K$1&amp;"'!C2:C1000")=$C12)
        ),7,
        FALSE
    )
)</f>
        <v/>
      </c>
      <c r="L12" s="50">
        <f t="array" ref="L12">IF(
    VLOOKUP(
        $A12,
        _xlfn._xlws.FILTER(
            INDIRECT("'"&amp;L$1&amp;"'!A2:G1000"), (INDIRECT("'"&amp;L$1&amp;"'!B2:B1000")=$B12) * (INDIRECT("'"&amp;L$1&amp;"'!C2:C1000")=$C12)
        ),
        5,
        FALSE
    )="",
    "",
    VLOOKUP(
        $A12,
        _xlfn._xlws.FILTER(
            INDIRECT("'"&amp;L$1&amp;"'!A2:G1000"), (INDIRECT("'"&amp;L$1&amp;"'!B2:B1000")=$B12) * (INDIRECT("'"&amp;L$1&amp;"'!C2:C1000")=$C12)
        ),7,
        FALSE
    )
)</f>
        <v/>
      </c>
      <c r="M12" s="50">
        <f t="array" ref="M12">IF(
    VLOOKUP(
        $A12,
        _xlfn._xlws.FILTER(
            INDIRECT("'"&amp;M$1&amp;"'!A2:G1000"), (INDIRECT("'"&amp;M$1&amp;"'!B2:B1000")=$B12) * (INDIRECT("'"&amp;M$1&amp;"'!C2:C1000")=$C12)
        ),
        5,
        FALSE
    )="",
    "",
    VLOOKUP(
        $A12,
        _xlfn._xlws.FILTER(
            INDIRECT("'"&amp;M$1&amp;"'!A2:G1000"), (INDIRECT("'"&amp;M$1&amp;"'!B2:B1000")=$B12) * (INDIRECT("'"&amp;M$1&amp;"'!C2:C1000")=$C12)
        ),7,
        FALSE
    )
)</f>
        <v/>
      </c>
      <c r="N12" s="50">
        <f t="array" ref="N12">IF(
    VLOOKUP(
        $A12,
        _xlfn._xlws.FILTER(
            INDIRECT("'"&amp;N$1&amp;"'!A2:G1000"), (INDIRECT("'"&amp;N$1&amp;"'!B2:B1000")=$B12) * (INDIRECT("'"&amp;N$1&amp;"'!C2:C1000")=$C12)
        ),
        5,
        FALSE
    )="",
    "",
    VLOOKUP(
        $A12,
        _xlfn._xlws.FILTER(
            INDIRECT("'"&amp;N$1&amp;"'!A2:G1000"), (INDIRECT("'"&amp;N$1&amp;"'!B2:B1000")=$B12) * (INDIRECT("'"&amp;N$1&amp;"'!C2:C1000")=$C12)
        ),7,
        FALSE
    )
)</f>
        <v/>
      </c>
      <c r="O12" s="50">
        <f t="array" ref="O12">IF(
    VLOOKUP(
        $A12,
        _xlfn._xlws.FILTER(
            INDIRECT("'"&amp;O$1&amp;"'!A2:G1000"), (INDIRECT("'"&amp;O$1&amp;"'!B2:B1000")=$B12) * (INDIRECT("'"&amp;O$1&amp;"'!C2:C1000")=$C12)
        ),
        5,
        FALSE
    )="",
    "",
    VLOOKUP(
        $A12,
        _xlfn._xlws.FILTER(
            INDIRECT("'"&amp;O$1&amp;"'!A2:G1000"), (INDIRECT("'"&amp;O$1&amp;"'!B2:B1000")=$B12) * (INDIRECT("'"&amp;O$1&amp;"'!C2:C1000")=$C12)
        ),7,
        FALSE
    )
)</f>
        <v/>
      </c>
      <c r="P12" s="50">
        <f t="array" ref="P12">IF(
    VLOOKUP(
        $A12,
        _xlfn._xlws.FILTER(
            INDIRECT("'"&amp;P$1&amp;"'!A2:G1000"), (INDIRECT("'"&amp;P$1&amp;"'!B2:B1000")=$B12) * (INDIRECT("'"&amp;P$1&amp;"'!C2:C1000")=$C12)
        ),
        5,
        FALSE
    )="",
    "",
    VLOOKUP(
        $A12,
        _xlfn._xlws.FILTER(
            INDIRECT("'"&amp;P$1&amp;"'!A2:G1000"), (INDIRECT("'"&amp;P$1&amp;"'!B2:B1000")=$B12) * (INDIRECT("'"&amp;P$1&amp;"'!C2:C1000")=$C12)
        ),7,
        FALSE
    )
)</f>
        <v/>
      </c>
      <c r="Q12" s="50">
        <f t="array" ref="Q12">IF(
    VLOOKUP(
        $A12,
        _xlfn._xlws.FILTER(
            INDIRECT("'"&amp;Q$1&amp;"'!A2:G1000"), (INDIRECT("'"&amp;Q$1&amp;"'!B2:B1000")=$B12) * (INDIRECT("'"&amp;Q$1&amp;"'!C2:C1000")=$C12)
        ),
        5,
        FALSE
    )="",
    "",
    VLOOKUP(
        $A12,
        _xlfn._xlws.FILTER(
            INDIRECT("'"&amp;Q$1&amp;"'!A2:G1000"), (INDIRECT("'"&amp;Q$1&amp;"'!B2:B1000")=$B12) * (INDIRECT("'"&amp;Q$1&amp;"'!C2:C1000")=$C12)
        ),7,
        FALSE
    )
)</f>
        <v/>
      </c>
    </row>
    <row r="13">
      <c r="A13" s="87" t="n"/>
      <c r="B13" s="87" t="n"/>
      <c r="C13" s="87" t="n"/>
    </row>
    <row r="14" ht="15.75" customHeight="1">
      <c r="A14" s="105" t="inlineStr">
        <is>
          <t>Regional</t>
        </is>
      </c>
      <c r="B14" s="98" t="inlineStr">
        <is>
          <t>Municípios</t>
        </is>
      </c>
      <c r="C14" s="98" t="inlineStr">
        <is>
          <t>UVR</t>
        </is>
      </c>
      <c r="D14" s="111" t="inlineStr">
        <is>
          <t>11.24</t>
        </is>
      </c>
      <c r="E14" s="111" t="inlineStr">
        <is>
          <t>12.24</t>
        </is>
      </c>
      <c r="F14" s="111" t="inlineStr">
        <is>
          <t>01.25</t>
        </is>
      </c>
      <c r="G14" s="111" t="inlineStr">
        <is>
          <t>02.25</t>
        </is>
      </c>
      <c r="H14" s="111" t="inlineStr">
        <is>
          <t>03.25</t>
        </is>
      </c>
      <c r="I14" s="111" t="inlineStr">
        <is>
          <t>04.25</t>
        </is>
      </c>
      <c r="J14" s="111" t="inlineStr">
        <is>
          <t>05.25</t>
        </is>
      </c>
      <c r="K14" s="111" t="inlineStr">
        <is>
          <t>06.25</t>
        </is>
      </c>
      <c r="L14" s="111" t="inlineStr">
        <is>
          <t>07.25</t>
        </is>
      </c>
      <c r="M14" s="111" t="inlineStr">
        <is>
          <t>08.25</t>
        </is>
      </c>
      <c r="N14" s="111" t="inlineStr">
        <is>
          <t>09.25</t>
        </is>
      </c>
      <c r="O14" s="111" t="inlineStr">
        <is>
          <t>10.25</t>
        </is>
      </c>
      <c r="P14" s="111" t="inlineStr">
        <is>
          <t>11.25</t>
        </is>
      </c>
      <c r="Q14" s="111" t="inlineStr">
        <is>
          <t>12.25</t>
        </is>
      </c>
    </row>
    <row r="15">
      <c r="A15" s="106" t="inlineStr">
        <is>
          <t>Gabriel</t>
        </is>
      </c>
      <c r="B15" s="50" t="inlineStr">
        <is>
          <t>Altônia</t>
        </is>
      </c>
      <c r="C15" s="50" t="n">
        <v>1</v>
      </c>
      <c r="D15" s="50">
        <f t="array" ref="D15">IF(
    VLOOKUP(
        $A15,
        _xlfn._xlws.FILTER(
            INDIRECT("'"&amp;D$1&amp;"'!A2:G1000"), (INDIRECT("'"&amp;D$1&amp;"'!B2:B1000")=$B15) * (INDIRECT("'"&amp;D$1&amp;"'!C2:C1000")=$C15)
        ),
        5,
        FALSE
    )="",
    "",
    VLOOKUP(
        $A15,
        _xlfn._xlws.FILTER(
            INDIRECT("'"&amp;D$1&amp;"'!A2:G1000"), (INDIRECT("'"&amp;D$1&amp;"'!B2:B1000")=$B15) * (INDIRECT("'"&amp;D$1&amp;"'!C2:C1000")=$C15)
        ),7,
        FALSE
    )
)</f>
        <v/>
      </c>
      <c r="E15" s="50">
        <f t="array" ref="E15">IF(
    VLOOKUP(
        $A15,
        _xlfn._xlws.FILTER(
            INDIRECT("'"&amp;E$1&amp;"'!A2:G1000"), (INDIRECT("'"&amp;E$1&amp;"'!B2:B1000")=$B15) * (INDIRECT("'"&amp;E$1&amp;"'!C2:C1000")=$C15)
        ),
        5,
        FALSE
    )="",
    "",
    VLOOKUP(
        $A15,
        _xlfn._xlws.FILTER(
            INDIRECT("'"&amp;E$1&amp;"'!A2:G1000"), (INDIRECT("'"&amp;E$1&amp;"'!B2:B1000")=$B15) * (INDIRECT("'"&amp;E$1&amp;"'!C2:C1000")=$C15)
        ),7,
        FALSE
    )
)</f>
        <v/>
      </c>
      <c r="F15" s="50">
        <f t="array" ref="F15">IF(
    VLOOKUP(
        $A15,
        _xlfn._xlws.FILTER(
            INDIRECT("'"&amp;F$1&amp;"'!A2:G1000"), (INDIRECT("'"&amp;F$1&amp;"'!B2:B1000")=$B15) * (INDIRECT("'"&amp;F$1&amp;"'!C2:C1000")=$C15)
        ),
        5,
        FALSE
    )="",
    "",
    VLOOKUP(
        $A15,
        _xlfn._xlws.FILTER(
            INDIRECT("'"&amp;F$1&amp;"'!A2:G1000"), (INDIRECT("'"&amp;F$1&amp;"'!B2:B1000")=$B15) * (INDIRECT("'"&amp;F$1&amp;"'!C2:C1000")=$C15)
        ),7,
        FALSE
    )
)</f>
        <v/>
      </c>
      <c r="G15" s="50">
        <f t="array" ref="G15">IF(
    VLOOKUP(
        $A15,
        _xlfn._xlws.FILTER(
            INDIRECT("'"&amp;G$1&amp;"'!A2:G1000"), (INDIRECT("'"&amp;G$1&amp;"'!B2:B1000")=$B15) * (INDIRECT("'"&amp;G$1&amp;"'!C2:C1000")=$C15)
        ),
        5,
        FALSE
    )="",
    "",
    VLOOKUP(
        $A15,
        _xlfn._xlws.FILTER(
            INDIRECT("'"&amp;G$1&amp;"'!A2:G1000"), (INDIRECT("'"&amp;G$1&amp;"'!B2:B1000")=$B15) * (INDIRECT("'"&amp;G$1&amp;"'!C2:C1000")=$C15)
        ),7,
        FALSE
    )
)</f>
        <v/>
      </c>
      <c r="H15" s="50">
        <f t="array" ref="H15">IF(
    VLOOKUP(
        $A15,
        _xlfn._xlws.FILTER(
            INDIRECT("'"&amp;H$1&amp;"'!A2:G1000"), (INDIRECT("'"&amp;H$1&amp;"'!B2:B1000")=$B15) * (INDIRECT("'"&amp;H$1&amp;"'!C2:C1000")=$C15)
        ),
        5,
        FALSE
    )="",
    "",
    VLOOKUP(
        $A15,
        _xlfn._xlws.FILTER(
            INDIRECT("'"&amp;H$1&amp;"'!A2:G1000"), (INDIRECT("'"&amp;H$1&amp;"'!B2:B1000")=$B15) * (INDIRECT("'"&amp;H$1&amp;"'!C2:C1000")=$C15)
        ),7,
        FALSE
    )
)</f>
        <v/>
      </c>
      <c r="I15" s="50">
        <f t="array" ref="I15">IF(
    VLOOKUP(
        $A15,
        _xlfn._xlws.FILTER(
            INDIRECT("'"&amp;I$1&amp;"'!A2:G1000"), (INDIRECT("'"&amp;I$1&amp;"'!B2:B1000")=$B15) * (INDIRECT("'"&amp;I$1&amp;"'!C2:C1000")=$C15)
        ),
        5,
        FALSE
    )="",
    "",
    VLOOKUP(
        $A15,
        _xlfn._xlws.FILTER(
            INDIRECT("'"&amp;I$1&amp;"'!A2:G1000"), (INDIRECT("'"&amp;I$1&amp;"'!B2:B1000")=$B15) * (INDIRECT("'"&amp;I$1&amp;"'!C2:C1000")=$C15)
        ),7,
        FALSE
    )
)</f>
        <v/>
      </c>
      <c r="J15" s="50">
        <f t="array" ref="J15">IF(
    VLOOKUP(
        $A15,
        _xlfn._xlws.FILTER(
            INDIRECT("'"&amp;J$1&amp;"'!A2:G1000"), (INDIRECT("'"&amp;J$1&amp;"'!B2:B1000")=$B15) * (INDIRECT("'"&amp;J$1&amp;"'!C2:C1000")=$C15)
        ),
        5,
        FALSE
    )="",
    "",
    VLOOKUP(
        $A15,
        _xlfn._xlws.FILTER(
            INDIRECT("'"&amp;J$1&amp;"'!A2:G1000"), (INDIRECT("'"&amp;J$1&amp;"'!B2:B1000")=$B15) * (INDIRECT("'"&amp;J$1&amp;"'!C2:C1000")=$C15)
        ),7,
        FALSE
    )
)</f>
        <v/>
      </c>
      <c r="K15" s="50">
        <f t="array" ref="K15">IF(
    VLOOKUP(
        $A15,
        _xlfn._xlws.FILTER(
            INDIRECT("'"&amp;K$1&amp;"'!A2:G1000"), (INDIRECT("'"&amp;K$1&amp;"'!B2:B1000")=$B15) * (INDIRECT("'"&amp;K$1&amp;"'!C2:C1000")=$C15)
        ),
        5,
        FALSE
    )="",
    "",
    VLOOKUP(
        $A15,
        _xlfn._xlws.FILTER(
            INDIRECT("'"&amp;K$1&amp;"'!A2:G1000"), (INDIRECT("'"&amp;K$1&amp;"'!B2:B1000")=$B15) * (INDIRECT("'"&amp;K$1&amp;"'!C2:C1000")=$C15)
        ),7,
        FALSE
    )
)</f>
        <v/>
      </c>
      <c r="L15" s="50">
        <f t="array" ref="L15">IF(
    VLOOKUP(
        $A15,
        _xlfn._xlws.FILTER(
            INDIRECT("'"&amp;L$1&amp;"'!A2:G1000"), (INDIRECT("'"&amp;L$1&amp;"'!B2:B1000")=$B15) * (INDIRECT("'"&amp;L$1&amp;"'!C2:C1000")=$C15)
        ),
        5,
        FALSE
    )="",
    "",
    VLOOKUP(
        $A15,
        _xlfn._xlws.FILTER(
            INDIRECT("'"&amp;L$1&amp;"'!A2:G1000"), (INDIRECT("'"&amp;L$1&amp;"'!B2:B1000")=$B15) * (INDIRECT("'"&amp;L$1&amp;"'!C2:C1000")=$C15)
        ),7,
        FALSE
    )
)</f>
        <v/>
      </c>
      <c r="M15" s="50">
        <f t="array" ref="M15">IF(
    VLOOKUP(
        $A15,
        _xlfn._xlws.FILTER(
            INDIRECT("'"&amp;M$1&amp;"'!A2:G1000"), (INDIRECT("'"&amp;M$1&amp;"'!B2:B1000")=$B15) * (INDIRECT("'"&amp;M$1&amp;"'!C2:C1000")=$C15)
        ),
        5,
        FALSE
    )="",
    "",
    VLOOKUP(
        $A15,
        _xlfn._xlws.FILTER(
            INDIRECT("'"&amp;M$1&amp;"'!A2:G1000"), (INDIRECT("'"&amp;M$1&amp;"'!B2:B1000")=$B15) * (INDIRECT("'"&amp;M$1&amp;"'!C2:C1000")=$C15)
        ),7,
        FALSE
    )
)</f>
        <v/>
      </c>
      <c r="N15" s="50">
        <f t="array" ref="N15">IF(
    VLOOKUP(
        $A15,
        _xlfn._xlws.FILTER(
            INDIRECT("'"&amp;N$1&amp;"'!A2:G1000"), (INDIRECT("'"&amp;N$1&amp;"'!B2:B1000")=$B15) * (INDIRECT("'"&amp;N$1&amp;"'!C2:C1000")=$C15)
        ),
        5,
        FALSE
    )="",
    "",
    VLOOKUP(
        $A15,
        _xlfn._xlws.FILTER(
            INDIRECT("'"&amp;N$1&amp;"'!A2:G1000"), (INDIRECT("'"&amp;N$1&amp;"'!B2:B1000")=$B15) * (INDIRECT("'"&amp;N$1&amp;"'!C2:C1000")=$C15)
        ),7,
        FALSE
    )
)</f>
        <v/>
      </c>
      <c r="O15" s="50">
        <f t="array" ref="O15">IF(
    VLOOKUP(
        $A15,
        _xlfn._xlws.FILTER(
            INDIRECT("'"&amp;O$1&amp;"'!A2:G1000"), (INDIRECT("'"&amp;O$1&amp;"'!B2:B1000")=$B15) * (INDIRECT("'"&amp;O$1&amp;"'!C2:C1000")=$C15)
        ),
        5,
        FALSE
    )="",
    "",
    VLOOKUP(
        $A15,
        _xlfn._xlws.FILTER(
            INDIRECT("'"&amp;O$1&amp;"'!A2:G1000"), (INDIRECT("'"&amp;O$1&amp;"'!B2:B1000")=$B15) * (INDIRECT("'"&amp;O$1&amp;"'!C2:C1000")=$C15)
        ),7,
        FALSE
    )
)</f>
        <v/>
      </c>
      <c r="P15" s="50">
        <f t="array" ref="P15">IF(
    VLOOKUP(
        $A15,
        _xlfn._xlws.FILTER(
            INDIRECT("'"&amp;P$1&amp;"'!A2:G1000"), (INDIRECT("'"&amp;P$1&amp;"'!B2:B1000")=$B15) * (INDIRECT("'"&amp;P$1&amp;"'!C2:C1000")=$C15)
        ),
        5,
        FALSE
    )="",
    "",
    VLOOKUP(
        $A15,
        _xlfn._xlws.FILTER(
            INDIRECT("'"&amp;P$1&amp;"'!A2:G1000"), (INDIRECT("'"&amp;P$1&amp;"'!B2:B1000")=$B15) * (INDIRECT("'"&amp;P$1&amp;"'!C2:C1000")=$C15)
        ),7,
        FALSE
    )
)</f>
        <v/>
      </c>
      <c r="Q15" s="50">
        <f t="array" ref="Q15">IF(
    VLOOKUP(
        $A15,
        _xlfn._xlws.FILTER(
            INDIRECT("'"&amp;Q$1&amp;"'!A2:G1000"), (INDIRECT("'"&amp;Q$1&amp;"'!B2:B1000")=$B15) * (INDIRECT("'"&amp;Q$1&amp;"'!C2:C1000")=$C15)
        ),
        5,
        FALSE
    )="",
    "",
    VLOOKUP(
        $A15,
        _xlfn._xlws.FILTER(
            INDIRECT("'"&amp;Q$1&amp;"'!A2:G1000"), (INDIRECT("'"&amp;Q$1&amp;"'!B2:B1000")=$B15) * (INDIRECT("'"&amp;Q$1&amp;"'!C2:C1000")=$C15)
        ),7,
        FALSE
    )
)</f>
        <v/>
      </c>
    </row>
    <row r="16">
      <c r="A16" s="106" t="inlineStr">
        <is>
          <t>Gabriel</t>
        </is>
      </c>
      <c r="B16" s="50" t="inlineStr">
        <is>
          <t>Francisco Alves</t>
        </is>
      </c>
      <c r="C16" s="50" t="n">
        <v>1</v>
      </c>
      <c r="D16" s="50">
        <f t="array" ref="D16">IF(
    VLOOKUP(
        $A16,
        _xlfn._xlws.FILTER(
            INDIRECT("'"&amp;D$1&amp;"'!A2:G1000"), (INDIRECT("'"&amp;D$1&amp;"'!B2:B1000")=$B16) * (INDIRECT("'"&amp;D$1&amp;"'!C2:C1000")=$C16)
        ),
        5,
        FALSE
    )="",
    "",
    VLOOKUP(
        $A16,
        _xlfn._xlws.FILTER(
            INDIRECT("'"&amp;D$1&amp;"'!A2:G1000"), (INDIRECT("'"&amp;D$1&amp;"'!B2:B1000")=$B16) * (INDIRECT("'"&amp;D$1&amp;"'!C2:C1000")=$C16)
        ),7,
        FALSE
    )
)</f>
        <v/>
      </c>
      <c r="E16" s="50">
        <f t="array" ref="E16">IF(
    VLOOKUP(
        $A16,
        _xlfn._xlws.FILTER(
            INDIRECT("'"&amp;E$1&amp;"'!A2:G1000"), (INDIRECT("'"&amp;E$1&amp;"'!B2:B1000")=$B16) * (INDIRECT("'"&amp;E$1&amp;"'!C2:C1000")=$C16)
        ),
        5,
        FALSE
    )="",
    "",
    VLOOKUP(
        $A16,
        _xlfn._xlws.FILTER(
            INDIRECT("'"&amp;E$1&amp;"'!A2:G1000"), (INDIRECT("'"&amp;E$1&amp;"'!B2:B1000")=$B16) * (INDIRECT("'"&amp;E$1&amp;"'!C2:C1000")=$C16)
        ),7,
        FALSE
    )
)</f>
        <v/>
      </c>
      <c r="F16" s="50">
        <f t="array" ref="F16">IF(
    VLOOKUP(
        $A16,
        _xlfn._xlws.FILTER(
            INDIRECT("'"&amp;F$1&amp;"'!A2:G1000"), (INDIRECT("'"&amp;F$1&amp;"'!B2:B1000")=$B16) * (INDIRECT("'"&amp;F$1&amp;"'!C2:C1000")=$C16)
        ),
        5,
        FALSE
    )="",
    "",
    VLOOKUP(
        $A16,
        _xlfn._xlws.FILTER(
            INDIRECT("'"&amp;F$1&amp;"'!A2:G1000"), (INDIRECT("'"&amp;F$1&amp;"'!B2:B1000")=$B16) * (INDIRECT("'"&amp;F$1&amp;"'!C2:C1000")=$C16)
        ),7,
        FALSE
    )
)</f>
        <v/>
      </c>
      <c r="G16" s="50">
        <f t="array" ref="G16">IF(
    VLOOKUP(
        $A16,
        _xlfn._xlws.FILTER(
            INDIRECT("'"&amp;G$1&amp;"'!A2:G1000"), (INDIRECT("'"&amp;G$1&amp;"'!B2:B1000")=$B16) * (INDIRECT("'"&amp;G$1&amp;"'!C2:C1000")=$C16)
        ),
        5,
        FALSE
    )="",
    "",
    VLOOKUP(
        $A16,
        _xlfn._xlws.FILTER(
            INDIRECT("'"&amp;G$1&amp;"'!A2:G1000"), (INDIRECT("'"&amp;G$1&amp;"'!B2:B1000")=$B16) * (INDIRECT("'"&amp;G$1&amp;"'!C2:C1000")=$C16)
        ),7,
        FALSE
    )
)</f>
        <v/>
      </c>
      <c r="H16" s="50">
        <f t="array" ref="H16">IF(
    VLOOKUP(
        $A16,
        _xlfn._xlws.FILTER(
            INDIRECT("'"&amp;H$1&amp;"'!A2:G1000"), (INDIRECT("'"&amp;H$1&amp;"'!B2:B1000")=$B16) * (INDIRECT("'"&amp;H$1&amp;"'!C2:C1000")=$C16)
        ),
        5,
        FALSE
    )="",
    "",
    VLOOKUP(
        $A16,
        _xlfn._xlws.FILTER(
            INDIRECT("'"&amp;H$1&amp;"'!A2:G1000"), (INDIRECT("'"&amp;H$1&amp;"'!B2:B1000")=$B16) * (INDIRECT("'"&amp;H$1&amp;"'!C2:C1000")=$C16)
        ),7,
        FALSE
    )
)</f>
        <v/>
      </c>
      <c r="I16" s="50">
        <f t="array" ref="I16">IF(
    VLOOKUP(
        $A16,
        _xlfn._xlws.FILTER(
            INDIRECT("'"&amp;I$1&amp;"'!A2:G1000"), (INDIRECT("'"&amp;I$1&amp;"'!B2:B1000")=$B16) * (INDIRECT("'"&amp;I$1&amp;"'!C2:C1000")=$C16)
        ),
        5,
        FALSE
    )="",
    "",
    VLOOKUP(
        $A16,
        _xlfn._xlws.FILTER(
            INDIRECT("'"&amp;I$1&amp;"'!A2:G1000"), (INDIRECT("'"&amp;I$1&amp;"'!B2:B1000")=$B16) * (INDIRECT("'"&amp;I$1&amp;"'!C2:C1000")=$C16)
        ),7,
        FALSE
    )
)</f>
        <v/>
      </c>
      <c r="J16" s="50">
        <f t="array" ref="J16">IF(
    VLOOKUP(
        $A16,
        _xlfn._xlws.FILTER(
            INDIRECT("'"&amp;J$1&amp;"'!A2:G1000"), (INDIRECT("'"&amp;J$1&amp;"'!B2:B1000")=$B16) * (INDIRECT("'"&amp;J$1&amp;"'!C2:C1000")=$C16)
        ),
        5,
        FALSE
    )="",
    "",
    VLOOKUP(
        $A16,
        _xlfn._xlws.FILTER(
            INDIRECT("'"&amp;J$1&amp;"'!A2:G1000"), (INDIRECT("'"&amp;J$1&amp;"'!B2:B1000")=$B16) * (INDIRECT("'"&amp;J$1&amp;"'!C2:C1000")=$C16)
        ),7,
        FALSE
    )
)</f>
        <v/>
      </c>
      <c r="K16" s="50">
        <f t="array" ref="K16">IF(
    VLOOKUP(
        $A16,
        _xlfn._xlws.FILTER(
            INDIRECT("'"&amp;K$1&amp;"'!A2:G1000"), (INDIRECT("'"&amp;K$1&amp;"'!B2:B1000")=$B16) * (INDIRECT("'"&amp;K$1&amp;"'!C2:C1000")=$C16)
        ),
        5,
        FALSE
    )="",
    "",
    VLOOKUP(
        $A16,
        _xlfn._xlws.FILTER(
            INDIRECT("'"&amp;K$1&amp;"'!A2:G1000"), (INDIRECT("'"&amp;K$1&amp;"'!B2:B1000")=$B16) * (INDIRECT("'"&amp;K$1&amp;"'!C2:C1000")=$C16)
        ),7,
        FALSE
    )
)</f>
        <v/>
      </c>
      <c r="L16" s="50">
        <f t="array" ref="L16">IF(
    VLOOKUP(
        $A16,
        _xlfn._xlws.FILTER(
            INDIRECT("'"&amp;L$1&amp;"'!A2:G1000"), (INDIRECT("'"&amp;L$1&amp;"'!B2:B1000")=$B16) * (INDIRECT("'"&amp;L$1&amp;"'!C2:C1000")=$C16)
        ),
        5,
        FALSE
    )="",
    "",
    VLOOKUP(
        $A16,
        _xlfn._xlws.FILTER(
            INDIRECT("'"&amp;L$1&amp;"'!A2:G1000"), (INDIRECT("'"&amp;L$1&amp;"'!B2:B1000")=$B16) * (INDIRECT("'"&amp;L$1&amp;"'!C2:C1000")=$C16)
        ),7,
        FALSE
    )
)</f>
        <v/>
      </c>
      <c r="M16" s="50">
        <f t="array" ref="M16">IF(
    VLOOKUP(
        $A16,
        _xlfn._xlws.FILTER(
            INDIRECT("'"&amp;M$1&amp;"'!A2:G1000"), (INDIRECT("'"&amp;M$1&amp;"'!B2:B1000")=$B16) * (INDIRECT("'"&amp;M$1&amp;"'!C2:C1000")=$C16)
        ),
        5,
        FALSE
    )="",
    "",
    VLOOKUP(
        $A16,
        _xlfn._xlws.FILTER(
            INDIRECT("'"&amp;M$1&amp;"'!A2:G1000"), (INDIRECT("'"&amp;M$1&amp;"'!B2:B1000")=$B16) * (INDIRECT("'"&amp;M$1&amp;"'!C2:C1000")=$C16)
        ),7,
        FALSE
    )
)</f>
        <v/>
      </c>
      <c r="N16" s="50">
        <f t="array" ref="N16">IF(
    VLOOKUP(
        $A16,
        _xlfn._xlws.FILTER(
            INDIRECT("'"&amp;N$1&amp;"'!A2:G1000"), (INDIRECT("'"&amp;N$1&amp;"'!B2:B1000")=$B16) * (INDIRECT("'"&amp;N$1&amp;"'!C2:C1000")=$C16)
        ),
        5,
        FALSE
    )="",
    "",
    VLOOKUP(
        $A16,
        _xlfn._xlws.FILTER(
            INDIRECT("'"&amp;N$1&amp;"'!A2:G1000"), (INDIRECT("'"&amp;N$1&amp;"'!B2:B1000")=$B16) * (INDIRECT("'"&amp;N$1&amp;"'!C2:C1000")=$C16)
        ),7,
        FALSE
    )
)</f>
        <v/>
      </c>
      <c r="O16" s="50">
        <f t="array" ref="O16">IF(
    VLOOKUP(
        $A16,
        _xlfn._xlws.FILTER(
            INDIRECT("'"&amp;O$1&amp;"'!A2:G1000"), (INDIRECT("'"&amp;O$1&amp;"'!B2:B1000")=$B16) * (INDIRECT("'"&amp;O$1&amp;"'!C2:C1000")=$C16)
        ),
        5,
        FALSE
    )="",
    "",
    VLOOKUP(
        $A16,
        _xlfn._xlws.FILTER(
            INDIRECT("'"&amp;O$1&amp;"'!A2:G1000"), (INDIRECT("'"&amp;O$1&amp;"'!B2:B1000")=$B16) * (INDIRECT("'"&amp;O$1&amp;"'!C2:C1000")=$C16)
        ),7,
        FALSE
    )
)</f>
        <v/>
      </c>
      <c r="P16" s="50">
        <f t="array" ref="P16">IF(
    VLOOKUP(
        $A16,
        _xlfn._xlws.FILTER(
            INDIRECT("'"&amp;P$1&amp;"'!A2:G1000"), (INDIRECT("'"&amp;P$1&amp;"'!B2:B1000")=$B16) * (INDIRECT("'"&amp;P$1&amp;"'!C2:C1000")=$C16)
        ),
        5,
        FALSE
    )="",
    "",
    VLOOKUP(
        $A16,
        _xlfn._xlws.FILTER(
            INDIRECT("'"&amp;P$1&amp;"'!A2:G1000"), (INDIRECT("'"&amp;P$1&amp;"'!B2:B1000")=$B16) * (INDIRECT("'"&amp;P$1&amp;"'!C2:C1000")=$C16)
        ),7,
        FALSE
    )
)</f>
        <v/>
      </c>
      <c r="Q16" s="50">
        <f t="array" ref="Q16">IF(
    VLOOKUP(
        $A16,
        _xlfn._xlws.FILTER(
            INDIRECT("'"&amp;Q$1&amp;"'!A2:G1000"), (INDIRECT("'"&amp;Q$1&amp;"'!B2:B1000")=$B16) * (INDIRECT("'"&amp;Q$1&amp;"'!C2:C1000")=$C16)
        ),
        5,
        FALSE
    )="",
    "",
    VLOOKUP(
        $A16,
        _xlfn._xlws.FILTER(
            INDIRECT("'"&amp;Q$1&amp;"'!A2:G1000"), (INDIRECT("'"&amp;Q$1&amp;"'!B2:B1000")=$B16) * (INDIRECT("'"&amp;Q$1&amp;"'!C2:C1000")=$C16)
        ),7,
        FALSE
    )
)</f>
        <v/>
      </c>
    </row>
    <row r="17" ht="15.75" customHeight="1">
      <c r="A17" s="106" t="inlineStr">
        <is>
          <t>Gabriel</t>
        </is>
      </c>
      <c r="B17" s="50" t="inlineStr">
        <is>
          <t>Guaira</t>
        </is>
      </c>
      <c r="C17" s="50" t="n">
        <v>1</v>
      </c>
      <c r="D17" s="50">
        <f t="array" ref="D17">IF(
    VLOOKUP(
        $A17,
        _xlfn._xlws.FILTER(
            INDIRECT("'"&amp;D$1&amp;"'!A2:G1000"), (INDIRECT("'"&amp;D$1&amp;"'!B2:B1000")=$B17) * (INDIRECT("'"&amp;D$1&amp;"'!C2:C1000")=$C17)
        ),
        5,
        FALSE
    )="",
    "",
    VLOOKUP(
        $A17,
        _xlfn._xlws.FILTER(
            INDIRECT("'"&amp;D$1&amp;"'!A2:G1000"), (INDIRECT("'"&amp;D$1&amp;"'!B2:B1000")=$B17) * (INDIRECT("'"&amp;D$1&amp;"'!C2:C1000")=$C17)
        ),7,
        FALSE
    )
)</f>
        <v/>
      </c>
      <c r="E17" s="50">
        <f t="array" ref="E17">IF(
    VLOOKUP(
        $A17,
        _xlfn._xlws.FILTER(
            INDIRECT("'"&amp;E$1&amp;"'!A2:G1000"), (INDIRECT("'"&amp;E$1&amp;"'!B2:B1000")=$B17) * (INDIRECT("'"&amp;E$1&amp;"'!C2:C1000")=$C17)
        ),
        5,
        FALSE
    )="",
    "",
    VLOOKUP(
        $A17,
        _xlfn._xlws.FILTER(
            INDIRECT("'"&amp;E$1&amp;"'!A2:G1000"), (INDIRECT("'"&amp;E$1&amp;"'!B2:B1000")=$B17) * (INDIRECT("'"&amp;E$1&amp;"'!C2:C1000")=$C17)
        ),7,
        FALSE
    )
)</f>
        <v/>
      </c>
      <c r="F17" s="50">
        <f t="array" ref="F17">IF(
    VLOOKUP(
        $A17,
        _xlfn._xlws.FILTER(
            INDIRECT("'"&amp;F$1&amp;"'!A2:G1000"), (INDIRECT("'"&amp;F$1&amp;"'!B2:B1000")=$B17) * (INDIRECT("'"&amp;F$1&amp;"'!C2:C1000")=$C17)
        ),
        5,
        FALSE
    )="",
    "",
    VLOOKUP(
        $A17,
        _xlfn._xlws.FILTER(
            INDIRECT("'"&amp;F$1&amp;"'!A2:G1000"), (INDIRECT("'"&amp;F$1&amp;"'!B2:B1000")=$B17) * (INDIRECT("'"&amp;F$1&amp;"'!C2:C1000")=$C17)
        ),7,
        FALSE
    )
)</f>
        <v/>
      </c>
      <c r="G17" s="50">
        <f t="array" ref="G17">IF(
    VLOOKUP(
        $A17,
        _xlfn._xlws.FILTER(
            INDIRECT("'"&amp;G$1&amp;"'!A2:G1000"), (INDIRECT("'"&amp;G$1&amp;"'!B2:B1000")=$B17) * (INDIRECT("'"&amp;G$1&amp;"'!C2:C1000")=$C17)
        ),
        5,
        FALSE
    )="",
    "",
    VLOOKUP(
        $A17,
        _xlfn._xlws.FILTER(
            INDIRECT("'"&amp;G$1&amp;"'!A2:G1000"), (INDIRECT("'"&amp;G$1&amp;"'!B2:B1000")=$B17) * (INDIRECT("'"&amp;G$1&amp;"'!C2:C1000")=$C17)
        ),7,
        FALSE
    )
)</f>
        <v/>
      </c>
      <c r="H17" s="50">
        <f t="array" ref="H17">IF(
    VLOOKUP(
        $A17,
        _xlfn._xlws.FILTER(
            INDIRECT("'"&amp;H$1&amp;"'!A2:G1000"), (INDIRECT("'"&amp;H$1&amp;"'!B2:B1000")=$B17) * (INDIRECT("'"&amp;H$1&amp;"'!C2:C1000")=$C17)
        ),
        5,
        FALSE
    )="",
    "",
    VLOOKUP(
        $A17,
        _xlfn._xlws.FILTER(
            INDIRECT("'"&amp;H$1&amp;"'!A2:G1000"), (INDIRECT("'"&amp;H$1&amp;"'!B2:B1000")=$B17) * (INDIRECT("'"&amp;H$1&amp;"'!C2:C1000")=$C17)
        ),7,
        FALSE
    )
)</f>
        <v/>
      </c>
      <c r="I17" s="50">
        <f t="array" ref="I17">IF(
    VLOOKUP(
        $A17,
        _xlfn._xlws.FILTER(
            INDIRECT("'"&amp;I$1&amp;"'!A2:G1000"), (INDIRECT("'"&amp;I$1&amp;"'!B2:B1000")=$B17) * (INDIRECT("'"&amp;I$1&amp;"'!C2:C1000")=$C17)
        ),
        5,
        FALSE
    )="",
    "",
    VLOOKUP(
        $A17,
        _xlfn._xlws.FILTER(
            INDIRECT("'"&amp;I$1&amp;"'!A2:G1000"), (INDIRECT("'"&amp;I$1&amp;"'!B2:B1000")=$B17) * (INDIRECT("'"&amp;I$1&amp;"'!C2:C1000")=$C17)
        ),7,
        FALSE
    )
)</f>
        <v/>
      </c>
      <c r="J17" s="50">
        <f t="array" ref="J17">IF(
    VLOOKUP(
        $A17,
        _xlfn._xlws.FILTER(
            INDIRECT("'"&amp;J$1&amp;"'!A2:G1000"), (INDIRECT("'"&amp;J$1&amp;"'!B2:B1000")=$B17) * (INDIRECT("'"&amp;J$1&amp;"'!C2:C1000")=$C17)
        ),
        5,
        FALSE
    )="",
    "",
    VLOOKUP(
        $A17,
        _xlfn._xlws.FILTER(
            INDIRECT("'"&amp;J$1&amp;"'!A2:G1000"), (INDIRECT("'"&amp;J$1&amp;"'!B2:B1000")=$B17) * (INDIRECT("'"&amp;J$1&amp;"'!C2:C1000")=$C17)
        ),7,
        FALSE
    )
)</f>
        <v/>
      </c>
      <c r="K17" s="50">
        <f t="array" ref="K17">IF(
    VLOOKUP(
        $A17,
        _xlfn._xlws.FILTER(
            INDIRECT("'"&amp;K$1&amp;"'!A2:G1000"), (INDIRECT("'"&amp;K$1&amp;"'!B2:B1000")=$B17) * (INDIRECT("'"&amp;K$1&amp;"'!C2:C1000")=$C17)
        ),
        5,
        FALSE
    )="",
    "",
    VLOOKUP(
        $A17,
        _xlfn._xlws.FILTER(
            INDIRECT("'"&amp;K$1&amp;"'!A2:G1000"), (INDIRECT("'"&amp;K$1&amp;"'!B2:B1000")=$B17) * (INDIRECT("'"&amp;K$1&amp;"'!C2:C1000")=$C17)
        ),7,
        FALSE
    )
)</f>
        <v/>
      </c>
      <c r="L17" s="50">
        <f t="array" ref="L17">IF(
    VLOOKUP(
        $A17,
        _xlfn._xlws.FILTER(
            INDIRECT("'"&amp;L$1&amp;"'!A2:G1000"), (INDIRECT("'"&amp;L$1&amp;"'!B2:B1000")=$B17) * (INDIRECT("'"&amp;L$1&amp;"'!C2:C1000")=$C17)
        ),
        5,
        FALSE
    )="",
    "",
    VLOOKUP(
        $A17,
        _xlfn._xlws.FILTER(
            INDIRECT("'"&amp;L$1&amp;"'!A2:G1000"), (INDIRECT("'"&amp;L$1&amp;"'!B2:B1000")=$B17) * (INDIRECT("'"&amp;L$1&amp;"'!C2:C1000")=$C17)
        ),7,
        FALSE
    )
)</f>
        <v/>
      </c>
      <c r="M17" s="50">
        <f t="array" ref="M17">IF(
    VLOOKUP(
        $A17,
        _xlfn._xlws.FILTER(
            INDIRECT("'"&amp;M$1&amp;"'!A2:G1000"), (INDIRECT("'"&amp;M$1&amp;"'!B2:B1000")=$B17) * (INDIRECT("'"&amp;M$1&amp;"'!C2:C1000")=$C17)
        ),
        5,
        FALSE
    )="",
    "",
    VLOOKUP(
        $A17,
        _xlfn._xlws.FILTER(
            INDIRECT("'"&amp;M$1&amp;"'!A2:G1000"), (INDIRECT("'"&amp;M$1&amp;"'!B2:B1000")=$B17) * (INDIRECT("'"&amp;M$1&amp;"'!C2:C1000")=$C17)
        ),7,
        FALSE
    )
)</f>
        <v/>
      </c>
      <c r="N17" s="50">
        <f t="array" ref="N17">IF(
    VLOOKUP(
        $A17,
        _xlfn._xlws.FILTER(
            INDIRECT("'"&amp;N$1&amp;"'!A2:G1000"), (INDIRECT("'"&amp;N$1&amp;"'!B2:B1000")=$B17) * (INDIRECT("'"&amp;N$1&amp;"'!C2:C1000")=$C17)
        ),
        5,
        FALSE
    )="",
    "",
    VLOOKUP(
        $A17,
        _xlfn._xlws.FILTER(
            INDIRECT("'"&amp;N$1&amp;"'!A2:G1000"), (INDIRECT("'"&amp;N$1&amp;"'!B2:B1000")=$B17) * (INDIRECT("'"&amp;N$1&amp;"'!C2:C1000")=$C17)
        ),7,
        FALSE
    )
)</f>
        <v/>
      </c>
      <c r="O17" s="50">
        <f t="array" ref="O17">IF(
    VLOOKUP(
        $A17,
        _xlfn._xlws.FILTER(
            INDIRECT("'"&amp;O$1&amp;"'!A2:G1000"), (INDIRECT("'"&amp;O$1&amp;"'!B2:B1000")=$B17) * (INDIRECT("'"&amp;O$1&amp;"'!C2:C1000")=$C17)
        ),
        5,
        FALSE
    )="",
    "",
    VLOOKUP(
        $A17,
        _xlfn._xlws.FILTER(
            INDIRECT("'"&amp;O$1&amp;"'!A2:G1000"), (INDIRECT("'"&amp;O$1&amp;"'!B2:B1000")=$B17) * (INDIRECT("'"&amp;O$1&amp;"'!C2:C1000")=$C17)
        ),7,
        FALSE
    )
)</f>
        <v/>
      </c>
      <c r="P17" s="50">
        <f t="array" ref="P17">IF(
    VLOOKUP(
        $A17,
        _xlfn._xlws.FILTER(
            INDIRECT("'"&amp;P$1&amp;"'!A2:G1000"), (INDIRECT("'"&amp;P$1&amp;"'!B2:B1000")=$B17) * (INDIRECT("'"&amp;P$1&amp;"'!C2:C1000")=$C17)
        ),
        5,
        FALSE
    )="",
    "",
    VLOOKUP(
        $A17,
        _xlfn._xlws.FILTER(
            INDIRECT("'"&amp;P$1&amp;"'!A2:G1000"), (INDIRECT("'"&amp;P$1&amp;"'!B2:B1000")=$B17) * (INDIRECT("'"&amp;P$1&amp;"'!C2:C1000")=$C17)
        ),7,
        FALSE
    )
)</f>
        <v/>
      </c>
      <c r="Q17" s="50">
        <f t="array" ref="Q17">IF(
    VLOOKUP(
        $A17,
        _xlfn._xlws.FILTER(
            INDIRECT("'"&amp;Q$1&amp;"'!A2:G1000"), (INDIRECT("'"&amp;Q$1&amp;"'!B2:B1000")=$B17) * (INDIRECT("'"&amp;Q$1&amp;"'!C2:C1000")=$C17)
        ),
        5,
        FALSE
    )="",
    "",
    VLOOKUP(
        $A17,
        _xlfn._xlws.FILTER(
            INDIRECT("'"&amp;Q$1&amp;"'!A2:G1000"), (INDIRECT("'"&amp;Q$1&amp;"'!B2:B1000")=$B17) * (INDIRECT("'"&amp;Q$1&amp;"'!C2:C1000")=$C17)
        ),7,
        FALSE
    )
)</f>
        <v/>
      </c>
    </row>
    <row r="18" ht="15.75" customHeight="1">
      <c r="A18" s="106" t="inlineStr">
        <is>
          <t>Gabriel</t>
        </is>
      </c>
      <c r="B18" s="50" t="inlineStr">
        <is>
          <t>Mercedes</t>
        </is>
      </c>
      <c r="C18" s="50" t="n">
        <v>1</v>
      </c>
      <c r="D18" s="50">
        <f t="array" ref="D18">IF(
    VLOOKUP(
        $A18,
        _xlfn._xlws.FILTER(
            INDIRECT("'"&amp;D$1&amp;"'!A2:G1000"), (INDIRECT("'"&amp;D$1&amp;"'!B2:B1000")=$B18) * (INDIRECT("'"&amp;D$1&amp;"'!C2:C1000")=$C18)
        ),
        5,
        FALSE
    )="",
    "",
    VLOOKUP(
        $A18,
        _xlfn._xlws.FILTER(
            INDIRECT("'"&amp;D$1&amp;"'!A2:G1000"), (INDIRECT("'"&amp;D$1&amp;"'!B2:B1000")=$B18) * (INDIRECT("'"&amp;D$1&amp;"'!C2:C1000")=$C18)
        ),7,
        FALSE
    )
)</f>
        <v/>
      </c>
      <c r="E18" s="50">
        <f t="array" ref="E18">IF(
    VLOOKUP(
        $A18,
        _xlfn._xlws.FILTER(
            INDIRECT("'"&amp;E$1&amp;"'!A2:G1000"), (INDIRECT("'"&amp;E$1&amp;"'!B2:B1000")=$B18) * (INDIRECT("'"&amp;E$1&amp;"'!C2:C1000")=$C18)
        ),
        5,
        FALSE
    )="",
    "",
    VLOOKUP(
        $A18,
        _xlfn._xlws.FILTER(
            INDIRECT("'"&amp;E$1&amp;"'!A2:G1000"), (INDIRECT("'"&amp;E$1&amp;"'!B2:B1000")=$B18) * (INDIRECT("'"&amp;E$1&amp;"'!C2:C1000")=$C18)
        ),7,
        FALSE
    )
)</f>
        <v/>
      </c>
      <c r="F18" s="50">
        <f t="array" ref="F18">IF(
    VLOOKUP(
        $A18,
        _xlfn._xlws.FILTER(
            INDIRECT("'"&amp;F$1&amp;"'!A2:G1000"), (INDIRECT("'"&amp;F$1&amp;"'!B2:B1000")=$B18) * (INDIRECT("'"&amp;F$1&amp;"'!C2:C1000")=$C18)
        ),
        5,
        FALSE
    )="",
    "",
    VLOOKUP(
        $A18,
        _xlfn._xlws.FILTER(
            INDIRECT("'"&amp;F$1&amp;"'!A2:G1000"), (INDIRECT("'"&amp;F$1&amp;"'!B2:B1000")=$B18) * (INDIRECT("'"&amp;F$1&amp;"'!C2:C1000")=$C18)
        ),7,
        FALSE
    )
)</f>
        <v/>
      </c>
      <c r="G18" s="50">
        <f t="array" ref="G18">IF(
    VLOOKUP(
        $A18,
        _xlfn._xlws.FILTER(
            INDIRECT("'"&amp;G$1&amp;"'!A2:G1000"), (INDIRECT("'"&amp;G$1&amp;"'!B2:B1000")=$B18) * (INDIRECT("'"&amp;G$1&amp;"'!C2:C1000")=$C18)
        ),
        5,
        FALSE
    )="",
    "",
    VLOOKUP(
        $A18,
        _xlfn._xlws.FILTER(
            INDIRECT("'"&amp;G$1&amp;"'!A2:G1000"), (INDIRECT("'"&amp;G$1&amp;"'!B2:B1000")=$B18) * (INDIRECT("'"&amp;G$1&amp;"'!C2:C1000")=$C18)
        ),7,
        FALSE
    )
)</f>
        <v/>
      </c>
      <c r="H18" s="50">
        <f t="array" ref="H18">IF(
    VLOOKUP(
        $A18,
        _xlfn._xlws.FILTER(
            INDIRECT("'"&amp;H$1&amp;"'!A2:G1000"), (INDIRECT("'"&amp;H$1&amp;"'!B2:B1000")=$B18) * (INDIRECT("'"&amp;H$1&amp;"'!C2:C1000")=$C18)
        ),
        5,
        FALSE
    )="",
    "",
    VLOOKUP(
        $A18,
        _xlfn._xlws.FILTER(
            INDIRECT("'"&amp;H$1&amp;"'!A2:G1000"), (INDIRECT("'"&amp;H$1&amp;"'!B2:B1000")=$B18) * (INDIRECT("'"&amp;H$1&amp;"'!C2:C1000")=$C18)
        ),7,
        FALSE
    )
)</f>
        <v/>
      </c>
      <c r="I18" s="50">
        <f t="array" ref="I18">IF(
    VLOOKUP(
        $A18,
        _xlfn._xlws.FILTER(
            INDIRECT("'"&amp;I$1&amp;"'!A2:G1000"), (INDIRECT("'"&amp;I$1&amp;"'!B2:B1000")=$B18) * (INDIRECT("'"&amp;I$1&amp;"'!C2:C1000")=$C18)
        ),
        5,
        FALSE
    )="",
    "",
    VLOOKUP(
        $A18,
        _xlfn._xlws.FILTER(
            INDIRECT("'"&amp;I$1&amp;"'!A2:G1000"), (INDIRECT("'"&amp;I$1&amp;"'!B2:B1000")=$B18) * (INDIRECT("'"&amp;I$1&amp;"'!C2:C1000")=$C18)
        ),7,
        FALSE
    )
)</f>
        <v/>
      </c>
      <c r="J18" s="50">
        <f t="array" ref="J18">IF(
    VLOOKUP(
        $A18,
        _xlfn._xlws.FILTER(
            INDIRECT("'"&amp;J$1&amp;"'!A2:G1000"), (INDIRECT("'"&amp;J$1&amp;"'!B2:B1000")=$B18) * (INDIRECT("'"&amp;J$1&amp;"'!C2:C1000")=$C18)
        ),
        5,
        FALSE
    )="",
    "",
    VLOOKUP(
        $A18,
        _xlfn._xlws.FILTER(
            INDIRECT("'"&amp;J$1&amp;"'!A2:G1000"), (INDIRECT("'"&amp;J$1&amp;"'!B2:B1000")=$B18) * (INDIRECT("'"&amp;J$1&amp;"'!C2:C1000")=$C18)
        ),7,
        FALSE
    )
)</f>
        <v/>
      </c>
      <c r="K18" s="50">
        <f t="array" ref="K18">IF(
    VLOOKUP(
        $A18,
        _xlfn._xlws.FILTER(
            INDIRECT("'"&amp;K$1&amp;"'!A2:G1000"), (INDIRECT("'"&amp;K$1&amp;"'!B2:B1000")=$B18) * (INDIRECT("'"&amp;K$1&amp;"'!C2:C1000")=$C18)
        ),
        5,
        FALSE
    )="",
    "",
    VLOOKUP(
        $A18,
        _xlfn._xlws.FILTER(
            INDIRECT("'"&amp;K$1&amp;"'!A2:G1000"), (INDIRECT("'"&amp;K$1&amp;"'!B2:B1000")=$B18) * (INDIRECT("'"&amp;K$1&amp;"'!C2:C1000")=$C18)
        ),7,
        FALSE
    )
)</f>
        <v/>
      </c>
      <c r="L18" s="50">
        <f t="array" ref="L18">IF(
    VLOOKUP(
        $A18,
        _xlfn._xlws.FILTER(
            INDIRECT("'"&amp;L$1&amp;"'!A2:G1000"), (INDIRECT("'"&amp;L$1&amp;"'!B2:B1000")=$B18) * (INDIRECT("'"&amp;L$1&amp;"'!C2:C1000")=$C18)
        ),
        5,
        FALSE
    )="",
    "",
    VLOOKUP(
        $A18,
        _xlfn._xlws.FILTER(
            INDIRECT("'"&amp;L$1&amp;"'!A2:G1000"), (INDIRECT("'"&amp;L$1&amp;"'!B2:B1000")=$B18) * (INDIRECT("'"&amp;L$1&amp;"'!C2:C1000")=$C18)
        ),7,
        FALSE
    )
)</f>
        <v/>
      </c>
      <c r="M18" s="50">
        <f t="array" ref="M18">IF(
    VLOOKUP(
        $A18,
        _xlfn._xlws.FILTER(
            INDIRECT("'"&amp;M$1&amp;"'!A2:G1000"), (INDIRECT("'"&amp;M$1&amp;"'!B2:B1000")=$B18) * (INDIRECT("'"&amp;M$1&amp;"'!C2:C1000")=$C18)
        ),
        5,
        FALSE
    )="",
    "",
    VLOOKUP(
        $A18,
        _xlfn._xlws.FILTER(
            INDIRECT("'"&amp;M$1&amp;"'!A2:G1000"), (INDIRECT("'"&amp;M$1&amp;"'!B2:B1000")=$B18) * (INDIRECT("'"&amp;M$1&amp;"'!C2:C1000")=$C18)
        ),7,
        FALSE
    )
)</f>
        <v/>
      </c>
      <c r="N18" s="50">
        <f t="array" ref="N18">IF(
    VLOOKUP(
        $A18,
        _xlfn._xlws.FILTER(
            INDIRECT("'"&amp;N$1&amp;"'!A2:G1000"), (INDIRECT("'"&amp;N$1&amp;"'!B2:B1000")=$B18) * (INDIRECT("'"&amp;N$1&amp;"'!C2:C1000")=$C18)
        ),
        5,
        FALSE
    )="",
    "",
    VLOOKUP(
        $A18,
        _xlfn._xlws.FILTER(
            INDIRECT("'"&amp;N$1&amp;"'!A2:G1000"), (INDIRECT("'"&amp;N$1&amp;"'!B2:B1000")=$B18) * (INDIRECT("'"&amp;N$1&amp;"'!C2:C1000")=$C18)
        ),7,
        FALSE
    )
)</f>
        <v/>
      </c>
      <c r="O18" s="50">
        <f t="array" ref="O18">IF(
    VLOOKUP(
        $A18,
        _xlfn._xlws.FILTER(
            INDIRECT("'"&amp;O$1&amp;"'!A2:G1000"), (INDIRECT("'"&amp;O$1&amp;"'!B2:B1000")=$B18) * (INDIRECT("'"&amp;O$1&amp;"'!C2:C1000")=$C18)
        ),
        5,
        FALSE
    )="",
    "",
    VLOOKUP(
        $A18,
        _xlfn._xlws.FILTER(
            INDIRECT("'"&amp;O$1&amp;"'!A2:G1000"), (INDIRECT("'"&amp;O$1&amp;"'!B2:B1000")=$B18) * (INDIRECT("'"&amp;O$1&amp;"'!C2:C1000")=$C18)
        ),7,
        FALSE
    )
)</f>
        <v/>
      </c>
      <c r="P18" s="50">
        <f t="array" ref="P18">IF(
    VLOOKUP(
        $A18,
        _xlfn._xlws.FILTER(
            INDIRECT("'"&amp;P$1&amp;"'!A2:G1000"), (INDIRECT("'"&amp;P$1&amp;"'!B2:B1000")=$B18) * (INDIRECT("'"&amp;P$1&amp;"'!C2:C1000")=$C18)
        ),
        5,
        FALSE
    )="",
    "",
    VLOOKUP(
        $A18,
        _xlfn._xlws.FILTER(
            INDIRECT("'"&amp;P$1&amp;"'!A2:G1000"), (INDIRECT("'"&amp;P$1&amp;"'!B2:B1000")=$B18) * (INDIRECT("'"&amp;P$1&amp;"'!C2:C1000")=$C18)
        ),7,
        FALSE
    )
)</f>
        <v/>
      </c>
      <c r="Q18" s="50">
        <f t="array" ref="Q18">IF(
    VLOOKUP(
        $A18,
        _xlfn._xlws.FILTER(
            INDIRECT("'"&amp;Q$1&amp;"'!A2:G1000"), (INDIRECT("'"&amp;Q$1&amp;"'!B2:B1000")=$B18) * (INDIRECT("'"&amp;Q$1&amp;"'!C2:C1000")=$C18)
        ),
        5,
        FALSE
    )="",
    "",
    VLOOKUP(
        $A18,
        _xlfn._xlws.FILTER(
            INDIRECT("'"&amp;Q$1&amp;"'!A2:G1000"), (INDIRECT("'"&amp;Q$1&amp;"'!B2:B1000")=$B18) * (INDIRECT("'"&amp;Q$1&amp;"'!C2:C1000")=$C18)
        ),7,
        FALSE
    )
)</f>
        <v/>
      </c>
    </row>
    <row r="19" ht="15.75" customHeight="1">
      <c r="A19" s="106" t="inlineStr">
        <is>
          <t>Gabriel</t>
        </is>
      </c>
      <c r="B19" s="50" t="inlineStr">
        <is>
          <t>Mundo Novo</t>
        </is>
      </c>
      <c r="C19" s="50" t="n">
        <v>1</v>
      </c>
      <c r="D19" s="50">
        <f t="array" ref="D19">IF(
    VLOOKUP(
        $A19,
        _xlfn._xlws.FILTER(
            INDIRECT("'"&amp;D$1&amp;"'!A2:G1000"), (INDIRECT("'"&amp;D$1&amp;"'!B2:B1000")=$B19) * (INDIRECT("'"&amp;D$1&amp;"'!C2:C1000")=$C19)
        ),
        5,
        FALSE
    )="",
    "",
    VLOOKUP(
        $A19,
        _xlfn._xlws.FILTER(
            INDIRECT("'"&amp;D$1&amp;"'!A2:G1000"), (INDIRECT("'"&amp;D$1&amp;"'!B2:B1000")=$B19) * (INDIRECT("'"&amp;D$1&amp;"'!C2:C1000")=$C19)
        ),7,
        FALSE
    )
)</f>
        <v/>
      </c>
      <c r="E19" s="50">
        <f t="array" ref="E19">IF(
    VLOOKUP(
        $A19,
        _xlfn._xlws.FILTER(
            INDIRECT("'"&amp;E$1&amp;"'!A2:G1000"), (INDIRECT("'"&amp;E$1&amp;"'!B2:B1000")=$B19) * (INDIRECT("'"&amp;E$1&amp;"'!C2:C1000")=$C19)
        ),
        5,
        FALSE
    )="",
    "",
    VLOOKUP(
        $A19,
        _xlfn._xlws.FILTER(
            INDIRECT("'"&amp;E$1&amp;"'!A2:G1000"), (INDIRECT("'"&amp;E$1&amp;"'!B2:B1000")=$B19) * (INDIRECT("'"&amp;E$1&amp;"'!C2:C1000")=$C19)
        ),7,
        FALSE
    )
)</f>
        <v/>
      </c>
      <c r="F19" s="50">
        <f t="array" ref="F19">IF(
    VLOOKUP(
        $A19,
        _xlfn._xlws.FILTER(
            INDIRECT("'"&amp;F$1&amp;"'!A2:G1000"), (INDIRECT("'"&amp;F$1&amp;"'!B2:B1000")=$B19) * (INDIRECT("'"&amp;F$1&amp;"'!C2:C1000")=$C19)
        ),
        5,
        FALSE
    )="",
    "",
    VLOOKUP(
        $A19,
        _xlfn._xlws.FILTER(
            INDIRECT("'"&amp;F$1&amp;"'!A2:G1000"), (INDIRECT("'"&amp;F$1&amp;"'!B2:B1000")=$B19) * (INDIRECT("'"&amp;F$1&amp;"'!C2:C1000")=$C19)
        ),7,
        FALSE
    )
)</f>
        <v/>
      </c>
      <c r="G19" s="50">
        <f t="array" ref="G19">IF(
    VLOOKUP(
        $A19,
        _xlfn._xlws.FILTER(
            INDIRECT("'"&amp;G$1&amp;"'!A2:G1000"), (INDIRECT("'"&amp;G$1&amp;"'!B2:B1000")=$B19) * (INDIRECT("'"&amp;G$1&amp;"'!C2:C1000")=$C19)
        ),
        5,
        FALSE
    )="",
    "",
    VLOOKUP(
        $A19,
        _xlfn._xlws.FILTER(
            INDIRECT("'"&amp;G$1&amp;"'!A2:G1000"), (INDIRECT("'"&amp;G$1&amp;"'!B2:B1000")=$B19) * (INDIRECT("'"&amp;G$1&amp;"'!C2:C1000")=$C19)
        ),7,
        FALSE
    )
)</f>
        <v/>
      </c>
      <c r="H19" s="50">
        <f t="array" ref="H19">IF(
    VLOOKUP(
        $A19,
        _xlfn._xlws.FILTER(
            INDIRECT("'"&amp;H$1&amp;"'!A2:G1000"), (INDIRECT("'"&amp;H$1&amp;"'!B2:B1000")=$B19) * (INDIRECT("'"&amp;H$1&amp;"'!C2:C1000")=$C19)
        ),
        5,
        FALSE
    )="",
    "",
    VLOOKUP(
        $A19,
        _xlfn._xlws.FILTER(
            INDIRECT("'"&amp;H$1&amp;"'!A2:G1000"), (INDIRECT("'"&amp;H$1&amp;"'!B2:B1000")=$B19) * (INDIRECT("'"&amp;H$1&amp;"'!C2:C1000")=$C19)
        ),7,
        FALSE
    )
)</f>
        <v/>
      </c>
      <c r="I19" s="50">
        <f t="array" ref="I19">IF(
    VLOOKUP(
        $A19,
        _xlfn._xlws.FILTER(
            INDIRECT("'"&amp;I$1&amp;"'!A2:G1000"), (INDIRECT("'"&amp;I$1&amp;"'!B2:B1000")=$B19) * (INDIRECT("'"&amp;I$1&amp;"'!C2:C1000")=$C19)
        ),
        5,
        FALSE
    )="",
    "",
    VLOOKUP(
        $A19,
        _xlfn._xlws.FILTER(
            INDIRECT("'"&amp;I$1&amp;"'!A2:G1000"), (INDIRECT("'"&amp;I$1&amp;"'!B2:B1000")=$B19) * (INDIRECT("'"&amp;I$1&amp;"'!C2:C1000")=$C19)
        ),7,
        FALSE
    )
)</f>
        <v/>
      </c>
      <c r="J19" s="50">
        <f t="array" ref="J19">IF(
    VLOOKUP(
        $A19,
        _xlfn._xlws.FILTER(
            INDIRECT("'"&amp;J$1&amp;"'!A2:G1000"), (INDIRECT("'"&amp;J$1&amp;"'!B2:B1000")=$B19) * (INDIRECT("'"&amp;J$1&amp;"'!C2:C1000")=$C19)
        ),
        5,
        FALSE
    )="",
    "",
    VLOOKUP(
        $A19,
        _xlfn._xlws.FILTER(
            INDIRECT("'"&amp;J$1&amp;"'!A2:G1000"), (INDIRECT("'"&amp;J$1&amp;"'!B2:B1000")=$B19) * (INDIRECT("'"&amp;J$1&amp;"'!C2:C1000")=$C19)
        ),7,
        FALSE
    )
)</f>
        <v/>
      </c>
      <c r="K19" s="50">
        <f t="array" ref="K19">IF(
    VLOOKUP(
        $A19,
        _xlfn._xlws.FILTER(
            INDIRECT("'"&amp;K$1&amp;"'!A2:G1000"), (INDIRECT("'"&amp;K$1&amp;"'!B2:B1000")=$B19) * (INDIRECT("'"&amp;K$1&amp;"'!C2:C1000")=$C19)
        ),
        5,
        FALSE
    )="",
    "",
    VLOOKUP(
        $A19,
        _xlfn._xlws.FILTER(
            INDIRECT("'"&amp;K$1&amp;"'!A2:G1000"), (INDIRECT("'"&amp;K$1&amp;"'!B2:B1000")=$B19) * (INDIRECT("'"&amp;K$1&amp;"'!C2:C1000")=$C19)
        ),7,
        FALSE
    )
)</f>
        <v/>
      </c>
      <c r="L19" s="50">
        <f t="array" ref="L19">IF(
    VLOOKUP(
        $A19,
        _xlfn._xlws.FILTER(
            INDIRECT("'"&amp;L$1&amp;"'!A2:G1000"), (INDIRECT("'"&amp;L$1&amp;"'!B2:B1000")=$B19) * (INDIRECT("'"&amp;L$1&amp;"'!C2:C1000")=$C19)
        ),
        5,
        FALSE
    )="",
    "",
    VLOOKUP(
        $A19,
        _xlfn._xlws.FILTER(
            INDIRECT("'"&amp;L$1&amp;"'!A2:G1000"), (INDIRECT("'"&amp;L$1&amp;"'!B2:B1000")=$B19) * (INDIRECT("'"&amp;L$1&amp;"'!C2:C1000")=$C19)
        ),7,
        FALSE
    )
)</f>
        <v/>
      </c>
      <c r="M19" s="50">
        <f t="array" ref="M19">IF(
    VLOOKUP(
        $A19,
        _xlfn._xlws.FILTER(
            INDIRECT("'"&amp;M$1&amp;"'!A2:G1000"), (INDIRECT("'"&amp;M$1&amp;"'!B2:B1000")=$B19) * (INDIRECT("'"&amp;M$1&amp;"'!C2:C1000")=$C19)
        ),
        5,
        FALSE
    )="",
    "",
    VLOOKUP(
        $A19,
        _xlfn._xlws.FILTER(
            INDIRECT("'"&amp;M$1&amp;"'!A2:G1000"), (INDIRECT("'"&amp;M$1&amp;"'!B2:B1000")=$B19) * (INDIRECT("'"&amp;M$1&amp;"'!C2:C1000")=$C19)
        ),7,
        FALSE
    )
)</f>
        <v/>
      </c>
      <c r="N19" s="50">
        <f t="array" ref="N19">IF(
    VLOOKUP(
        $A19,
        _xlfn._xlws.FILTER(
            INDIRECT("'"&amp;N$1&amp;"'!A2:G1000"), (INDIRECT("'"&amp;N$1&amp;"'!B2:B1000")=$B19) * (INDIRECT("'"&amp;N$1&amp;"'!C2:C1000")=$C19)
        ),
        5,
        FALSE
    )="",
    "",
    VLOOKUP(
        $A19,
        _xlfn._xlws.FILTER(
            INDIRECT("'"&amp;N$1&amp;"'!A2:G1000"), (INDIRECT("'"&amp;N$1&amp;"'!B2:B1000")=$B19) * (INDIRECT("'"&amp;N$1&amp;"'!C2:C1000")=$C19)
        ),7,
        FALSE
    )
)</f>
        <v/>
      </c>
      <c r="O19" s="50">
        <f t="array" ref="O19">IF(
    VLOOKUP(
        $A19,
        _xlfn._xlws.FILTER(
            INDIRECT("'"&amp;O$1&amp;"'!A2:G1000"), (INDIRECT("'"&amp;O$1&amp;"'!B2:B1000")=$B19) * (INDIRECT("'"&amp;O$1&amp;"'!C2:C1000")=$C19)
        ),
        5,
        FALSE
    )="",
    "",
    VLOOKUP(
        $A19,
        _xlfn._xlws.FILTER(
            INDIRECT("'"&amp;O$1&amp;"'!A2:G1000"), (INDIRECT("'"&amp;O$1&amp;"'!B2:B1000")=$B19) * (INDIRECT("'"&amp;O$1&amp;"'!C2:C1000")=$C19)
        ),7,
        FALSE
    )
)</f>
        <v/>
      </c>
      <c r="P19" s="50">
        <f t="array" ref="P19">IF(
    VLOOKUP(
        $A19,
        _xlfn._xlws.FILTER(
            INDIRECT("'"&amp;P$1&amp;"'!A2:G1000"), (INDIRECT("'"&amp;P$1&amp;"'!B2:B1000")=$B19) * (INDIRECT("'"&amp;P$1&amp;"'!C2:C1000")=$C19)
        ),
        5,
        FALSE
    )="",
    "",
    VLOOKUP(
        $A19,
        _xlfn._xlws.FILTER(
            INDIRECT("'"&amp;P$1&amp;"'!A2:G1000"), (INDIRECT("'"&amp;P$1&amp;"'!B2:B1000")=$B19) * (INDIRECT("'"&amp;P$1&amp;"'!C2:C1000")=$C19)
        ),7,
        FALSE
    )
)</f>
        <v/>
      </c>
      <c r="Q19" s="50">
        <f t="array" ref="Q19">IF(
    VLOOKUP(
        $A19,
        _xlfn._xlws.FILTER(
            INDIRECT("'"&amp;Q$1&amp;"'!A2:G1000"), (INDIRECT("'"&amp;Q$1&amp;"'!B2:B1000")=$B19) * (INDIRECT("'"&amp;Q$1&amp;"'!C2:C1000")=$C19)
        ),
        5,
        FALSE
    )="",
    "",
    VLOOKUP(
        $A19,
        _xlfn._xlws.FILTER(
            INDIRECT("'"&amp;Q$1&amp;"'!A2:G1000"), (INDIRECT("'"&amp;Q$1&amp;"'!B2:B1000")=$B19) * (INDIRECT("'"&amp;Q$1&amp;"'!C2:C1000")=$C19)
        ),7,
        FALSE
    )
)</f>
        <v/>
      </c>
    </row>
    <row r="20" ht="15.75" customHeight="1">
      <c r="A20" s="106" t="inlineStr">
        <is>
          <t>Gabriel</t>
        </is>
      </c>
      <c r="B20" s="50" t="inlineStr">
        <is>
          <t>Nova Santa Rosa</t>
        </is>
      </c>
      <c r="C20" s="50" t="n">
        <v>1</v>
      </c>
      <c r="D20" s="50">
        <f t="array" ref="D20">IF(
    VLOOKUP(
        $A20,
        _xlfn._xlws.FILTER(
            INDIRECT("'"&amp;D$1&amp;"'!A2:G1000"), (INDIRECT("'"&amp;D$1&amp;"'!B2:B1000")=$B20) * (INDIRECT("'"&amp;D$1&amp;"'!C2:C1000")=$C20)
        ),
        5,
        FALSE
    )="",
    "",
    VLOOKUP(
        $A20,
        _xlfn._xlws.FILTER(
            INDIRECT("'"&amp;D$1&amp;"'!A2:G1000"), (INDIRECT("'"&amp;D$1&amp;"'!B2:B1000")=$B20) * (INDIRECT("'"&amp;D$1&amp;"'!C2:C1000")=$C20)
        ),7,
        FALSE
    )
)</f>
        <v/>
      </c>
      <c r="E20" s="50">
        <f t="array" ref="E20">IF(
    VLOOKUP(
        $A20,
        _xlfn._xlws.FILTER(
            INDIRECT("'"&amp;E$1&amp;"'!A2:G1000"), (INDIRECT("'"&amp;E$1&amp;"'!B2:B1000")=$B20) * (INDIRECT("'"&amp;E$1&amp;"'!C2:C1000")=$C20)
        ),
        5,
        FALSE
    )="",
    "",
    VLOOKUP(
        $A20,
        _xlfn._xlws.FILTER(
            INDIRECT("'"&amp;E$1&amp;"'!A2:G1000"), (INDIRECT("'"&amp;E$1&amp;"'!B2:B1000")=$B20) * (INDIRECT("'"&amp;E$1&amp;"'!C2:C1000")=$C20)
        ),7,
        FALSE
    )
)</f>
        <v/>
      </c>
      <c r="F20" s="50">
        <f t="array" ref="F20">IF(
    VLOOKUP(
        $A20,
        _xlfn._xlws.FILTER(
            INDIRECT("'"&amp;F$1&amp;"'!A2:G1000"), (INDIRECT("'"&amp;F$1&amp;"'!B2:B1000")=$B20) * (INDIRECT("'"&amp;F$1&amp;"'!C2:C1000")=$C20)
        ),
        5,
        FALSE
    )="",
    "",
    VLOOKUP(
        $A20,
        _xlfn._xlws.FILTER(
            INDIRECT("'"&amp;F$1&amp;"'!A2:G1000"), (INDIRECT("'"&amp;F$1&amp;"'!B2:B1000")=$B20) * (INDIRECT("'"&amp;F$1&amp;"'!C2:C1000")=$C20)
        ),7,
        FALSE
    )
)</f>
        <v/>
      </c>
      <c r="G20" s="50">
        <f t="array" ref="G20">IF(
    VLOOKUP(
        $A20,
        _xlfn._xlws.FILTER(
            INDIRECT("'"&amp;G$1&amp;"'!A2:G1000"), (INDIRECT("'"&amp;G$1&amp;"'!B2:B1000")=$B20) * (INDIRECT("'"&amp;G$1&amp;"'!C2:C1000")=$C20)
        ),
        5,
        FALSE
    )="",
    "",
    VLOOKUP(
        $A20,
        _xlfn._xlws.FILTER(
            INDIRECT("'"&amp;G$1&amp;"'!A2:G1000"), (INDIRECT("'"&amp;G$1&amp;"'!B2:B1000")=$B20) * (INDIRECT("'"&amp;G$1&amp;"'!C2:C1000")=$C20)
        ),7,
        FALSE
    )
)</f>
        <v/>
      </c>
      <c r="H20" s="50">
        <f t="array" ref="H20">IF(
    VLOOKUP(
        $A20,
        _xlfn._xlws.FILTER(
            INDIRECT("'"&amp;H$1&amp;"'!A2:G1000"), (INDIRECT("'"&amp;H$1&amp;"'!B2:B1000")=$B20) * (INDIRECT("'"&amp;H$1&amp;"'!C2:C1000")=$C20)
        ),
        5,
        FALSE
    )="",
    "",
    VLOOKUP(
        $A20,
        _xlfn._xlws.FILTER(
            INDIRECT("'"&amp;H$1&amp;"'!A2:G1000"), (INDIRECT("'"&amp;H$1&amp;"'!B2:B1000")=$B20) * (INDIRECT("'"&amp;H$1&amp;"'!C2:C1000")=$C20)
        ),7,
        FALSE
    )
)</f>
        <v/>
      </c>
      <c r="I20" s="50">
        <f t="array" ref="I20">IF(
    VLOOKUP(
        $A20,
        _xlfn._xlws.FILTER(
            INDIRECT("'"&amp;I$1&amp;"'!A2:G1000"), (INDIRECT("'"&amp;I$1&amp;"'!B2:B1000")=$B20) * (INDIRECT("'"&amp;I$1&amp;"'!C2:C1000")=$C20)
        ),
        5,
        FALSE
    )="",
    "",
    VLOOKUP(
        $A20,
        _xlfn._xlws.FILTER(
            INDIRECT("'"&amp;I$1&amp;"'!A2:G1000"), (INDIRECT("'"&amp;I$1&amp;"'!B2:B1000")=$B20) * (INDIRECT("'"&amp;I$1&amp;"'!C2:C1000")=$C20)
        ),7,
        FALSE
    )
)</f>
        <v/>
      </c>
      <c r="J20" s="50">
        <f t="array" ref="J20">IF(
    VLOOKUP(
        $A20,
        _xlfn._xlws.FILTER(
            INDIRECT("'"&amp;J$1&amp;"'!A2:G1000"), (INDIRECT("'"&amp;J$1&amp;"'!B2:B1000")=$B20) * (INDIRECT("'"&amp;J$1&amp;"'!C2:C1000")=$C20)
        ),
        5,
        FALSE
    )="",
    "",
    VLOOKUP(
        $A20,
        _xlfn._xlws.FILTER(
            INDIRECT("'"&amp;J$1&amp;"'!A2:G1000"), (INDIRECT("'"&amp;J$1&amp;"'!B2:B1000")=$B20) * (INDIRECT("'"&amp;J$1&amp;"'!C2:C1000")=$C20)
        ),7,
        FALSE
    )
)</f>
        <v/>
      </c>
      <c r="K20" s="50">
        <f t="array" ref="K20">IF(
    VLOOKUP(
        $A20,
        _xlfn._xlws.FILTER(
            INDIRECT("'"&amp;K$1&amp;"'!A2:G1000"), (INDIRECT("'"&amp;K$1&amp;"'!B2:B1000")=$B20) * (INDIRECT("'"&amp;K$1&amp;"'!C2:C1000")=$C20)
        ),
        5,
        FALSE
    )="",
    "",
    VLOOKUP(
        $A20,
        _xlfn._xlws.FILTER(
            INDIRECT("'"&amp;K$1&amp;"'!A2:G1000"), (INDIRECT("'"&amp;K$1&amp;"'!B2:B1000")=$B20) * (INDIRECT("'"&amp;K$1&amp;"'!C2:C1000")=$C20)
        ),7,
        FALSE
    )
)</f>
        <v/>
      </c>
      <c r="L20" s="50">
        <f t="array" ref="L20">IF(
    VLOOKUP(
        $A20,
        _xlfn._xlws.FILTER(
            INDIRECT("'"&amp;L$1&amp;"'!A2:G1000"), (INDIRECT("'"&amp;L$1&amp;"'!B2:B1000")=$B20) * (INDIRECT("'"&amp;L$1&amp;"'!C2:C1000")=$C20)
        ),
        5,
        FALSE
    )="",
    "",
    VLOOKUP(
        $A20,
        _xlfn._xlws.FILTER(
            INDIRECT("'"&amp;L$1&amp;"'!A2:G1000"), (INDIRECT("'"&amp;L$1&amp;"'!B2:B1000")=$B20) * (INDIRECT("'"&amp;L$1&amp;"'!C2:C1000")=$C20)
        ),7,
        FALSE
    )
)</f>
        <v/>
      </c>
      <c r="M20" s="50">
        <f t="array" ref="M20">IF(
    VLOOKUP(
        $A20,
        _xlfn._xlws.FILTER(
            INDIRECT("'"&amp;M$1&amp;"'!A2:G1000"), (INDIRECT("'"&amp;M$1&amp;"'!B2:B1000")=$B20) * (INDIRECT("'"&amp;M$1&amp;"'!C2:C1000")=$C20)
        ),
        5,
        FALSE
    )="",
    "",
    VLOOKUP(
        $A20,
        _xlfn._xlws.FILTER(
            INDIRECT("'"&amp;M$1&amp;"'!A2:G1000"), (INDIRECT("'"&amp;M$1&amp;"'!B2:B1000")=$B20) * (INDIRECT("'"&amp;M$1&amp;"'!C2:C1000")=$C20)
        ),7,
        FALSE
    )
)</f>
        <v/>
      </c>
      <c r="N20" s="50">
        <f t="array" ref="N20">IF(
    VLOOKUP(
        $A20,
        _xlfn._xlws.FILTER(
            INDIRECT("'"&amp;N$1&amp;"'!A2:G1000"), (INDIRECT("'"&amp;N$1&amp;"'!B2:B1000")=$B20) * (INDIRECT("'"&amp;N$1&amp;"'!C2:C1000")=$C20)
        ),
        5,
        FALSE
    )="",
    "",
    VLOOKUP(
        $A20,
        _xlfn._xlws.FILTER(
            INDIRECT("'"&amp;N$1&amp;"'!A2:G1000"), (INDIRECT("'"&amp;N$1&amp;"'!B2:B1000")=$B20) * (INDIRECT("'"&amp;N$1&amp;"'!C2:C1000")=$C20)
        ),7,
        FALSE
    )
)</f>
        <v/>
      </c>
      <c r="O20" s="50">
        <f t="array" ref="O20">IF(
    VLOOKUP(
        $A20,
        _xlfn._xlws.FILTER(
            INDIRECT("'"&amp;O$1&amp;"'!A2:G1000"), (INDIRECT("'"&amp;O$1&amp;"'!B2:B1000")=$B20) * (INDIRECT("'"&amp;O$1&amp;"'!C2:C1000")=$C20)
        ),
        5,
        FALSE
    )="",
    "",
    VLOOKUP(
        $A20,
        _xlfn._xlws.FILTER(
            INDIRECT("'"&amp;O$1&amp;"'!A2:G1000"), (INDIRECT("'"&amp;O$1&amp;"'!B2:B1000")=$B20) * (INDIRECT("'"&amp;O$1&amp;"'!C2:C1000")=$C20)
        ),7,
        FALSE
    )
)</f>
        <v/>
      </c>
      <c r="P20" s="50">
        <f t="array" ref="P20">IF(
    VLOOKUP(
        $A20,
        _xlfn._xlws.FILTER(
            INDIRECT("'"&amp;P$1&amp;"'!A2:G1000"), (INDIRECT("'"&amp;P$1&amp;"'!B2:B1000")=$B20) * (INDIRECT("'"&amp;P$1&amp;"'!C2:C1000")=$C20)
        ),
        5,
        FALSE
    )="",
    "",
    VLOOKUP(
        $A20,
        _xlfn._xlws.FILTER(
            INDIRECT("'"&amp;P$1&amp;"'!A2:G1000"), (INDIRECT("'"&amp;P$1&amp;"'!B2:B1000")=$B20) * (INDIRECT("'"&amp;P$1&amp;"'!C2:C1000")=$C20)
        ),7,
        FALSE
    )
)</f>
        <v/>
      </c>
      <c r="Q20" s="50">
        <f t="array" ref="Q20">IF(
    VLOOKUP(
        $A20,
        _xlfn._xlws.FILTER(
            INDIRECT("'"&amp;Q$1&amp;"'!A2:G1000"), (INDIRECT("'"&amp;Q$1&amp;"'!B2:B1000")=$B20) * (INDIRECT("'"&amp;Q$1&amp;"'!C2:C1000")=$C20)
        ),
        5,
        FALSE
    )="",
    "",
    VLOOKUP(
        $A20,
        _xlfn._xlws.FILTER(
            INDIRECT("'"&amp;Q$1&amp;"'!A2:G1000"), (INDIRECT("'"&amp;Q$1&amp;"'!B2:B1000")=$B20) * (INDIRECT("'"&amp;Q$1&amp;"'!C2:C1000")=$C20)
        ),7,
        FALSE
    )
)</f>
        <v/>
      </c>
    </row>
    <row r="21" ht="15.75" customHeight="1">
      <c r="A21" s="106" t="inlineStr">
        <is>
          <t>Gabriel</t>
        </is>
      </c>
      <c r="B21" s="50" t="inlineStr">
        <is>
          <t>Ouro Verde do Oeste</t>
        </is>
      </c>
      <c r="C21" s="50" t="n">
        <v>1</v>
      </c>
      <c r="D21" s="50">
        <f t="array" ref="D21">IF(
    VLOOKUP(
        $A21,
        _xlfn._xlws.FILTER(
            INDIRECT("'"&amp;D$1&amp;"'!A2:G1000"), (INDIRECT("'"&amp;D$1&amp;"'!B2:B1000")=$B21) * (INDIRECT("'"&amp;D$1&amp;"'!C2:C1000")=$C21)
        ),
        5,
        FALSE
    )="",
    "",
    VLOOKUP(
        $A21,
        _xlfn._xlws.FILTER(
            INDIRECT("'"&amp;D$1&amp;"'!A2:G1000"), (INDIRECT("'"&amp;D$1&amp;"'!B2:B1000")=$B21) * (INDIRECT("'"&amp;D$1&amp;"'!C2:C1000")=$C21)
        ),7,
        FALSE
    )
)</f>
        <v/>
      </c>
      <c r="E21" s="50">
        <f t="array" ref="E21">IF(
    VLOOKUP(
        $A21,
        _xlfn._xlws.FILTER(
            INDIRECT("'"&amp;E$1&amp;"'!A2:G1000"), (INDIRECT("'"&amp;E$1&amp;"'!B2:B1000")=$B21) * (INDIRECT("'"&amp;E$1&amp;"'!C2:C1000")=$C21)
        ),
        5,
        FALSE
    )="",
    "",
    VLOOKUP(
        $A21,
        _xlfn._xlws.FILTER(
            INDIRECT("'"&amp;E$1&amp;"'!A2:G1000"), (INDIRECT("'"&amp;E$1&amp;"'!B2:B1000")=$B21) * (INDIRECT("'"&amp;E$1&amp;"'!C2:C1000")=$C21)
        ),7,
        FALSE
    )
)</f>
        <v/>
      </c>
      <c r="F21" s="50">
        <f t="array" ref="F21">IF(
    VLOOKUP(
        $A21,
        _xlfn._xlws.FILTER(
            INDIRECT("'"&amp;F$1&amp;"'!A2:G1000"), (INDIRECT("'"&amp;F$1&amp;"'!B2:B1000")=$B21) * (INDIRECT("'"&amp;F$1&amp;"'!C2:C1000")=$C21)
        ),
        5,
        FALSE
    )="",
    "",
    VLOOKUP(
        $A21,
        _xlfn._xlws.FILTER(
            INDIRECT("'"&amp;F$1&amp;"'!A2:G1000"), (INDIRECT("'"&amp;F$1&amp;"'!B2:B1000")=$B21) * (INDIRECT("'"&amp;F$1&amp;"'!C2:C1000")=$C21)
        ),7,
        FALSE
    )
)</f>
        <v/>
      </c>
      <c r="G21" s="50">
        <f t="array" ref="G21">IF(
    VLOOKUP(
        $A21,
        _xlfn._xlws.FILTER(
            INDIRECT("'"&amp;G$1&amp;"'!A2:G1000"), (INDIRECT("'"&amp;G$1&amp;"'!B2:B1000")=$B21) * (INDIRECT("'"&amp;G$1&amp;"'!C2:C1000")=$C21)
        ),
        5,
        FALSE
    )="",
    "",
    VLOOKUP(
        $A21,
        _xlfn._xlws.FILTER(
            INDIRECT("'"&amp;G$1&amp;"'!A2:G1000"), (INDIRECT("'"&amp;G$1&amp;"'!B2:B1000")=$B21) * (INDIRECT("'"&amp;G$1&amp;"'!C2:C1000")=$C21)
        ),7,
        FALSE
    )
)</f>
        <v/>
      </c>
      <c r="H21" s="50">
        <f t="array" ref="H21">IF(
    VLOOKUP(
        $A21,
        _xlfn._xlws.FILTER(
            INDIRECT("'"&amp;H$1&amp;"'!A2:G1000"), (INDIRECT("'"&amp;H$1&amp;"'!B2:B1000")=$B21) * (INDIRECT("'"&amp;H$1&amp;"'!C2:C1000")=$C21)
        ),
        5,
        FALSE
    )="",
    "",
    VLOOKUP(
        $A21,
        _xlfn._xlws.FILTER(
            INDIRECT("'"&amp;H$1&amp;"'!A2:G1000"), (INDIRECT("'"&amp;H$1&amp;"'!B2:B1000")=$B21) * (INDIRECT("'"&amp;H$1&amp;"'!C2:C1000")=$C21)
        ),7,
        FALSE
    )
)</f>
        <v/>
      </c>
      <c r="I21" s="50">
        <f t="array" ref="I21">IF(
    VLOOKUP(
        $A21,
        _xlfn._xlws.FILTER(
            INDIRECT("'"&amp;I$1&amp;"'!A2:G1000"), (INDIRECT("'"&amp;I$1&amp;"'!B2:B1000")=$B21) * (INDIRECT("'"&amp;I$1&amp;"'!C2:C1000")=$C21)
        ),
        5,
        FALSE
    )="",
    "",
    VLOOKUP(
        $A21,
        _xlfn._xlws.FILTER(
            INDIRECT("'"&amp;I$1&amp;"'!A2:G1000"), (INDIRECT("'"&amp;I$1&amp;"'!B2:B1000")=$B21) * (INDIRECT("'"&amp;I$1&amp;"'!C2:C1000")=$C21)
        ),7,
        FALSE
    )
)</f>
        <v/>
      </c>
      <c r="J21" s="50">
        <f t="array" ref="J21">IF(
    VLOOKUP(
        $A21,
        _xlfn._xlws.FILTER(
            INDIRECT("'"&amp;J$1&amp;"'!A2:G1000"), (INDIRECT("'"&amp;J$1&amp;"'!B2:B1000")=$B21) * (INDIRECT("'"&amp;J$1&amp;"'!C2:C1000")=$C21)
        ),
        5,
        FALSE
    )="",
    "",
    VLOOKUP(
        $A21,
        _xlfn._xlws.FILTER(
            INDIRECT("'"&amp;J$1&amp;"'!A2:G1000"), (INDIRECT("'"&amp;J$1&amp;"'!B2:B1000")=$B21) * (INDIRECT("'"&amp;J$1&amp;"'!C2:C1000")=$C21)
        ),7,
        FALSE
    )
)</f>
        <v/>
      </c>
      <c r="K21" s="50">
        <f t="array" ref="K21">IF(
    VLOOKUP(
        $A21,
        _xlfn._xlws.FILTER(
            INDIRECT("'"&amp;K$1&amp;"'!A2:G1000"), (INDIRECT("'"&amp;K$1&amp;"'!B2:B1000")=$B21) * (INDIRECT("'"&amp;K$1&amp;"'!C2:C1000")=$C21)
        ),
        5,
        FALSE
    )="",
    "",
    VLOOKUP(
        $A21,
        _xlfn._xlws.FILTER(
            INDIRECT("'"&amp;K$1&amp;"'!A2:G1000"), (INDIRECT("'"&amp;K$1&amp;"'!B2:B1000")=$B21) * (INDIRECT("'"&amp;K$1&amp;"'!C2:C1000")=$C21)
        ),7,
        FALSE
    )
)</f>
        <v/>
      </c>
      <c r="L21" s="50">
        <f t="array" ref="L21">IF(
    VLOOKUP(
        $A21,
        _xlfn._xlws.FILTER(
            INDIRECT("'"&amp;L$1&amp;"'!A2:G1000"), (INDIRECT("'"&amp;L$1&amp;"'!B2:B1000")=$B21) * (INDIRECT("'"&amp;L$1&amp;"'!C2:C1000")=$C21)
        ),
        5,
        FALSE
    )="",
    "",
    VLOOKUP(
        $A21,
        _xlfn._xlws.FILTER(
            INDIRECT("'"&amp;L$1&amp;"'!A2:G1000"), (INDIRECT("'"&amp;L$1&amp;"'!B2:B1000")=$B21) * (INDIRECT("'"&amp;L$1&amp;"'!C2:C1000")=$C21)
        ),7,
        FALSE
    )
)</f>
        <v/>
      </c>
      <c r="M21" s="50">
        <f t="array" ref="M21">IF(
    VLOOKUP(
        $A21,
        _xlfn._xlws.FILTER(
            INDIRECT("'"&amp;M$1&amp;"'!A2:G1000"), (INDIRECT("'"&amp;M$1&amp;"'!B2:B1000")=$B21) * (INDIRECT("'"&amp;M$1&amp;"'!C2:C1000")=$C21)
        ),
        5,
        FALSE
    )="",
    "",
    VLOOKUP(
        $A21,
        _xlfn._xlws.FILTER(
            INDIRECT("'"&amp;M$1&amp;"'!A2:G1000"), (INDIRECT("'"&amp;M$1&amp;"'!B2:B1000")=$B21) * (INDIRECT("'"&amp;M$1&amp;"'!C2:C1000")=$C21)
        ),7,
        FALSE
    )
)</f>
        <v/>
      </c>
      <c r="N21" s="50">
        <f t="array" ref="N21">IF(
    VLOOKUP(
        $A21,
        _xlfn._xlws.FILTER(
            INDIRECT("'"&amp;N$1&amp;"'!A2:G1000"), (INDIRECT("'"&amp;N$1&amp;"'!B2:B1000")=$B21) * (INDIRECT("'"&amp;N$1&amp;"'!C2:C1000")=$C21)
        ),
        5,
        FALSE
    )="",
    "",
    VLOOKUP(
        $A21,
        _xlfn._xlws.FILTER(
            INDIRECT("'"&amp;N$1&amp;"'!A2:G1000"), (INDIRECT("'"&amp;N$1&amp;"'!B2:B1000")=$B21) * (INDIRECT("'"&amp;N$1&amp;"'!C2:C1000")=$C21)
        ),7,
        FALSE
    )
)</f>
        <v/>
      </c>
      <c r="O21" s="50">
        <f t="array" ref="O21">IF(
    VLOOKUP(
        $A21,
        _xlfn._xlws.FILTER(
            INDIRECT("'"&amp;O$1&amp;"'!A2:G1000"), (INDIRECT("'"&amp;O$1&amp;"'!B2:B1000")=$B21) * (INDIRECT("'"&amp;O$1&amp;"'!C2:C1000")=$C21)
        ),
        5,
        FALSE
    )="",
    "",
    VLOOKUP(
        $A21,
        _xlfn._xlws.FILTER(
            INDIRECT("'"&amp;O$1&amp;"'!A2:G1000"), (INDIRECT("'"&amp;O$1&amp;"'!B2:B1000")=$B21) * (INDIRECT("'"&amp;O$1&amp;"'!C2:C1000")=$C21)
        ),7,
        FALSE
    )
)</f>
        <v/>
      </c>
      <c r="P21" s="50">
        <f t="array" ref="P21">IF(
    VLOOKUP(
        $A21,
        _xlfn._xlws.FILTER(
            INDIRECT("'"&amp;P$1&amp;"'!A2:G1000"), (INDIRECT("'"&amp;P$1&amp;"'!B2:B1000")=$B21) * (INDIRECT("'"&amp;P$1&amp;"'!C2:C1000")=$C21)
        ),
        5,
        FALSE
    )="",
    "",
    VLOOKUP(
        $A21,
        _xlfn._xlws.FILTER(
            INDIRECT("'"&amp;P$1&amp;"'!A2:G1000"), (INDIRECT("'"&amp;P$1&amp;"'!B2:B1000")=$B21) * (INDIRECT("'"&amp;P$1&amp;"'!C2:C1000")=$C21)
        ),7,
        FALSE
    )
)</f>
        <v/>
      </c>
      <c r="Q21" s="50">
        <f t="array" ref="Q21">IF(
    VLOOKUP(
        $A21,
        _xlfn._xlws.FILTER(
            INDIRECT("'"&amp;Q$1&amp;"'!A2:G1000"), (INDIRECT("'"&amp;Q$1&amp;"'!B2:B1000")=$B21) * (INDIRECT("'"&amp;Q$1&amp;"'!C2:C1000")=$C21)
        ),
        5,
        FALSE
    )="",
    "",
    VLOOKUP(
        $A21,
        _xlfn._xlws.FILTER(
            INDIRECT("'"&amp;Q$1&amp;"'!A2:G1000"), (INDIRECT("'"&amp;Q$1&amp;"'!B2:B1000")=$B21) * (INDIRECT("'"&amp;Q$1&amp;"'!C2:C1000")=$C21)
        ),7,
        FALSE
    )
)</f>
        <v/>
      </c>
    </row>
    <row r="22" ht="15.75" customHeight="1">
      <c r="A22" s="106" t="inlineStr">
        <is>
          <t>Gabriel</t>
        </is>
      </c>
      <c r="B22" s="50" t="inlineStr">
        <is>
          <t>Quatro Pontes</t>
        </is>
      </c>
      <c r="C22" s="50" t="n">
        <v>1</v>
      </c>
      <c r="D22" s="50">
        <f t="array" ref="D22">IF(
    VLOOKUP(
        $A22,
        _xlfn._xlws.FILTER(
            INDIRECT("'"&amp;D$1&amp;"'!A2:G1000"), (INDIRECT("'"&amp;D$1&amp;"'!B2:B1000")=$B22) * (INDIRECT("'"&amp;D$1&amp;"'!C2:C1000")=$C22)
        ),
        5,
        FALSE
    )="",
    "",
    VLOOKUP(
        $A22,
        _xlfn._xlws.FILTER(
            INDIRECT("'"&amp;D$1&amp;"'!A2:G1000"), (INDIRECT("'"&amp;D$1&amp;"'!B2:B1000")=$B22) * (INDIRECT("'"&amp;D$1&amp;"'!C2:C1000")=$C22)
        ),7,
        FALSE
    )
)</f>
        <v/>
      </c>
      <c r="E22" s="50">
        <f t="array" ref="E22">IF(
    VLOOKUP(
        $A22,
        _xlfn._xlws.FILTER(
            INDIRECT("'"&amp;E$1&amp;"'!A2:G1000"), (INDIRECT("'"&amp;E$1&amp;"'!B2:B1000")=$B22) * (INDIRECT("'"&amp;E$1&amp;"'!C2:C1000")=$C22)
        ),
        5,
        FALSE
    )="",
    "",
    VLOOKUP(
        $A22,
        _xlfn._xlws.FILTER(
            INDIRECT("'"&amp;E$1&amp;"'!A2:G1000"), (INDIRECT("'"&amp;E$1&amp;"'!B2:B1000")=$B22) * (INDIRECT("'"&amp;E$1&amp;"'!C2:C1000")=$C22)
        ),7,
        FALSE
    )
)</f>
        <v/>
      </c>
      <c r="F22" s="50">
        <f t="array" ref="F22">IF(
    VLOOKUP(
        $A22,
        _xlfn._xlws.FILTER(
            INDIRECT("'"&amp;F$1&amp;"'!A2:G1000"), (INDIRECT("'"&amp;F$1&amp;"'!B2:B1000")=$B22) * (INDIRECT("'"&amp;F$1&amp;"'!C2:C1000")=$C22)
        ),
        5,
        FALSE
    )="",
    "",
    VLOOKUP(
        $A22,
        _xlfn._xlws.FILTER(
            INDIRECT("'"&amp;F$1&amp;"'!A2:G1000"), (INDIRECT("'"&amp;F$1&amp;"'!B2:B1000")=$B22) * (INDIRECT("'"&amp;F$1&amp;"'!C2:C1000")=$C22)
        ),7,
        FALSE
    )
)</f>
        <v/>
      </c>
      <c r="G22" s="50">
        <f t="array" ref="G22">IF(
    VLOOKUP(
        $A22,
        _xlfn._xlws.FILTER(
            INDIRECT("'"&amp;G$1&amp;"'!A2:G1000"), (INDIRECT("'"&amp;G$1&amp;"'!B2:B1000")=$B22) * (INDIRECT("'"&amp;G$1&amp;"'!C2:C1000")=$C22)
        ),
        5,
        FALSE
    )="",
    "",
    VLOOKUP(
        $A22,
        _xlfn._xlws.FILTER(
            INDIRECT("'"&amp;G$1&amp;"'!A2:G1000"), (INDIRECT("'"&amp;G$1&amp;"'!B2:B1000")=$B22) * (INDIRECT("'"&amp;G$1&amp;"'!C2:C1000")=$C22)
        ),7,
        FALSE
    )
)</f>
        <v/>
      </c>
      <c r="H22" s="50">
        <f t="array" ref="H22">IF(
    VLOOKUP(
        $A22,
        _xlfn._xlws.FILTER(
            INDIRECT("'"&amp;H$1&amp;"'!A2:G1000"), (INDIRECT("'"&amp;H$1&amp;"'!B2:B1000")=$B22) * (INDIRECT("'"&amp;H$1&amp;"'!C2:C1000")=$C22)
        ),
        5,
        FALSE
    )="",
    "",
    VLOOKUP(
        $A22,
        _xlfn._xlws.FILTER(
            INDIRECT("'"&amp;H$1&amp;"'!A2:G1000"), (INDIRECT("'"&amp;H$1&amp;"'!B2:B1000")=$B22) * (INDIRECT("'"&amp;H$1&amp;"'!C2:C1000")=$C22)
        ),7,
        FALSE
    )
)</f>
        <v/>
      </c>
      <c r="I22" s="50">
        <f t="array" ref="I22">IF(
    VLOOKUP(
        $A22,
        _xlfn._xlws.FILTER(
            INDIRECT("'"&amp;I$1&amp;"'!A2:G1000"), (INDIRECT("'"&amp;I$1&amp;"'!B2:B1000")=$B22) * (INDIRECT("'"&amp;I$1&amp;"'!C2:C1000")=$C22)
        ),
        5,
        FALSE
    )="",
    "",
    VLOOKUP(
        $A22,
        _xlfn._xlws.FILTER(
            INDIRECT("'"&amp;I$1&amp;"'!A2:G1000"), (INDIRECT("'"&amp;I$1&amp;"'!B2:B1000")=$B22) * (INDIRECT("'"&amp;I$1&amp;"'!C2:C1000")=$C22)
        ),7,
        FALSE
    )
)</f>
        <v/>
      </c>
      <c r="J22" s="50">
        <f t="array" ref="J22">IF(
    VLOOKUP(
        $A22,
        _xlfn._xlws.FILTER(
            INDIRECT("'"&amp;J$1&amp;"'!A2:G1000"), (INDIRECT("'"&amp;J$1&amp;"'!B2:B1000")=$B22) * (INDIRECT("'"&amp;J$1&amp;"'!C2:C1000")=$C22)
        ),
        5,
        FALSE
    )="",
    "",
    VLOOKUP(
        $A22,
        _xlfn._xlws.FILTER(
            INDIRECT("'"&amp;J$1&amp;"'!A2:G1000"), (INDIRECT("'"&amp;J$1&amp;"'!B2:B1000")=$B22) * (INDIRECT("'"&amp;J$1&amp;"'!C2:C1000")=$C22)
        ),7,
        FALSE
    )
)</f>
        <v/>
      </c>
      <c r="K22" s="50">
        <f t="array" ref="K22">IF(
    VLOOKUP(
        $A22,
        _xlfn._xlws.FILTER(
            INDIRECT("'"&amp;K$1&amp;"'!A2:G1000"), (INDIRECT("'"&amp;K$1&amp;"'!B2:B1000")=$B22) * (INDIRECT("'"&amp;K$1&amp;"'!C2:C1000")=$C22)
        ),
        5,
        FALSE
    )="",
    "",
    VLOOKUP(
        $A22,
        _xlfn._xlws.FILTER(
            INDIRECT("'"&amp;K$1&amp;"'!A2:G1000"), (INDIRECT("'"&amp;K$1&amp;"'!B2:B1000")=$B22) * (INDIRECT("'"&amp;K$1&amp;"'!C2:C1000")=$C22)
        ),7,
        FALSE
    )
)</f>
        <v/>
      </c>
      <c r="L22" s="50">
        <f t="array" ref="L22">IF(
    VLOOKUP(
        $A22,
        _xlfn._xlws.FILTER(
            INDIRECT("'"&amp;L$1&amp;"'!A2:G1000"), (INDIRECT("'"&amp;L$1&amp;"'!B2:B1000")=$B22) * (INDIRECT("'"&amp;L$1&amp;"'!C2:C1000")=$C22)
        ),
        5,
        FALSE
    )="",
    "",
    VLOOKUP(
        $A22,
        _xlfn._xlws.FILTER(
            INDIRECT("'"&amp;L$1&amp;"'!A2:G1000"), (INDIRECT("'"&amp;L$1&amp;"'!B2:B1000")=$B22) * (INDIRECT("'"&amp;L$1&amp;"'!C2:C1000")=$C22)
        ),7,
        FALSE
    )
)</f>
        <v/>
      </c>
      <c r="M22" s="50">
        <f t="array" ref="M22">IF(
    VLOOKUP(
        $A22,
        _xlfn._xlws.FILTER(
            INDIRECT("'"&amp;M$1&amp;"'!A2:G1000"), (INDIRECT("'"&amp;M$1&amp;"'!B2:B1000")=$B22) * (INDIRECT("'"&amp;M$1&amp;"'!C2:C1000")=$C22)
        ),
        5,
        FALSE
    )="",
    "",
    VLOOKUP(
        $A22,
        _xlfn._xlws.FILTER(
            INDIRECT("'"&amp;M$1&amp;"'!A2:G1000"), (INDIRECT("'"&amp;M$1&amp;"'!B2:B1000")=$B22) * (INDIRECT("'"&amp;M$1&amp;"'!C2:C1000")=$C22)
        ),7,
        FALSE
    )
)</f>
        <v/>
      </c>
      <c r="N22" s="50">
        <f t="array" ref="N22">IF(
    VLOOKUP(
        $A22,
        _xlfn._xlws.FILTER(
            INDIRECT("'"&amp;N$1&amp;"'!A2:G1000"), (INDIRECT("'"&amp;N$1&amp;"'!B2:B1000")=$B22) * (INDIRECT("'"&amp;N$1&amp;"'!C2:C1000")=$C22)
        ),
        5,
        FALSE
    )="",
    "",
    VLOOKUP(
        $A22,
        _xlfn._xlws.FILTER(
            INDIRECT("'"&amp;N$1&amp;"'!A2:G1000"), (INDIRECT("'"&amp;N$1&amp;"'!B2:B1000")=$B22) * (INDIRECT("'"&amp;N$1&amp;"'!C2:C1000")=$C22)
        ),7,
        FALSE
    )
)</f>
        <v/>
      </c>
      <c r="O22" s="50">
        <f t="array" ref="O22">IF(
    VLOOKUP(
        $A22,
        _xlfn._xlws.FILTER(
            INDIRECT("'"&amp;O$1&amp;"'!A2:G1000"), (INDIRECT("'"&amp;O$1&amp;"'!B2:B1000")=$B22) * (INDIRECT("'"&amp;O$1&amp;"'!C2:C1000")=$C22)
        ),
        5,
        FALSE
    )="",
    "",
    VLOOKUP(
        $A22,
        _xlfn._xlws.FILTER(
            INDIRECT("'"&amp;O$1&amp;"'!A2:G1000"), (INDIRECT("'"&amp;O$1&amp;"'!B2:B1000")=$B22) * (INDIRECT("'"&amp;O$1&amp;"'!C2:C1000")=$C22)
        ),7,
        FALSE
    )
)</f>
        <v/>
      </c>
      <c r="P22" s="50">
        <f t="array" ref="P22">IF(
    VLOOKUP(
        $A22,
        _xlfn._xlws.FILTER(
            INDIRECT("'"&amp;P$1&amp;"'!A2:G1000"), (INDIRECT("'"&amp;P$1&amp;"'!B2:B1000")=$B22) * (INDIRECT("'"&amp;P$1&amp;"'!C2:C1000")=$C22)
        ),
        5,
        FALSE
    )="",
    "",
    VLOOKUP(
        $A22,
        _xlfn._xlws.FILTER(
            INDIRECT("'"&amp;P$1&amp;"'!A2:G1000"), (INDIRECT("'"&amp;P$1&amp;"'!B2:B1000")=$B22) * (INDIRECT("'"&amp;P$1&amp;"'!C2:C1000")=$C22)
        ),7,
        FALSE
    )
)</f>
        <v/>
      </c>
      <c r="Q22" s="50">
        <f t="array" ref="Q22">IF(
    VLOOKUP(
        $A22,
        _xlfn._xlws.FILTER(
            INDIRECT("'"&amp;Q$1&amp;"'!A2:G1000"), (INDIRECT("'"&amp;Q$1&amp;"'!B2:B1000")=$B22) * (INDIRECT("'"&amp;Q$1&amp;"'!C2:C1000")=$C22)
        ),
        5,
        FALSE
    )="",
    "",
    VLOOKUP(
        $A22,
        _xlfn._xlws.FILTER(
            INDIRECT("'"&amp;Q$1&amp;"'!A2:G1000"), (INDIRECT("'"&amp;Q$1&amp;"'!B2:B1000")=$B22) * (INDIRECT("'"&amp;Q$1&amp;"'!C2:C1000")=$C22)
        ),7,
        FALSE
    )
)</f>
        <v/>
      </c>
    </row>
    <row r="23" ht="15.75" customHeight="1">
      <c r="A23" s="106" t="inlineStr">
        <is>
          <t>Gabriel</t>
        </is>
      </c>
      <c r="B23" s="50" t="inlineStr">
        <is>
          <t>São Jose das Palmeiras</t>
        </is>
      </c>
      <c r="C23" s="50" t="n">
        <v>1</v>
      </c>
      <c r="D23" s="50">
        <f t="array" ref="D23">IF(
    VLOOKUP(
        $A23,
        _xlfn._xlws.FILTER(
            INDIRECT("'"&amp;D$1&amp;"'!A2:G1000"), (INDIRECT("'"&amp;D$1&amp;"'!B2:B1000")=$B23) * (INDIRECT("'"&amp;D$1&amp;"'!C2:C1000")=$C23)
        ),
        5,
        FALSE
    )="",
    "",
    VLOOKUP(
        $A23,
        _xlfn._xlws.FILTER(
            INDIRECT("'"&amp;D$1&amp;"'!A2:G1000"), (INDIRECT("'"&amp;D$1&amp;"'!B2:B1000")=$B23) * (INDIRECT("'"&amp;D$1&amp;"'!C2:C1000")=$C23)
        ),7,
        FALSE
    )
)</f>
        <v/>
      </c>
      <c r="E23" s="50">
        <f t="array" ref="E23">IF(
    VLOOKUP(
        $A23,
        _xlfn._xlws.FILTER(
            INDIRECT("'"&amp;E$1&amp;"'!A2:G1000"), (INDIRECT("'"&amp;E$1&amp;"'!B2:B1000")=$B23) * (INDIRECT("'"&amp;E$1&amp;"'!C2:C1000")=$C23)
        ),
        5,
        FALSE
    )="",
    "",
    VLOOKUP(
        $A23,
        _xlfn._xlws.FILTER(
            INDIRECT("'"&amp;E$1&amp;"'!A2:G1000"), (INDIRECT("'"&amp;E$1&amp;"'!B2:B1000")=$B23) * (INDIRECT("'"&amp;E$1&amp;"'!C2:C1000")=$C23)
        ),7,
        FALSE
    )
)</f>
        <v/>
      </c>
      <c r="F23" s="50">
        <f t="array" ref="F23">IF(
    VLOOKUP(
        $A23,
        _xlfn._xlws.FILTER(
            INDIRECT("'"&amp;F$1&amp;"'!A2:G1000"), (INDIRECT("'"&amp;F$1&amp;"'!B2:B1000")=$B23) * (INDIRECT("'"&amp;F$1&amp;"'!C2:C1000")=$C23)
        ),
        5,
        FALSE
    )="",
    "",
    VLOOKUP(
        $A23,
        _xlfn._xlws.FILTER(
            INDIRECT("'"&amp;F$1&amp;"'!A2:G1000"), (INDIRECT("'"&amp;F$1&amp;"'!B2:B1000")=$B23) * (INDIRECT("'"&amp;F$1&amp;"'!C2:C1000")=$C23)
        ),7,
        FALSE
    )
)</f>
        <v/>
      </c>
      <c r="G23" s="50">
        <f t="array" ref="G23">IF(
    VLOOKUP(
        $A23,
        _xlfn._xlws.FILTER(
            INDIRECT("'"&amp;G$1&amp;"'!A2:G1000"), (INDIRECT("'"&amp;G$1&amp;"'!B2:B1000")=$B23) * (INDIRECT("'"&amp;G$1&amp;"'!C2:C1000")=$C23)
        ),
        5,
        FALSE
    )="",
    "",
    VLOOKUP(
        $A23,
        _xlfn._xlws.FILTER(
            INDIRECT("'"&amp;G$1&amp;"'!A2:G1000"), (INDIRECT("'"&amp;G$1&amp;"'!B2:B1000")=$B23) * (INDIRECT("'"&amp;G$1&amp;"'!C2:C1000")=$C23)
        ),7,
        FALSE
    )
)</f>
        <v/>
      </c>
      <c r="H23" s="50">
        <f t="array" ref="H23">IF(
    VLOOKUP(
        $A23,
        _xlfn._xlws.FILTER(
            INDIRECT("'"&amp;H$1&amp;"'!A2:G1000"), (INDIRECT("'"&amp;H$1&amp;"'!B2:B1000")=$B23) * (INDIRECT("'"&amp;H$1&amp;"'!C2:C1000")=$C23)
        ),
        5,
        FALSE
    )="",
    "",
    VLOOKUP(
        $A23,
        _xlfn._xlws.FILTER(
            INDIRECT("'"&amp;H$1&amp;"'!A2:G1000"), (INDIRECT("'"&amp;H$1&amp;"'!B2:B1000")=$B23) * (INDIRECT("'"&amp;H$1&amp;"'!C2:C1000")=$C23)
        ),7,
        FALSE
    )
)</f>
        <v/>
      </c>
      <c r="I23" s="50">
        <f t="array" ref="I23">IF(
    VLOOKUP(
        $A23,
        _xlfn._xlws.FILTER(
            INDIRECT("'"&amp;I$1&amp;"'!A2:G1000"), (INDIRECT("'"&amp;I$1&amp;"'!B2:B1000")=$B23) * (INDIRECT("'"&amp;I$1&amp;"'!C2:C1000")=$C23)
        ),
        5,
        FALSE
    )="",
    "",
    VLOOKUP(
        $A23,
        _xlfn._xlws.FILTER(
            INDIRECT("'"&amp;I$1&amp;"'!A2:G1000"), (INDIRECT("'"&amp;I$1&amp;"'!B2:B1000")=$B23) * (INDIRECT("'"&amp;I$1&amp;"'!C2:C1000")=$C23)
        ),7,
        FALSE
    )
)</f>
        <v/>
      </c>
      <c r="J23" s="50">
        <f t="array" ref="J23">IF(
    VLOOKUP(
        $A23,
        _xlfn._xlws.FILTER(
            INDIRECT("'"&amp;J$1&amp;"'!A2:G1000"), (INDIRECT("'"&amp;J$1&amp;"'!B2:B1000")=$B23) * (INDIRECT("'"&amp;J$1&amp;"'!C2:C1000")=$C23)
        ),
        5,
        FALSE
    )="",
    "",
    VLOOKUP(
        $A23,
        _xlfn._xlws.FILTER(
            INDIRECT("'"&amp;J$1&amp;"'!A2:G1000"), (INDIRECT("'"&amp;J$1&amp;"'!B2:B1000")=$B23) * (INDIRECT("'"&amp;J$1&amp;"'!C2:C1000")=$C23)
        ),7,
        FALSE
    )
)</f>
        <v/>
      </c>
      <c r="K23" s="50">
        <f t="array" ref="K23">IF(
    VLOOKUP(
        $A23,
        _xlfn._xlws.FILTER(
            INDIRECT("'"&amp;K$1&amp;"'!A2:G1000"), (INDIRECT("'"&amp;K$1&amp;"'!B2:B1000")=$B23) * (INDIRECT("'"&amp;K$1&amp;"'!C2:C1000")=$C23)
        ),
        5,
        FALSE
    )="",
    "",
    VLOOKUP(
        $A23,
        _xlfn._xlws.FILTER(
            INDIRECT("'"&amp;K$1&amp;"'!A2:G1000"), (INDIRECT("'"&amp;K$1&amp;"'!B2:B1000")=$B23) * (INDIRECT("'"&amp;K$1&amp;"'!C2:C1000")=$C23)
        ),7,
        FALSE
    )
)</f>
        <v/>
      </c>
      <c r="L23" s="50">
        <f t="array" ref="L23">IF(
    VLOOKUP(
        $A23,
        _xlfn._xlws.FILTER(
            INDIRECT("'"&amp;L$1&amp;"'!A2:G1000"), (INDIRECT("'"&amp;L$1&amp;"'!B2:B1000")=$B23) * (INDIRECT("'"&amp;L$1&amp;"'!C2:C1000")=$C23)
        ),
        5,
        FALSE
    )="",
    "",
    VLOOKUP(
        $A23,
        _xlfn._xlws.FILTER(
            INDIRECT("'"&amp;L$1&amp;"'!A2:G1000"), (INDIRECT("'"&amp;L$1&amp;"'!B2:B1000")=$B23) * (INDIRECT("'"&amp;L$1&amp;"'!C2:C1000")=$C23)
        ),7,
        FALSE
    )
)</f>
        <v/>
      </c>
      <c r="M23" s="50">
        <f t="array" ref="M23">IF(
    VLOOKUP(
        $A23,
        _xlfn._xlws.FILTER(
            INDIRECT("'"&amp;M$1&amp;"'!A2:G1000"), (INDIRECT("'"&amp;M$1&amp;"'!B2:B1000")=$B23) * (INDIRECT("'"&amp;M$1&amp;"'!C2:C1000")=$C23)
        ),
        5,
        FALSE
    )="",
    "",
    VLOOKUP(
        $A23,
        _xlfn._xlws.FILTER(
            INDIRECT("'"&amp;M$1&amp;"'!A2:G1000"), (INDIRECT("'"&amp;M$1&amp;"'!B2:B1000")=$B23) * (INDIRECT("'"&amp;M$1&amp;"'!C2:C1000")=$C23)
        ),7,
        FALSE
    )
)</f>
        <v/>
      </c>
      <c r="N23" s="50">
        <f t="array" ref="N23">IF(
    VLOOKUP(
        $A23,
        _xlfn._xlws.FILTER(
            INDIRECT("'"&amp;N$1&amp;"'!A2:G1000"), (INDIRECT("'"&amp;N$1&amp;"'!B2:B1000")=$B23) * (INDIRECT("'"&amp;N$1&amp;"'!C2:C1000")=$C23)
        ),
        5,
        FALSE
    )="",
    "",
    VLOOKUP(
        $A23,
        _xlfn._xlws.FILTER(
            INDIRECT("'"&amp;N$1&amp;"'!A2:G1000"), (INDIRECT("'"&amp;N$1&amp;"'!B2:B1000")=$B23) * (INDIRECT("'"&amp;N$1&amp;"'!C2:C1000")=$C23)
        ),7,
        FALSE
    )
)</f>
        <v/>
      </c>
      <c r="O23" s="50">
        <f t="array" ref="O23">IF(
    VLOOKUP(
        $A23,
        _xlfn._xlws.FILTER(
            INDIRECT("'"&amp;O$1&amp;"'!A2:G1000"), (INDIRECT("'"&amp;O$1&amp;"'!B2:B1000")=$B23) * (INDIRECT("'"&amp;O$1&amp;"'!C2:C1000")=$C23)
        ),
        5,
        FALSE
    )="",
    "",
    VLOOKUP(
        $A23,
        _xlfn._xlws.FILTER(
            INDIRECT("'"&amp;O$1&amp;"'!A2:G1000"), (INDIRECT("'"&amp;O$1&amp;"'!B2:B1000")=$B23) * (INDIRECT("'"&amp;O$1&amp;"'!C2:C1000")=$C23)
        ),7,
        FALSE
    )
)</f>
        <v/>
      </c>
      <c r="P23" s="50">
        <f t="array" ref="P23">IF(
    VLOOKUP(
        $A23,
        _xlfn._xlws.FILTER(
            INDIRECT("'"&amp;P$1&amp;"'!A2:G1000"), (INDIRECT("'"&amp;P$1&amp;"'!B2:B1000")=$B23) * (INDIRECT("'"&amp;P$1&amp;"'!C2:C1000")=$C23)
        ),
        5,
        FALSE
    )="",
    "",
    VLOOKUP(
        $A23,
        _xlfn._xlws.FILTER(
            INDIRECT("'"&amp;P$1&amp;"'!A2:G1000"), (INDIRECT("'"&amp;P$1&amp;"'!B2:B1000")=$B23) * (INDIRECT("'"&amp;P$1&amp;"'!C2:C1000")=$C23)
        ),7,
        FALSE
    )
)</f>
        <v/>
      </c>
      <c r="Q23" s="50">
        <f t="array" ref="Q23">IF(
    VLOOKUP(
        $A23,
        _xlfn._xlws.FILTER(
            INDIRECT("'"&amp;Q$1&amp;"'!A2:G1000"), (INDIRECT("'"&amp;Q$1&amp;"'!B2:B1000")=$B23) * (INDIRECT("'"&amp;Q$1&amp;"'!C2:C1000")=$C23)
        ),
        5,
        FALSE
    )="",
    "",
    VLOOKUP(
        $A23,
        _xlfn._xlws.FILTER(
            INDIRECT("'"&amp;Q$1&amp;"'!A2:G1000"), (INDIRECT("'"&amp;Q$1&amp;"'!B2:B1000")=$B23) * (INDIRECT("'"&amp;Q$1&amp;"'!C2:C1000")=$C23)
        ),7,
        FALSE
    )
)</f>
        <v/>
      </c>
    </row>
    <row r="24" ht="15.75" customHeight="1">
      <c r="A24" s="106" t="inlineStr">
        <is>
          <t>Gabriel</t>
        </is>
      </c>
      <c r="B24" s="50" t="inlineStr">
        <is>
          <t>Terra Roxa</t>
        </is>
      </c>
      <c r="C24" s="50" t="n">
        <v>1</v>
      </c>
      <c r="D24" s="50">
        <f t="array" ref="D24">IF(
    VLOOKUP(
        $A24,
        _xlfn._xlws.FILTER(
            INDIRECT("'"&amp;D$1&amp;"'!A2:G1000"), (INDIRECT("'"&amp;D$1&amp;"'!B2:B1000")=$B24) * (INDIRECT("'"&amp;D$1&amp;"'!C2:C1000")=$C24)
        ),
        5,
        FALSE
    )="",
    "",
    VLOOKUP(
        $A24,
        _xlfn._xlws.FILTER(
            INDIRECT("'"&amp;D$1&amp;"'!A2:G1000"), (INDIRECT("'"&amp;D$1&amp;"'!B2:B1000")=$B24) * (INDIRECT("'"&amp;D$1&amp;"'!C2:C1000")=$C24)
        ),7,
        FALSE
    )
)</f>
        <v/>
      </c>
      <c r="E24" s="50">
        <f t="array" ref="E24">IF(
    VLOOKUP(
        $A24,
        _xlfn._xlws.FILTER(
            INDIRECT("'"&amp;E$1&amp;"'!A2:G1000"), (INDIRECT("'"&amp;E$1&amp;"'!B2:B1000")=$B24) * (INDIRECT("'"&amp;E$1&amp;"'!C2:C1000")=$C24)
        ),
        5,
        FALSE
    )="",
    "",
    VLOOKUP(
        $A24,
        _xlfn._xlws.FILTER(
            INDIRECT("'"&amp;E$1&amp;"'!A2:G1000"), (INDIRECT("'"&amp;E$1&amp;"'!B2:B1000")=$B24) * (INDIRECT("'"&amp;E$1&amp;"'!C2:C1000")=$C24)
        ),7,
        FALSE
    )
)</f>
        <v/>
      </c>
      <c r="F24" s="50">
        <f t="array" ref="F24">IF(
    VLOOKUP(
        $A24,
        _xlfn._xlws.FILTER(
            INDIRECT("'"&amp;F$1&amp;"'!A2:G1000"), (INDIRECT("'"&amp;F$1&amp;"'!B2:B1000")=$B24) * (INDIRECT("'"&amp;F$1&amp;"'!C2:C1000")=$C24)
        ),
        5,
        FALSE
    )="",
    "",
    VLOOKUP(
        $A24,
        _xlfn._xlws.FILTER(
            INDIRECT("'"&amp;F$1&amp;"'!A2:G1000"), (INDIRECT("'"&amp;F$1&amp;"'!B2:B1000")=$B24) * (INDIRECT("'"&amp;F$1&amp;"'!C2:C1000")=$C24)
        ),7,
        FALSE
    )
)</f>
        <v/>
      </c>
      <c r="G24" s="50">
        <f t="array" ref="G24">IF(
    VLOOKUP(
        $A24,
        _xlfn._xlws.FILTER(
            INDIRECT("'"&amp;G$1&amp;"'!A2:G1000"), (INDIRECT("'"&amp;G$1&amp;"'!B2:B1000")=$B24) * (INDIRECT("'"&amp;G$1&amp;"'!C2:C1000")=$C24)
        ),
        5,
        FALSE
    )="",
    "",
    VLOOKUP(
        $A24,
        _xlfn._xlws.FILTER(
            INDIRECT("'"&amp;G$1&amp;"'!A2:G1000"), (INDIRECT("'"&amp;G$1&amp;"'!B2:B1000")=$B24) * (INDIRECT("'"&amp;G$1&amp;"'!C2:C1000")=$C24)
        ),7,
        FALSE
    )
)</f>
        <v/>
      </c>
      <c r="H24" s="50">
        <f t="array" ref="H24">IF(
    VLOOKUP(
        $A24,
        _xlfn._xlws.FILTER(
            INDIRECT("'"&amp;H$1&amp;"'!A2:G1000"), (INDIRECT("'"&amp;H$1&amp;"'!B2:B1000")=$B24) * (INDIRECT("'"&amp;H$1&amp;"'!C2:C1000")=$C24)
        ),
        5,
        FALSE
    )="",
    "",
    VLOOKUP(
        $A24,
        _xlfn._xlws.FILTER(
            INDIRECT("'"&amp;H$1&amp;"'!A2:G1000"), (INDIRECT("'"&amp;H$1&amp;"'!B2:B1000")=$B24) * (INDIRECT("'"&amp;H$1&amp;"'!C2:C1000")=$C24)
        ),7,
        FALSE
    )
)</f>
        <v/>
      </c>
      <c r="I24" s="50">
        <f t="array" ref="I24">IF(
    VLOOKUP(
        $A24,
        _xlfn._xlws.FILTER(
            INDIRECT("'"&amp;I$1&amp;"'!A2:G1000"), (INDIRECT("'"&amp;I$1&amp;"'!B2:B1000")=$B24) * (INDIRECT("'"&amp;I$1&amp;"'!C2:C1000")=$C24)
        ),
        5,
        FALSE
    )="",
    "",
    VLOOKUP(
        $A24,
        _xlfn._xlws.FILTER(
            INDIRECT("'"&amp;I$1&amp;"'!A2:G1000"), (INDIRECT("'"&amp;I$1&amp;"'!B2:B1000")=$B24) * (INDIRECT("'"&amp;I$1&amp;"'!C2:C1000")=$C24)
        ),7,
        FALSE
    )
)</f>
        <v/>
      </c>
      <c r="J24" s="50">
        <f t="array" ref="J24">IF(
    VLOOKUP(
        $A24,
        _xlfn._xlws.FILTER(
            INDIRECT("'"&amp;J$1&amp;"'!A2:G1000"), (INDIRECT("'"&amp;J$1&amp;"'!B2:B1000")=$B24) * (INDIRECT("'"&amp;J$1&amp;"'!C2:C1000")=$C24)
        ),
        5,
        FALSE
    )="",
    "",
    VLOOKUP(
        $A24,
        _xlfn._xlws.FILTER(
            INDIRECT("'"&amp;J$1&amp;"'!A2:G1000"), (INDIRECT("'"&amp;J$1&amp;"'!B2:B1000")=$B24) * (INDIRECT("'"&amp;J$1&amp;"'!C2:C1000")=$C24)
        ),7,
        FALSE
    )
)</f>
        <v/>
      </c>
      <c r="K24" s="50">
        <f t="array" ref="K24">IF(
    VLOOKUP(
        $A24,
        _xlfn._xlws.FILTER(
            INDIRECT("'"&amp;K$1&amp;"'!A2:G1000"), (INDIRECT("'"&amp;K$1&amp;"'!B2:B1000")=$B24) * (INDIRECT("'"&amp;K$1&amp;"'!C2:C1000")=$C24)
        ),
        5,
        FALSE
    )="",
    "",
    VLOOKUP(
        $A24,
        _xlfn._xlws.FILTER(
            INDIRECT("'"&amp;K$1&amp;"'!A2:G1000"), (INDIRECT("'"&amp;K$1&amp;"'!B2:B1000")=$B24) * (INDIRECT("'"&amp;K$1&amp;"'!C2:C1000")=$C24)
        ),7,
        FALSE
    )
)</f>
        <v/>
      </c>
      <c r="L24" s="50">
        <f t="array" ref="L24">IF(
    VLOOKUP(
        $A24,
        _xlfn._xlws.FILTER(
            INDIRECT("'"&amp;L$1&amp;"'!A2:G1000"), (INDIRECT("'"&amp;L$1&amp;"'!B2:B1000")=$B24) * (INDIRECT("'"&amp;L$1&amp;"'!C2:C1000")=$C24)
        ),
        5,
        FALSE
    )="",
    "",
    VLOOKUP(
        $A24,
        _xlfn._xlws.FILTER(
            INDIRECT("'"&amp;L$1&amp;"'!A2:G1000"), (INDIRECT("'"&amp;L$1&amp;"'!B2:B1000")=$B24) * (INDIRECT("'"&amp;L$1&amp;"'!C2:C1000")=$C24)
        ),7,
        FALSE
    )
)</f>
        <v/>
      </c>
      <c r="M24" s="50">
        <f t="array" ref="M24">IF(
    VLOOKUP(
        $A24,
        _xlfn._xlws.FILTER(
            INDIRECT("'"&amp;M$1&amp;"'!A2:G1000"), (INDIRECT("'"&amp;M$1&amp;"'!B2:B1000")=$B24) * (INDIRECT("'"&amp;M$1&amp;"'!C2:C1000")=$C24)
        ),
        5,
        FALSE
    )="",
    "",
    VLOOKUP(
        $A24,
        _xlfn._xlws.FILTER(
            INDIRECT("'"&amp;M$1&amp;"'!A2:G1000"), (INDIRECT("'"&amp;M$1&amp;"'!B2:B1000")=$B24) * (INDIRECT("'"&amp;M$1&amp;"'!C2:C1000")=$C24)
        ),7,
        FALSE
    )
)</f>
        <v/>
      </c>
      <c r="N24" s="50">
        <f t="array" ref="N24">IF(
    VLOOKUP(
        $A24,
        _xlfn._xlws.FILTER(
            INDIRECT("'"&amp;N$1&amp;"'!A2:G1000"), (INDIRECT("'"&amp;N$1&amp;"'!B2:B1000")=$B24) * (INDIRECT("'"&amp;N$1&amp;"'!C2:C1000")=$C24)
        ),
        5,
        FALSE
    )="",
    "",
    VLOOKUP(
        $A24,
        _xlfn._xlws.FILTER(
            INDIRECT("'"&amp;N$1&amp;"'!A2:G1000"), (INDIRECT("'"&amp;N$1&amp;"'!B2:B1000")=$B24) * (INDIRECT("'"&amp;N$1&amp;"'!C2:C1000")=$C24)
        ),7,
        FALSE
    )
)</f>
        <v/>
      </c>
      <c r="O24" s="50">
        <f t="array" ref="O24">IF(
    VLOOKUP(
        $A24,
        _xlfn._xlws.FILTER(
            INDIRECT("'"&amp;O$1&amp;"'!A2:G1000"), (INDIRECT("'"&amp;O$1&amp;"'!B2:B1000")=$B24) * (INDIRECT("'"&amp;O$1&amp;"'!C2:C1000")=$C24)
        ),
        5,
        FALSE
    )="",
    "",
    VLOOKUP(
        $A24,
        _xlfn._xlws.FILTER(
            INDIRECT("'"&amp;O$1&amp;"'!A2:G1000"), (INDIRECT("'"&amp;O$1&amp;"'!B2:B1000")=$B24) * (INDIRECT("'"&amp;O$1&amp;"'!C2:C1000")=$C24)
        ),7,
        FALSE
    )
)</f>
        <v/>
      </c>
      <c r="P24" s="50">
        <f t="array" ref="P24">IF(
    VLOOKUP(
        $A24,
        _xlfn._xlws.FILTER(
            INDIRECT("'"&amp;P$1&amp;"'!A2:G1000"), (INDIRECT("'"&amp;P$1&amp;"'!B2:B1000")=$B24) * (INDIRECT("'"&amp;P$1&amp;"'!C2:C1000")=$C24)
        ),
        5,
        FALSE
    )="",
    "",
    VLOOKUP(
        $A24,
        _xlfn._xlws.FILTER(
            INDIRECT("'"&amp;P$1&amp;"'!A2:G1000"), (INDIRECT("'"&amp;P$1&amp;"'!B2:B1000")=$B24) * (INDIRECT("'"&amp;P$1&amp;"'!C2:C1000")=$C24)
        ),7,
        FALSE
    )
)</f>
        <v/>
      </c>
      <c r="Q24" s="50">
        <f t="array" ref="Q24">IF(
    VLOOKUP(
        $A24,
        _xlfn._xlws.FILTER(
            INDIRECT("'"&amp;Q$1&amp;"'!A2:G1000"), (INDIRECT("'"&amp;Q$1&amp;"'!B2:B1000")=$B24) * (INDIRECT("'"&amp;Q$1&amp;"'!C2:C1000")=$C24)
        ),
        5,
        FALSE
    )="",
    "",
    VLOOKUP(
        $A24,
        _xlfn._xlws.FILTER(
            INDIRECT("'"&amp;Q$1&amp;"'!A2:G1000"), (INDIRECT("'"&amp;Q$1&amp;"'!B2:B1000")=$B24) * (INDIRECT("'"&amp;Q$1&amp;"'!C2:C1000")=$C24)
        ),7,
        FALSE
    )
)</f>
        <v/>
      </c>
    </row>
    <row r="25" ht="15.75" customHeight="1">
      <c r="A25" s="106" t="inlineStr">
        <is>
          <t>Gabriel</t>
        </is>
      </c>
      <c r="B25" s="50" t="inlineStr">
        <is>
          <t>Toledo</t>
        </is>
      </c>
      <c r="C25" s="50" t="n">
        <v>1</v>
      </c>
      <c r="D25" s="50">
        <f t="array" ref="D25">IF(
    VLOOKUP(
        $A25,
        _xlfn._xlws.FILTER(
            INDIRECT("'"&amp;D$1&amp;"'!A2:G1000"), (INDIRECT("'"&amp;D$1&amp;"'!B2:B1000")=$B25) * (INDIRECT("'"&amp;D$1&amp;"'!C2:C1000")=$C25)
        ),
        5,
        FALSE
    )="",
    "",
    VLOOKUP(
        $A25,
        _xlfn._xlws.FILTER(
            INDIRECT("'"&amp;D$1&amp;"'!A2:G1000"), (INDIRECT("'"&amp;D$1&amp;"'!B2:B1000")=$B25) * (INDIRECT("'"&amp;D$1&amp;"'!C2:C1000")=$C25)
        ),7,
        FALSE
    )
)</f>
        <v/>
      </c>
      <c r="E25" s="50">
        <f t="array" ref="E25">IF(
    VLOOKUP(
        $A25,
        _xlfn._xlws.FILTER(
            INDIRECT("'"&amp;E$1&amp;"'!A2:G1000"), (INDIRECT("'"&amp;E$1&amp;"'!B2:B1000")=$B25) * (INDIRECT("'"&amp;E$1&amp;"'!C2:C1000")=$C25)
        ),
        5,
        FALSE
    )="",
    "",
    VLOOKUP(
        $A25,
        _xlfn._xlws.FILTER(
            INDIRECT("'"&amp;E$1&amp;"'!A2:G1000"), (INDIRECT("'"&amp;E$1&amp;"'!B2:B1000")=$B25) * (INDIRECT("'"&amp;E$1&amp;"'!C2:C1000")=$C25)
        ),7,
        FALSE
    )
)</f>
        <v/>
      </c>
      <c r="F25" s="50">
        <f t="array" ref="F25">IF(
    VLOOKUP(
        $A25,
        _xlfn._xlws.FILTER(
            INDIRECT("'"&amp;F$1&amp;"'!A2:G1000"), (INDIRECT("'"&amp;F$1&amp;"'!B2:B1000")=$B25) * (INDIRECT("'"&amp;F$1&amp;"'!C2:C1000")=$C25)
        ),
        5,
        FALSE
    )="",
    "",
    VLOOKUP(
        $A25,
        _xlfn._xlws.FILTER(
            INDIRECT("'"&amp;F$1&amp;"'!A2:G1000"), (INDIRECT("'"&amp;F$1&amp;"'!B2:B1000")=$B25) * (INDIRECT("'"&amp;F$1&amp;"'!C2:C1000")=$C25)
        ),7,
        FALSE
    )
)</f>
        <v/>
      </c>
      <c r="G25" s="50">
        <f t="array" ref="G25">IF(
    VLOOKUP(
        $A25,
        _xlfn._xlws.FILTER(
            INDIRECT("'"&amp;G$1&amp;"'!A2:G1000"), (INDIRECT("'"&amp;G$1&amp;"'!B2:B1000")=$B25) * (INDIRECT("'"&amp;G$1&amp;"'!C2:C1000")=$C25)
        ),
        5,
        FALSE
    )="",
    "",
    VLOOKUP(
        $A25,
        _xlfn._xlws.FILTER(
            INDIRECT("'"&amp;G$1&amp;"'!A2:G1000"), (INDIRECT("'"&amp;G$1&amp;"'!B2:B1000")=$B25) * (INDIRECT("'"&amp;G$1&amp;"'!C2:C1000")=$C25)
        ),7,
        FALSE
    )
)</f>
        <v/>
      </c>
      <c r="H25" s="50">
        <f t="array" ref="H25">IF(
    VLOOKUP(
        $A25,
        _xlfn._xlws.FILTER(
            INDIRECT("'"&amp;H$1&amp;"'!A2:G1000"), (INDIRECT("'"&amp;H$1&amp;"'!B2:B1000")=$B25) * (INDIRECT("'"&amp;H$1&amp;"'!C2:C1000")=$C25)
        ),
        5,
        FALSE
    )="",
    "",
    VLOOKUP(
        $A25,
        _xlfn._xlws.FILTER(
            INDIRECT("'"&amp;H$1&amp;"'!A2:G1000"), (INDIRECT("'"&amp;H$1&amp;"'!B2:B1000")=$B25) * (INDIRECT("'"&amp;H$1&amp;"'!C2:C1000")=$C25)
        ),7,
        FALSE
    )
)</f>
        <v/>
      </c>
      <c r="I25" s="50">
        <f t="array" ref="I25">IF(
    VLOOKUP(
        $A25,
        _xlfn._xlws.FILTER(
            INDIRECT("'"&amp;I$1&amp;"'!A2:G1000"), (INDIRECT("'"&amp;I$1&amp;"'!B2:B1000")=$B25) * (INDIRECT("'"&amp;I$1&amp;"'!C2:C1000")=$C25)
        ),
        5,
        FALSE
    )="",
    "",
    VLOOKUP(
        $A25,
        _xlfn._xlws.FILTER(
            INDIRECT("'"&amp;I$1&amp;"'!A2:G1000"), (INDIRECT("'"&amp;I$1&amp;"'!B2:B1000")=$B25) * (INDIRECT("'"&amp;I$1&amp;"'!C2:C1000")=$C25)
        ),7,
        FALSE
    )
)</f>
        <v/>
      </c>
      <c r="J25" s="50">
        <f t="array" ref="J25">IF(
    VLOOKUP(
        $A25,
        _xlfn._xlws.FILTER(
            INDIRECT("'"&amp;J$1&amp;"'!A2:G1000"), (INDIRECT("'"&amp;J$1&amp;"'!B2:B1000")=$B25) * (INDIRECT("'"&amp;J$1&amp;"'!C2:C1000")=$C25)
        ),
        5,
        FALSE
    )="",
    "",
    VLOOKUP(
        $A25,
        _xlfn._xlws.FILTER(
            INDIRECT("'"&amp;J$1&amp;"'!A2:G1000"), (INDIRECT("'"&amp;J$1&amp;"'!B2:B1000")=$B25) * (INDIRECT("'"&amp;J$1&amp;"'!C2:C1000")=$C25)
        ),7,
        FALSE
    )
)</f>
        <v/>
      </c>
      <c r="K25" s="50">
        <f t="array" ref="K25">IF(
    VLOOKUP(
        $A25,
        _xlfn._xlws.FILTER(
            INDIRECT("'"&amp;K$1&amp;"'!A2:G1000"), (INDIRECT("'"&amp;K$1&amp;"'!B2:B1000")=$B25) * (INDIRECT("'"&amp;K$1&amp;"'!C2:C1000")=$C25)
        ),
        5,
        FALSE
    )="",
    "",
    VLOOKUP(
        $A25,
        _xlfn._xlws.FILTER(
            INDIRECT("'"&amp;K$1&amp;"'!A2:G1000"), (INDIRECT("'"&amp;K$1&amp;"'!B2:B1000")=$B25) * (INDIRECT("'"&amp;K$1&amp;"'!C2:C1000")=$C25)
        ),7,
        FALSE
    )
)</f>
        <v/>
      </c>
      <c r="L25" s="50">
        <f t="array" ref="L25">IF(
    VLOOKUP(
        $A25,
        _xlfn._xlws.FILTER(
            INDIRECT("'"&amp;L$1&amp;"'!A2:G1000"), (INDIRECT("'"&amp;L$1&amp;"'!B2:B1000")=$B25) * (INDIRECT("'"&amp;L$1&amp;"'!C2:C1000")=$C25)
        ),
        5,
        FALSE
    )="",
    "",
    VLOOKUP(
        $A25,
        _xlfn._xlws.FILTER(
            INDIRECT("'"&amp;L$1&amp;"'!A2:G1000"), (INDIRECT("'"&amp;L$1&amp;"'!B2:B1000")=$B25) * (INDIRECT("'"&amp;L$1&amp;"'!C2:C1000")=$C25)
        ),7,
        FALSE
    )
)</f>
        <v/>
      </c>
      <c r="M25" s="50">
        <f t="array" ref="M25">IF(
    VLOOKUP(
        $A25,
        _xlfn._xlws.FILTER(
            INDIRECT("'"&amp;M$1&amp;"'!A2:G1000"), (INDIRECT("'"&amp;M$1&amp;"'!B2:B1000")=$B25) * (INDIRECT("'"&amp;M$1&amp;"'!C2:C1000")=$C25)
        ),
        5,
        FALSE
    )="",
    "",
    VLOOKUP(
        $A25,
        _xlfn._xlws.FILTER(
            INDIRECT("'"&amp;M$1&amp;"'!A2:G1000"), (INDIRECT("'"&amp;M$1&amp;"'!B2:B1000")=$B25) * (INDIRECT("'"&amp;M$1&amp;"'!C2:C1000")=$C25)
        ),7,
        FALSE
    )
)</f>
        <v/>
      </c>
      <c r="N25" s="50">
        <f t="array" ref="N25">IF(
    VLOOKUP(
        $A25,
        _xlfn._xlws.FILTER(
            INDIRECT("'"&amp;N$1&amp;"'!A2:G1000"), (INDIRECT("'"&amp;N$1&amp;"'!B2:B1000")=$B25) * (INDIRECT("'"&amp;N$1&amp;"'!C2:C1000")=$C25)
        ),
        5,
        FALSE
    )="",
    "",
    VLOOKUP(
        $A25,
        _xlfn._xlws.FILTER(
            INDIRECT("'"&amp;N$1&amp;"'!A2:G1000"), (INDIRECT("'"&amp;N$1&amp;"'!B2:B1000")=$B25) * (INDIRECT("'"&amp;N$1&amp;"'!C2:C1000")=$C25)
        ),7,
        FALSE
    )
)</f>
        <v/>
      </c>
      <c r="O25" s="50">
        <f t="array" ref="O25">IF(
    VLOOKUP(
        $A25,
        _xlfn._xlws.FILTER(
            INDIRECT("'"&amp;O$1&amp;"'!A2:G1000"), (INDIRECT("'"&amp;O$1&amp;"'!B2:B1000")=$B25) * (INDIRECT("'"&amp;O$1&amp;"'!C2:C1000")=$C25)
        ),
        5,
        FALSE
    )="",
    "",
    VLOOKUP(
        $A25,
        _xlfn._xlws.FILTER(
            INDIRECT("'"&amp;O$1&amp;"'!A2:G1000"), (INDIRECT("'"&amp;O$1&amp;"'!B2:B1000")=$B25) * (INDIRECT("'"&amp;O$1&amp;"'!C2:C1000")=$C25)
        ),7,
        FALSE
    )
)</f>
        <v/>
      </c>
      <c r="P25" s="50">
        <f t="array" ref="P25">IF(
    VLOOKUP(
        $A25,
        _xlfn._xlws.FILTER(
            INDIRECT("'"&amp;P$1&amp;"'!A2:G1000"), (INDIRECT("'"&amp;P$1&amp;"'!B2:B1000")=$B25) * (INDIRECT("'"&amp;P$1&amp;"'!C2:C1000")=$C25)
        ),
        5,
        FALSE
    )="",
    "",
    VLOOKUP(
        $A25,
        _xlfn._xlws.FILTER(
            INDIRECT("'"&amp;P$1&amp;"'!A2:G1000"), (INDIRECT("'"&amp;P$1&amp;"'!B2:B1000")=$B25) * (INDIRECT("'"&amp;P$1&amp;"'!C2:C1000")=$C25)
        ),7,
        FALSE
    )
)</f>
        <v/>
      </c>
      <c r="Q25" s="50">
        <f t="array" ref="Q25">IF(
    VLOOKUP(
        $A25,
        _xlfn._xlws.FILTER(
            INDIRECT("'"&amp;Q$1&amp;"'!A2:G1000"), (INDIRECT("'"&amp;Q$1&amp;"'!B2:B1000")=$B25) * (INDIRECT("'"&amp;Q$1&amp;"'!C2:C1000")=$C25)
        ),
        5,
        FALSE
    )="",
    "",
    VLOOKUP(
        $A25,
        _xlfn._xlws.FILTER(
            INDIRECT("'"&amp;Q$1&amp;"'!A2:G1000"), (INDIRECT("'"&amp;Q$1&amp;"'!B2:B1000")=$B25) * (INDIRECT("'"&amp;Q$1&amp;"'!C2:C1000")=$C25)
        ),7,
        FALSE
    )
)</f>
        <v/>
      </c>
    </row>
    <row r="26" ht="15.75" customHeight="1">
      <c r="A26" s="87" t="n"/>
      <c r="B26" s="87" t="n"/>
      <c r="C26" s="87" t="n"/>
    </row>
    <row r="27" ht="15.75" customHeight="1">
      <c r="A27" s="107" t="inlineStr">
        <is>
          <t>Regional</t>
        </is>
      </c>
      <c r="B27" s="98" t="inlineStr">
        <is>
          <t>Municípios</t>
        </is>
      </c>
      <c r="C27" s="98" t="inlineStr">
        <is>
          <t>UVR</t>
        </is>
      </c>
      <c r="D27" s="111" t="inlineStr">
        <is>
          <t>11.24</t>
        </is>
      </c>
      <c r="E27" s="111" t="inlineStr">
        <is>
          <t>12.24</t>
        </is>
      </c>
      <c r="F27" s="111" t="inlineStr">
        <is>
          <t>01.25</t>
        </is>
      </c>
      <c r="G27" s="111" t="inlineStr">
        <is>
          <t>02.25</t>
        </is>
      </c>
      <c r="H27" s="111" t="inlineStr">
        <is>
          <t>03.25</t>
        </is>
      </c>
      <c r="I27" s="111" t="inlineStr">
        <is>
          <t>04.25</t>
        </is>
      </c>
      <c r="J27" s="111" t="inlineStr">
        <is>
          <t>05.25</t>
        </is>
      </c>
      <c r="K27" s="111" t="inlineStr">
        <is>
          <t>06.25</t>
        </is>
      </c>
      <c r="L27" s="111" t="inlineStr">
        <is>
          <t>07.25</t>
        </is>
      </c>
      <c r="M27" s="111" t="inlineStr">
        <is>
          <t>08.25</t>
        </is>
      </c>
      <c r="N27" s="111" t="inlineStr">
        <is>
          <t>09.25</t>
        </is>
      </c>
      <c r="O27" s="111" t="inlineStr">
        <is>
          <t>10.25</t>
        </is>
      </c>
      <c r="P27" s="111" t="inlineStr">
        <is>
          <t>11.25</t>
        </is>
      </c>
      <c r="Q27" s="111" t="inlineStr">
        <is>
          <t>12.25</t>
        </is>
      </c>
    </row>
    <row r="28" ht="15.75" customHeight="1">
      <c r="A28" s="52" t="inlineStr">
        <is>
          <t>Gustavo</t>
        </is>
      </c>
      <c r="B28" s="50" t="inlineStr">
        <is>
          <t>Assis Chateaubriand</t>
        </is>
      </c>
      <c r="C28" s="50" t="n">
        <v>1</v>
      </c>
      <c r="D28" s="50">
        <f t="array" ref="D28">IF(
    VLOOKUP(
        $A28,
        _xlfn._xlws.FILTER(
            INDIRECT("'"&amp;D$1&amp;"'!A2:G1000"), (INDIRECT("'"&amp;D$1&amp;"'!B2:B1000")=$B28) * (INDIRECT("'"&amp;D$1&amp;"'!C2:C1000")=$C28)
        ),
        5,
        FALSE
    )="",
    "",
    VLOOKUP(
        $A28,
        _xlfn._xlws.FILTER(
            INDIRECT("'"&amp;D$1&amp;"'!A2:G1000"), (INDIRECT("'"&amp;D$1&amp;"'!B2:B1000")=$B28) * (INDIRECT("'"&amp;D$1&amp;"'!C2:C1000")=$C28)
        ),
        7,
        FALSE
    )
)</f>
        <v/>
      </c>
      <c r="E28" s="50">
        <f t="array" ref="E28">IF(
    VLOOKUP(
        $A28,
        _xlfn._xlws.FILTER(
            INDIRECT("'"&amp;E$1&amp;"'!A2:G1000"), (INDIRECT("'"&amp;E$1&amp;"'!B2:B1000")=$B28) * (INDIRECT("'"&amp;E$1&amp;"'!C2:C1000")=$C28)
        ),
        5,
        FALSE
    )="",
    "",
    VLOOKUP(
        $A28,
        _xlfn._xlws.FILTER(
            INDIRECT("'"&amp;E$1&amp;"'!A2:G1000"), (INDIRECT("'"&amp;E$1&amp;"'!B2:B1000")=$B28) * (INDIRECT("'"&amp;E$1&amp;"'!C2:C1000")=$C28)
        ),7,
        FALSE
    )
)</f>
        <v/>
      </c>
      <c r="F28" s="50">
        <f t="array" ref="F28">IF(
    VLOOKUP(
        $A28,
        _xlfn._xlws.FILTER(
            INDIRECT("'"&amp;F$1&amp;"'!A2:G1000"), (INDIRECT("'"&amp;F$1&amp;"'!B2:B1000")=$B28) * (INDIRECT("'"&amp;F$1&amp;"'!C2:C1000")=$C28)
        ),
        5,
        FALSE
    )="",
    "",
    VLOOKUP(
        $A28,
        _xlfn._xlws.FILTER(
            INDIRECT("'"&amp;F$1&amp;"'!A2:G1000"), (INDIRECT("'"&amp;F$1&amp;"'!B2:B1000")=$B28) * (INDIRECT("'"&amp;F$1&amp;"'!C2:C1000")=$C28)
        ),7,
        FALSE
    )
)</f>
        <v/>
      </c>
      <c r="G28" s="50">
        <f t="array" ref="G28">IF(
    VLOOKUP(
        $A28,
        _xlfn._xlws.FILTER(
            INDIRECT("'"&amp;G$1&amp;"'!A2:G1000"), (INDIRECT("'"&amp;G$1&amp;"'!B2:B1000")=$B28) * (INDIRECT("'"&amp;G$1&amp;"'!C2:C1000")=$C28)
        ),
        5,
        FALSE
    )="",
    "",
    VLOOKUP(
        $A28,
        _xlfn._xlws.FILTER(
            INDIRECT("'"&amp;G$1&amp;"'!A2:G1000"), (INDIRECT("'"&amp;G$1&amp;"'!B2:B1000")=$B28) * (INDIRECT("'"&amp;G$1&amp;"'!C2:C1000")=$C28)
        ),7,
        FALSE
    )
)</f>
        <v/>
      </c>
      <c r="H28" s="50">
        <f t="array" ref="H28">IF(
    VLOOKUP(
        $A28,
        _xlfn._xlws.FILTER(
            INDIRECT("'"&amp;H$1&amp;"'!A2:G1000"), (INDIRECT("'"&amp;H$1&amp;"'!B2:B1000")=$B28) * (INDIRECT("'"&amp;H$1&amp;"'!C2:C1000")=$C28)
        ),
        5,
        FALSE
    )="",
    "",
    VLOOKUP(
        $A28,
        _xlfn._xlws.FILTER(
            INDIRECT("'"&amp;H$1&amp;"'!A2:G1000"), (INDIRECT("'"&amp;H$1&amp;"'!B2:B1000")=$B28) * (INDIRECT("'"&amp;H$1&amp;"'!C2:C1000")=$C28)
        ),7,
        FALSE
    )
)</f>
        <v/>
      </c>
      <c r="I28" s="50">
        <f t="array" ref="I28">IF(
    VLOOKUP(
        $A28,
        _xlfn._xlws.FILTER(
            INDIRECT("'"&amp;I$1&amp;"'!A2:G1000"), (INDIRECT("'"&amp;I$1&amp;"'!B2:B1000")=$B28) * (INDIRECT("'"&amp;I$1&amp;"'!C2:C1000")=$C28)
        ),
        5,
        FALSE
    )="",
    "",
    VLOOKUP(
        $A28,
        _xlfn._xlws.FILTER(
            INDIRECT("'"&amp;I$1&amp;"'!A2:G1000"), (INDIRECT("'"&amp;I$1&amp;"'!B2:B1000")=$B28) * (INDIRECT("'"&amp;I$1&amp;"'!C2:C1000")=$C28)
        ),7,
        FALSE
    )
)</f>
        <v/>
      </c>
      <c r="J28" s="50">
        <f t="array" ref="J28">IF(
    VLOOKUP(
        $A28,
        _xlfn._xlws.FILTER(
            INDIRECT("'"&amp;J$1&amp;"'!A2:G1000"), (INDIRECT("'"&amp;J$1&amp;"'!B2:B1000")=$B28) * (INDIRECT("'"&amp;J$1&amp;"'!C2:C1000")=$C28)
        ),
        5,
        FALSE
    )="",
    "",
    VLOOKUP(
        $A28,
        _xlfn._xlws.FILTER(
            INDIRECT("'"&amp;J$1&amp;"'!A2:G1000"), (INDIRECT("'"&amp;J$1&amp;"'!B2:B1000")=$B28) * (INDIRECT("'"&amp;J$1&amp;"'!C2:C1000")=$C28)
        ),7,
        FALSE
    )
)</f>
        <v/>
      </c>
      <c r="K28" s="50">
        <f t="array" ref="K28">IF(
    VLOOKUP(
        $A28,
        _xlfn._xlws.FILTER(
            INDIRECT("'"&amp;K$1&amp;"'!A2:G1000"), (INDIRECT("'"&amp;K$1&amp;"'!B2:B1000")=$B28) * (INDIRECT("'"&amp;K$1&amp;"'!C2:C1000")=$C28)
        ),
        5,
        FALSE
    )="",
    "",
    VLOOKUP(
        $A28,
        _xlfn._xlws.FILTER(
            INDIRECT("'"&amp;K$1&amp;"'!A2:G1000"), (INDIRECT("'"&amp;K$1&amp;"'!B2:B1000")=$B28) * (INDIRECT("'"&amp;K$1&amp;"'!C2:C1000")=$C28)
        ),7,
        FALSE
    )
)</f>
        <v/>
      </c>
      <c r="L28" s="50">
        <f t="array" ref="L28">IF(
    VLOOKUP(
        $A28,
        _xlfn._xlws.FILTER(
            INDIRECT("'"&amp;L$1&amp;"'!A2:G1000"), (INDIRECT("'"&amp;L$1&amp;"'!B2:B1000")=$B28) * (INDIRECT("'"&amp;L$1&amp;"'!C2:C1000")=$C28)
        ),
        5,
        FALSE
    )="",
    "",
    VLOOKUP(
        $A28,
        _xlfn._xlws.FILTER(
            INDIRECT("'"&amp;L$1&amp;"'!A2:G1000"), (INDIRECT("'"&amp;L$1&amp;"'!B2:B1000")=$B28) * (INDIRECT("'"&amp;L$1&amp;"'!C2:C1000")=$C28)
        ),7,
        FALSE
    )
)</f>
        <v/>
      </c>
      <c r="M28" s="50">
        <f t="array" ref="M28">IF(
    VLOOKUP(
        $A28,
        _xlfn._xlws.FILTER(
            INDIRECT("'"&amp;M$1&amp;"'!A2:G1000"), (INDIRECT("'"&amp;M$1&amp;"'!B2:B1000")=$B28) * (INDIRECT("'"&amp;M$1&amp;"'!C2:C1000")=$C28)
        ),
        5,
        FALSE
    )="",
    "",
    VLOOKUP(
        $A28,
        _xlfn._xlws.FILTER(
            INDIRECT("'"&amp;M$1&amp;"'!A2:G1000"), (INDIRECT("'"&amp;M$1&amp;"'!B2:B1000")=$B28) * (INDIRECT("'"&amp;M$1&amp;"'!C2:C1000")=$C28)
        ),7,
        FALSE
    )
)</f>
        <v/>
      </c>
      <c r="N28" s="50">
        <f t="array" ref="N28">IF(
    VLOOKUP(
        $A28,
        _xlfn._xlws.FILTER(
            INDIRECT("'"&amp;N$1&amp;"'!A2:G1000"), (INDIRECT("'"&amp;N$1&amp;"'!B2:B1000")=$B28) * (INDIRECT("'"&amp;N$1&amp;"'!C2:C1000")=$C28)
        ),
        5,
        FALSE
    )="",
    "",
    VLOOKUP(
        $A28,
        _xlfn._xlws.FILTER(
            INDIRECT("'"&amp;N$1&amp;"'!A2:G1000"), (INDIRECT("'"&amp;N$1&amp;"'!B2:B1000")=$B28) * (INDIRECT("'"&amp;N$1&amp;"'!C2:C1000")=$C28)
        ),7,
        FALSE
    )
)</f>
        <v/>
      </c>
      <c r="O28" s="50">
        <f t="array" ref="O28">IF(
    VLOOKUP(
        $A28,
        _xlfn._xlws.FILTER(
            INDIRECT("'"&amp;O$1&amp;"'!A2:G1000"), (INDIRECT("'"&amp;O$1&amp;"'!B2:B1000")=$B28) * (INDIRECT("'"&amp;O$1&amp;"'!C2:C1000")=$C28)
        ),
        5,
        FALSE
    )="",
    "",
    VLOOKUP(
        $A28,
        _xlfn._xlws.FILTER(
            INDIRECT("'"&amp;O$1&amp;"'!A2:G1000"), (INDIRECT("'"&amp;O$1&amp;"'!B2:B1000")=$B28) * (INDIRECT("'"&amp;O$1&amp;"'!C2:C1000")=$C28)
        ),7,
        FALSE
    )
)</f>
        <v/>
      </c>
      <c r="P28" s="50">
        <f t="array" ref="P28">IF(
    VLOOKUP(
        $A28,
        _xlfn._xlws.FILTER(
            INDIRECT("'"&amp;P$1&amp;"'!A2:G1000"), (INDIRECT("'"&amp;P$1&amp;"'!B2:B1000")=$B28) * (INDIRECT("'"&amp;P$1&amp;"'!C2:C1000")=$C28)
        ),
        5,
        FALSE
    )="",
    "",
    VLOOKUP(
        $A28,
        _xlfn._xlws.FILTER(
            INDIRECT("'"&amp;P$1&amp;"'!A2:G1000"), (INDIRECT("'"&amp;P$1&amp;"'!B2:B1000")=$B28) * (INDIRECT("'"&amp;P$1&amp;"'!C2:C1000")=$C28)
        ),7,
        FALSE
    )
)</f>
        <v/>
      </c>
      <c r="Q28" s="50">
        <f t="array" ref="Q28">IF(
    VLOOKUP(
        $A28,
        _xlfn._xlws.FILTER(
            INDIRECT("'"&amp;Q$1&amp;"'!A2:G1000"), (INDIRECT("'"&amp;Q$1&amp;"'!B2:B1000")=$B28) * (INDIRECT("'"&amp;Q$1&amp;"'!C2:C1000")=$C28)
        ),
        5,
        FALSE
    )="",
    "",
    VLOOKUP(
        $A28,
        _xlfn._xlws.FILTER(
            INDIRECT("'"&amp;Q$1&amp;"'!A2:G1000"), (INDIRECT("'"&amp;Q$1&amp;"'!B2:B1000")=$B28) * (INDIRECT("'"&amp;Q$1&amp;"'!C2:C1000")=$C28)
        ),7,
        FALSE
    )
)</f>
        <v/>
      </c>
    </row>
    <row r="29" ht="15.75" customHeight="1">
      <c r="A29" s="52" t="inlineStr">
        <is>
          <t>Gustavo</t>
        </is>
      </c>
      <c r="B29" s="50" t="inlineStr">
        <is>
          <t>Brasilândia do Sul</t>
        </is>
      </c>
      <c r="C29" s="50" t="n">
        <v>1</v>
      </c>
      <c r="D29" s="50">
        <f t="array" ref="D29">IF(
    VLOOKUP(
        $A29,
        _xlfn._xlws.FILTER(
            INDIRECT("'"&amp;D$1&amp;"'!A2:G1000"), (INDIRECT("'"&amp;D$1&amp;"'!B2:B1000")=$B29) * (INDIRECT("'"&amp;D$1&amp;"'!C2:C1000")=$C29)
        ),
        5,
        FALSE
    )="",
    "",
    VLOOKUP(
        $A29,
        _xlfn._xlws.FILTER(
            INDIRECT("'"&amp;D$1&amp;"'!A2:G1000"), (INDIRECT("'"&amp;D$1&amp;"'!B2:B1000")=$B29) * (INDIRECT("'"&amp;D$1&amp;"'!C2:C1000")=$C29)
        ),
        7,
        FALSE
    )
)</f>
        <v/>
      </c>
      <c r="E29" s="50">
        <f t="array" ref="E29">IF(
    VLOOKUP(
        $A29,
        _xlfn._xlws.FILTER(
            INDIRECT("'"&amp;E$1&amp;"'!A2:G1000"), (INDIRECT("'"&amp;E$1&amp;"'!B2:B1000")=$B29) * (INDIRECT("'"&amp;E$1&amp;"'!C2:C1000")=$C29)
        ),
        5,
        FALSE
    )="",
    "",
    VLOOKUP(
        $A29,
        _xlfn._xlws.FILTER(
            INDIRECT("'"&amp;E$1&amp;"'!A2:G1000"), (INDIRECT("'"&amp;E$1&amp;"'!B2:B1000")=$B29) * (INDIRECT("'"&amp;E$1&amp;"'!C2:C1000")=$C29)
        ),7,
        FALSE
    )
)</f>
        <v/>
      </c>
      <c r="F29" s="50">
        <f t="array" ref="F29">IF(
    VLOOKUP(
        $A29,
        _xlfn._xlws.FILTER(
            INDIRECT("'"&amp;F$1&amp;"'!A2:G1000"), (INDIRECT("'"&amp;F$1&amp;"'!B2:B1000")=$B29) * (INDIRECT("'"&amp;F$1&amp;"'!C2:C1000")=$C29)
        ),
        5,
        FALSE
    )="",
    "",
    VLOOKUP(
        $A29,
        _xlfn._xlws.FILTER(
            INDIRECT("'"&amp;F$1&amp;"'!A2:G1000"), (INDIRECT("'"&amp;F$1&amp;"'!B2:B1000")=$B29) * (INDIRECT("'"&amp;F$1&amp;"'!C2:C1000")=$C29)
        ),7,
        FALSE
    )
)</f>
        <v/>
      </c>
      <c r="G29" s="50">
        <f t="array" ref="G29">IF(
    VLOOKUP(
        $A29,
        _xlfn._xlws.FILTER(
            INDIRECT("'"&amp;G$1&amp;"'!A2:G1000"), (INDIRECT("'"&amp;G$1&amp;"'!B2:B1000")=$B29) * (INDIRECT("'"&amp;G$1&amp;"'!C2:C1000")=$C29)
        ),
        5,
        FALSE
    )="",
    "",
    VLOOKUP(
        $A29,
        _xlfn._xlws.FILTER(
            INDIRECT("'"&amp;G$1&amp;"'!A2:G1000"), (INDIRECT("'"&amp;G$1&amp;"'!B2:B1000")=$B29) * (INDIRECT("'"&amp;G$1&amp;"'!C2:C1000")=$C29)
        ),7,
        FALSE
    )
)</f>
        <v/>
      </c>
      <c r="H29" s="50">
        <f t="array" ref="H29">IF(
    VLOOKUP(
        $A29,
        _xlfn._xlws.FILTER(
            INDIRECT("'"&amp;H$1&amp;"'!A2:G1000"), (INDIRECT("'"&amp;H$1&amp;"'!B2:B1000")=$B29) * (INDIRECT("'"&amp;H$1&amp;"'!C2:C1000")=$C29)
        ),
        5,
        FALSE
    )="",
    "",
    VLOOKUP(
        $A29,
        _xlfn._xlws.FILTER(
            INDIRECT("'"&amp;H$1&amp;"'!A2:G1000"), (INDIRECT("'"&amp;H$1&amp;"'!B2:B1000")=$B29) * (INDIRECT("'"&amp;H$1&amp;"'!C2:C1000")=$C29)
        ),7,
        FALSE
    )
)</f>
        <v/>
      </c>
      <c r="I29" s="50">
        <f t="array" ref="I29">IF(
    VLOOKUP(
        $A29,
        _xlfn._xlws.FILTER(
            INDIRECT("'"&amp;I$1&amp;"'!A2:G1000"), (INDIRECT("'"&amp;I$1&amp;"'!B2:B1000")=$B29) * (INDIRECT("'"&amp;I$1&amp;"'!C2:C1000")=$C29)
        ),
        5,
        FALSE
    )="",
    "",
    VLOOKUP(
        $A29,
        _xlfn._xlws.FILTER(
            INDIRECT("'"&amp;I$1&amp;"'!A2:G1000"), (INDIRECT("'"&amp;I$1&amp;"'!B2:B1000")=$B29) * (INDIRECT("'"&amp;I$1&amp;"'!C2:C1000")=$C29)
        ),7,
        FALSE
    )
)</f>
        <v/>
      </c>
      <c r="J29" s="50">
        <f t="array" ref="J29">IF(
    VLOOKUP(
        $A29,
        _xlfn._xlws.FILTER(
            INDIRECT("'"&amp;J$1&amp;"'!A2:G1000"), (INDIRECT("'"&amp;J$1&amp;"'!B2:B1000")=$B29) * (INDIRECT("'"&amp;J$1&amp;"'!C2:C1000")=$C29)
        ),
        5,
        FALSE
    )="",
    "",
    VLOOKUP(
        $A29,
        _xlfn._xlws.FILTER(
            INDIRECT("'"&amp;J$1&amp;"'!A2:G1000"), (INDIRECT("'"&amp;J$1&amp;"'!B2:B1000")=$B29) * (INDIRECT("'"&amp;J$1&amp;"'!C2:C1000")=$C29)
        ),7,
        FALSE
    )
)</f>
        <v/>
      </c>
      <c r="K29" s="50">
        <f t="array" ref="K29">IF(
    VLOOKUP(
        $A29,
        _xlfn._xlws.FILTER(
            INDIRECT("'"&amp;K$1&amp;"'!A2:G1000"), (INDIRECT("'"&amp;K$1&amp;"'!B2:B1000")=$B29) * (INDIRECT("'"&amp;K$1&amp;"'!C2:C1000")=$C29)
        ),
        5,
        FALSE
    )="",
    "",
    VLOOKUP(
        $A29,
        _xlfn._xlws.FILTER(
            INDIRECT("'"&amp;K$1&amp;"'!A2:G1000"), (INDIRECT("'"&amp;K$1&amp;"'!B2:B1000")=$B29) * (INDIRECT("'"&amp;K$1&amp;"'!C2:C1000")=$C29)
        ),7,
        FALSE
    )
)</f>
        <v/>
      </c>
      <c r="L29" s="50">
        <f t="array" ref="L29">IF(
    VLOOKUP(
        $A29,
        _xlfn._xlws.FILTER(
            INDIRECT("'"&amp;L$1&amp;"'!A2:G1000"), (INDIRECT("'"&amp;L$1&amp;"'!B2:B1000")=$B29) * (INDIRECT("'"&amp;L$1&amp;"'!C2:C1000")=$C29)
        ),
        5,
        FALSE
    )="",
    "",
    VLOOKUP(
        $A29,
        _xlfn._xlws.FILTER(
            INDIRECT("'"&amp;L$1&amp;"'!A2:G1000"), (INDIRECT("'"&amp;L$1&amp;"'!B2:B1000")=$B29) * (INDIRECT("'"&amp;L$1&amp;"'!C2:C1000")=$C29)
        ),7,
        FALSE
    )
)</f>
        <v/>
      </c>
      <c r="M29" s="50">
        <f t="array" ref="M29">IF(
    VLOOKUP(
        $A29,
        _xlfn._xlws.FILTER(
            INDIRECT("'"&amp;M$1&amp;"'!A2:G1000"), (INDIRECT("'"&amp;M$1&amp;"'!B2:B1000")=$B29) * (INDIRECT("'"&amp;M$1&amp;"'!C2:C1000")=$C29)
        ),
        5,
        FALSE
    )="",
    "",
    VLOOKUP(
        $A29,
        _xlfn._xlws.FILTER(
            INDIRECT("'"&amp;M$1&amp;"'!A2:G1000"), (INDIRECT("'"&amp;M$1&amp;"'!B2:B1000")=$B29) * (INDIRECT("'"&amp;M$1&amp;"'!C2:C1000")=$C29)
        ),7,
        FALSE
    )
)</f>
        <v/>
      </c>
      <c r="N29" s="50">
        <f t="array" ref="N29">IF(
    VLOOKUP(
        $A29,
        _xlfn._xlws.FILTER(
            INDIRECT("'"&amp;N$1&amp;"'!A2:G1000"), (INDIRECT("'"&amp;N$1&amp;"'!B2:B1000")=$B29) * (INDIRECT("'"&amp;N$1&amp;"'!C2:C1000")=$C29)
        ),
        5,
        FALSE
    )="",
    "",
    VLOOKUP(
        $A29,
        _xlfn._xlws.FILTER(
            INDIRECT("'"&amp;N$1&amp;"'!A2:G1000"), (INDIRECT("'"&amp;N$1&amp;"'!B2:B1000")=$B29) * (INDIRECT("'"&amp;N$1&amp;"'!C2:C1000")=$C29)
        ),7,
        FALSE
    )
)</f>
        <v/>
      </c>
      <c r="O29" s="50">
        <f t="array" ref="O29">IF(
    VLOOKUP(
        $A29,
        _xlfn._xlws.FILTER(
            INDIRECT("'"&amp;O$1&amp;"'!A2:G1000"), (INDIRECT("'"&amp;O$1&amp;"'!B2:B1000")=$B29) * (INDIRECT("'"&amp;O$1&amp;"'!C2:C1000")=$C29)
        ),
        5,
        FALSE
    )="",
    "",
    VLOOKUP(
        $A29,
        _xlfn._xlws.FILTER(
            INDIRECT("'"&amp;O$1&amp;"'!A2:G1000"), (INDIRECT("'"&amp;O$1&amp;"'!B2:B1000")=$B29) * (INDIRECT("'"&amp;O$1&amp;"'!C2:C1000")=$C29)
        ),7,
        FALSE
    )
)</f>
        <v/>
      </c>
      <c r="P29" s="50">
        <f t="array" ref="P29">IF(
    VLOOKUP(
        $A29,
        _xlfn._xlws.FILTER(
            INDIRECT("'"&amp;P$1&amp;"'!A2:G1000"), (INDIRECT("'"&amp;P$1&amp;"'!B2:B1000")=$B29) * (INDIRECT("'"&amp;P$1&amp;"'!C2:C1000")=$C29)
        ),
        5,
        FALSE
    )="",
    "",
    VLOOKUP(
        $A29,
        _xlfn._xlws.FILTER(
            INDIRECT("'"&amp;P$1&amp;"'!A2:G1000"), (INDIRECT("'"&amp;P$1&amp;"'!B2:B1000")=$B29) * (INDIRECT("'"&amp;P$1&amp;"'!C2:C1000")=$C29)
        ),7,
        FALSE
    )
)</f>
        <v/>
      </c>
      <c r="Q29" s="50">
        <f t="array" ref="Q29">IF(
    VLOOKUP(
        $A29,
        _xlfn._xlws.FILTER(
            INDIRECT("'"&amp;Q$1&amp;"'!A2:G1000"), (INDIRECT("'"&amp;Q$1&amp;"'!B2:B1000")=$B29) * (INDIRECT("'"&amp;Q$1&amp;"'!C2:C1000")=$C29)
        ),
        5,
        FALSE
    )="",
    "",
    VLOOKUP(
        $A29,
        _xlfn._xlws.FILTER(
            INDIRECT("'"&amp;Q$1&amp;"'!A2:G1000"), (INDIRECT("'"&amp;Q$1&amp;"'!B2:B1000")=$B29) * (INDIRECT("'"&amp;Q$1&amp;"'!C2:C1000")=$C29)
        ),7,
        FALSE
    )
)</f>
        <v/>
      </c>
    </row>
    <row r="30" ht="15.75" customHeight="1">
      <c r="A30" s="52" t="inlineStr">
        <is>
          <t>Gustavo</t>
        </is>
      </c>
      <c r="B30" s="50" t="inlineStr">
        <is>
          <t>Cafelândia</t>
        </is>
      </c>
      <c r="C30" s="50" t="n">
        <v>1</v>
      </c>
      <c r="D30" s="50">
        <f t="array" ref="D30">IF(
    VLOOKUP(
        $A30,
        _xlfn._xlws.FILTER(
            INDIRECT("'"&amp;D$1&amp;"'!A2:G1000"), (INDIRECT("'"&amp;D$1&amp;"'!B2:B1000")=$B30) * (INDIRECT("'"&amp;D$1&amp;"'!C2:C1000")=$C30)
        ),
        5,
        FALSE
    )="",
    "",
    VLOOKUP(
        $A30,
        _xlfn._xlws.FILTER(
            INDIRECT("'"&amp;D$1&amp;"'!A2:G1000"), (INDIRECT("'"&amp;D$1&amp;"'!B2:B1000")=$B30) * (INDIRECT("'"&amp;D$1&amp;"'!C2:C1000")=$C30)
        ),
        7,
        FALSE
    )
)</f>
        <v/>
      </c>
      <c r="E30" s="50">
        <f t="array" ref="E30">IF(
    VLOOKUP(
        $A30,
        _xlfn._xlws.FILTER(
            INDIRECT("'"&amp;E$1&amp;"'!A2:G1000"), (INDIRECT("'"&amp;E$1&amp;"'!B2:B1000")=$B30) * (INDIRECT("'"&amp;E$1&amp;"'!C2:C1000")=$C30)
        ),
        5,
        FALSE
    )="",
    "",
    VLOOKUP(
        $A30,
        _xlfn._xlws.FILTER(
            INDIRECT("'"&amp;E$1&amp;"'!A2:G1000"), (INDIRECT("'"&amp;E$1&amp;"'!B2:B1000")=$B30) * (INDIRECT("'"&amp;E$1&amp;"'!C2:C1000")=$C30)
        ),7,
        FALSE
    )
)</f>
        <v/>
      </c>
      <c r="F30" s="50">
        <f t="array" ref="F30">IF(
    VLOOKUP(
        $A30,
        _xlfn._xlws.FILTER(
            INDIRECT("'"&amp;F$1&amp;"'!A2:G1000"), (INDIRECT("'"&amp;F$1&amp;"'!B2:B1000")=$B30) * (INDIRECT("'"&amp;F$1&amp;"'!C2:C1000")=$C30)
        ),
        5,
        FALSE
    )="",
    "",
    VLOOKUP(
        $A30,
        _xlfn._xlws.FILTER(
            INDIRECT("'"&amp;F$1&amp;"'!A2:G1000"), (INDIRECT("'"&amp;F$1&amp;"'!B2:B1000")=$B30) * (INDIRECT("'"&amp;F$1&amp;"'!C2:C1000")=$C30)
        ),7,
        FALSE
    )
)</f>
        <v/>
      </c>
      <c r="G30" s="50">
        <f t="array" ref="G30">IF(
    VLOOKUP(
        $A30,
        _xlfn._xlws.FILTER(
            INDIRECT("'"&amp;G$1&amp;"'!A2:G1000"), (INDIRECT("'"&amp;G$1&amp;"'!B2:B1000")=$B30) * (INDIRECT("'"&amp;G$1&amp;"'!C2:C1000")=$C30)
        ),
        5,
        FALSE
    )="",
    "",
    VLOOKUP(
        $A30,
        _xlfn._xlws.FILTER(
            INDIRECT("'"&amp;G$1&amp;"'!A2:G1000"), (INDIRECT("'"&amp;G$1&amp;"'!B2:B1000")=$B30) * (INDIRECT("'"&amp;G$1&amp;"'!C2:C1000")=$C30)
        ),7,
        FALSE
    )
)</f>
        <v/>
      </c>
      <c r="H30" s="50">
        <f t="array" ref="H30">IF(
    VLOOKUP(
        $A30,
        _xlfn._xlws.FILTER(
            INDIRECT("'"&amp;H$1&amp;"'!A2:G1000"), (INDIRECT("'"&amp;H$1&amp;"'!B2:B1000")=$B30) * (INDIRECT("'"&amp;H$1&amp;"'!C2:C1000")=$C30)
        ),
        5,
        FALSE
    )="",
    "",
    VLOOKUP(
        $A30,
        _xlfn._xlws.FILTER(
            INDIRECT("'"&amp;H$1&amp;"'!A2:G1000"), (INDIRECT("'"&amp;H$1&amp;"'!B2:B1000")=$B30) * (INDIRECT("'"&amp;H$1&amp;"'!C2:C1000")=$C30)
        ),7,
        FALSE
    )
)</f>
        <v/>
      </c>
      <c r="I30" s="50">
        <f t="array" ref="I30">IF(
    VLOOKUP(
        $A30,
        _xlfn._xlws.FILTER(
            INDIRECT("'"&amp;I$1&amp;"'!A2:G1000"), (INDIRECT("'"&amp;I$1&amp;"'!B2:B1000")=$B30) * (INDIRECT("'"&amp;I$1&amp;"'!C2:C1000")=$C30)
        ),
        5,
        FALSE
    )="",
    "",
    VLOOKUP(
        $A30,
        _xlfn._xlws.FILTER(
            INDIRECT("'"&amp;I$1&amp;"'!A2:G1000"), (INDIRECT("'"&amp;I$1&amp;"'!B2:B1000")=$B30) * (INDIRECT("'"&amp;I$1&amp;"'!C2:C1000")=$C30)
        ),7,
        FALSE
    )
)</f>
        <v/>
      </c>
      <c r="J30" s="50">
        <f t="array" ref="J30">IF(
    VLOOKUP(
        $A30,
        _xlfn._xlws.FILTER(
            INDIRECT("'"&amp;J$1&amp;"'!A2:G1000"), (INDIRECT("'"&amp;J$1&amp;"'!B2:B1000")=$B30) * (INDIRECT("'"&amp;J$1&amp;"'!C2:C1000")=$C30)
        ),
        5,
        FALSE
    )="",
    "",
    VLOOKUP(
        $A30,
        _xlfn._xlws.FILTER(
            INDIRECT("'"&amp;J$1&amp;"'!A2:G1000"), (INDIRECT("'"&amp;J$1&amp;"'!B2:B1000")=$B30) * (INDIRECT("'"&amp;J$1&amp;"'!C2:C1000")=$C30)
        ),7,
        FALSE
    )
)</f>
        <v/>
      </c>
      <c r="K30" s="50">
        <f t="array" ref="K30">IF(
    VLOOKUP(
        $A30,
        _xlfn._xlws.FILTER(
            INDIRECT("'"&amp;K$1&amp;"'!A2:G1000"), (INDIRECT("'"&amp;K$1&amp;"'!B2:B1000")=$B30) * (INDIRECT("'"&amp;K$1&amp;"'!C2:C1000")=$C30)
        ),
        5,
        FALSE
    )="",
    "",
    VLOOKUP(
        $A30,
        _xlfn._xlws.FILTER(
            INDIRECT("'"&amp;K$1&amp;"'!A2:G1000"), (INDIRECT("'"&amp;K$1&amp;"'!B2:B1000")=$B30) * (INDIRECT("'"&amp;K$1&amp;"'!C2:C1000")=$C30)
        ),7,
        FALSE
    )
)</f>
        <v/>
      </c>
      <c r="L30" s="50">
        <f t="array" ref="L30">IF(
    VLOOKUP(
        $A30,
        _xlfn._xlws.FILTER(
            INDIRECT("'"&amp;L$1&amp;"'!A2:G1000"), (INDIRECT("'"&amp;L$1&amp;"'!B2:B1000")=$B30) * (INDIRECT("'"&amp;L$1&amp;"'!C2:C1000")=$C30)
        ),
        5,
        FALSE
    )="",
    "",
    VLOOKUP(
        $A30,
        _xlfn._xlws.FILTER(
            INDIRECT("'"&amp;L$1&amp;"'!A2:G1000"), (INDIRECT("'"&amp;L$1&amp;"'!B2:B1000")=$B30) * (INDIRECT("'"&amp;L$1&amp;"'!C2:C1000")=$C30)
        ),7,
        FALSE
    )
)</f>
        <v/>
      </c>
      <c r="M30" s="50">
        <f t="array" ref="M30">IF(
    VLOOKUP(
        $A30,
        _xlfn._xlws.FILTER(
            INDIRECT("'"&amp;M$1&amp;"'!A2:G1000"), (INDIRECT("'"&amp;M$1&amp;"'!B2:B1000")=$B30) * (INDIRECT("'"&amp;M$1&amp;"'!C2:C1000")=$C30)
        ),
        5,
        FALSE
    )="",
    "",
    VLOOKUP(
        $A30,
        _xlfn._xlws.FILTER(
            INDIRECT("'"&amp;M$1&amp;"'!A2:G1000"), (INDIRECT("'"&amp;M$1&amp;"'!B2:B1000")=$B30) * (INDIRECT("'"&amp;M$1&amp;"'!C2:C1000")=$C30)
        ),7,
        FALSE
    )
)</f>
        <v/>
      </c>
      <c r="N30" s="50">
        <f t="array" ref="N30">IF(
    VLOOKUP(
        $A30,
        _xlfn._xlws.FILTER(
            INDIRECT("'"&amp;N$1&amp;"'!A2:G1000"), (INDIRECT("'"&amp;N$1&amp;"'!B2:B1000")=$B30) * (INDIRECT("'"&amp;N$1&amp;"'!C2:C1000")=$C30)
        ),
        5,
        FALSE
    )="",
    "",
    VLOOKUP(
        $A30,
        _xlfn._xlws.FILTER(
            INDIRECT("'"&amp;N$1&amp;"'!A2:G1000"), (INDIRECT("'"&amp;N$1&amp;"'!B2:B1000")=$B30) * (INDIRECT("'"&amp;N$1&amp;"'!C2:C1000")=$C30)
        ),7,
        FALSE
    )
)</f>
        <v/>
      </c>
      <c r="O30" s="50">
        <f t="array" ref="O30">IF(
    VLOOKUP(
        $A30,
        _xlfn._xlws.FILTER(
            INDIRECT("'"&amp;O$1&amp;"'!A2:G1000"), (INDIRECT("'"&amp;O$1&amp;"'!B2:B1000")=$B30) * (INDIRECT("'"&amp;O$1&amp;"'!C2:C1000")=$C30)
        ),
        5,
        FALSE
    )="",
    "",
    VLOOKUP(
        $A30,
        _xlfn._xlws.FILTER(
            INDIRECT("'"&amp;O$1&amp;"'!A2:G1000"), (INDIRECT("'"&amp;O$1&amp;"'!B2:B1000")=$B30) * (INDIRECT("'"&amp;O$1&amp;"'!C2:C1000")=$C30)
        ),7,
        FALSE
    )
)</f>
        <v/>
      </c>
      <c r="P30" s="50">
        <f t="array" ref="P30">IF(
    VLOOKUP(
        $A30,
        _xlfn._xlws.FILTER(
            INDIRECT("'"&amp;P$1&amp;"'!A2:G1000"), (INDIRECT("'"&amp;P$1&amp;"'!B2:B1000")=$B30) * (INDIRECT("'"&amp;P$1&amp;"'!C2:C1000")=$C30)
        ),
        5,
        FALSE
    )="",
    "",
    VLOOKUP(
        $A30,
        _xlfn._xlws.FILTER(
            INDIRECT("'"&amp;P$1&amp;"'!A2:G1000"), (INDIRECT("'"&amp;P$1&amp;"'!B2:B1000")=$B30) * (INDIRECT("'"&amp;P$1&amp;"'!C2:C1000")=$C30)
        ),7,
        FALSE
    )
)</f>
        <v/>
      </c>
      <c r="Q30" s="50">
        <f t="array" ref="Q30">IF(
    VLOOKUP(
        $A30,
        _xlfn._xlws.FILTER(
            INDIRECT("'"&amp;Q$1&amp;"'!A2:G1000"), (INDIRECT("'"&amp;Q$1&amp;"'!B2:B1000")=$B30) * (INDIRECT("'"&amp;Q$1&amp;"'!C2:C1000")=$C30)
        ),
        5,
        FALSE
    )="",
    "",
    VLOOKUP(
        $A30,
        _xlfn._xlws.FILTER(
            INDIRECT("'"&amp;Q$1&amp;"'!A2:G1000"), (INDIRECT("'"&amp;Q$1&amp;"'!B2:B1000")=$B30) * (INDIRECT("'"&amp;Q$1&amp;"'!C2:C1000")=$C30)
        ),7,
        FALSE
    )
)</f>
        <v/>
      </c>
    </row>
    <row r="31" ht="15.75" customHeight="1">
      <c r="A31" s="52" t="inlineStr">
        <is>
          <t>Gustavo</t>
        </is>
      </c>
      <c r="B31" s="50" t="inlineStr">
        <is>
          <t>Formosa do Oeste</t>
        </is>
      </c>
      <c r="C31" s="50" t="n">
        <v>1</v>
      </c>
      <c r="D31" s="50">
        <f t="array" ref="D31">IF(
    VLOOKUP(
        $A31,
        _xlfn._xlws.FILTER(
            INDIRECT("'"&amp;D$1&amp;"'!A2:G1000"), (INDIRECT("'"&amp;D$1&amp;"'!B2:B1000")=$B31) * (INDIRECT("'"&amp;D$1&amp;"'!C2:C1000")=$C31)
        ),
        5,
        FALSE
    )="",
    "",
    VLOOKUP(
        $A31,
        _xlfn._xlws.FILTER(
            INDIRECT("'"&amp;D$1&amp;"'!A2:G1000"), (INDIRECT("'"&amp;D$1&amp;"'!B2:B1000")=$B31) * (INDIRECT("'"&amp;D$1&amp;"'!C2:C1000")=$C31)
        ),
        7,
        FALSE
    )
)</f>
        <v/>
      </c>
      <c r="E31" s="50">
        <f t="array" ref="E31">IF(
    VLOOKUP(
        $A31,
        _xlfn._xlws.FILTER(
            INDIRECT("'"&amp;E$1&amp;"'!A2:G1000"), (INDIRECT("'"&amp;E$1&amp;"'!B2:B1000")=$B31) * (INDIRECT("'"&amp;E$1&amp;"'!C2:C1000")=$C31)
        ),
        5,
        FALSE
    )="",
    "",
    VLOOKUP(
        $A31,
        _xlfn._xlws.FILTER(
            INDIRECT("'"&amp;E$1&amp;"'!A2:G1000"), (INDIRECT("'"&amp;E$1&amp;"'!B2:B1000")=$B31) * (INDIRECT("'"&amp;E$1&amp;"'!C2:C1000")=$C31)
        ),7,
        FALSE
    )
)</f>
        <v/>
      </c>
      <c r="F31" s="50">
        <f t="array" ref="F31">IF(
    VLOOKUP(
        $A31,
        _xlfn._xlws.FILTER(
            INDIRECT("'"&amp;F$1&amp;"'!A2:G1000"), (INDIRECT("'"&amp;F$1&amp;"'!B2:B1000")=$B31) * (INDIRECT("'"&amp;F$1&amp;"'!C2:C1000")=$C31)
        ),
        5,
        FALSE
    )="",
    "",
    VLOOKUP(
        $A31,
        _xlfn._xlws.FILTER(
            INDIRECT("'"&amp;F$1&amp;"'!A2:G1000"), (INDIRECT("'"&amp;F$1&amp;"'!B2:B1000")=$B31) * (INDIRECT("'"&amp;F$1&amp;"'!C2:C1000")=$C31)
        ),7,
        FALSE
    )
)</f>
        <v/>
      </c>
      <c r="G31" s="50">
        <f t="array" ref="G31">IF(
    VLOOKUP(
        $A31,
        _xlfn._xlws.FILTER(
            INDIRECT("'"&amp;G$1&amp;"'!A2:G1000"), (INDIRECT("'"&amp;G$1&amp;"'!B2:B1000")=$B31) * (INDIRECT("'"&amp;G$1&amp;"'!C2:C1000")=$C31)
        ),
        5,
        FALSE
    )="",
    "",
    VLOOKUP(
        $A31,
        _xlfn._xlws.FILTER(
            INDIRECT("'"&amp;G$1&amp;"'!A2:G1000"), (INDIRECT("'"&amp;G$1&amp;"'!B2:B1000")=$B31) * (INDIRECT("'"&amp;G$1&amp;"'!C2:C1000")=$C31)
        ),7,
        FALSE
    )
)</f>
        <v/>
      </c>
      <c r="H31" s="50">
        <f t="array" ref="H31">IF(
    VLOOKUP(
        $A31,
        _xlfn._xlws.FILTER(
            INDIRECT("'"&amp;H$1&amp;"'!A2:G1000"), (INDIRECT("'"&amp;H$1&amp;"'!B2:B1000")=$B31) * (INDIRECT("'"&amp;H$1&amp;"'!C2:C1000")=$C31)
        ),
        5,
        FALSE
    )="",
    "",
    VLOOKUP(
        $A31,
        _xlfn._xlws.FILTER(
            INDIRECT("'"&amp;H$1&amp;"'!A2:G1000"), (INDIRECT("'"&amp;H$1&amp;"'!B2:B1000")=$B31) * (INDIRECT("'"&amp;H$1&amp;"'!C2:C1000")=$C31)
        ),7,
        FALSE
    )
)</f>
        <v/>
      </c>
      <c r="I31" s="50">
        <f t="array" ref="I31">IF(
    VLOOKUP(
        $A31,
        _xlfn._xlws.FILTER(
            INDIRECT("'"&amp;I$1&amp;"'!A2:G1000"), (INDIRECT("'"&amp;I$1&amp;"'!B2:B1000")=$B31) * (INDIRECT("'"&amp;I$1&amp;"'!C2:C1000")=$C31)
        ),
        5,
        FALSE
    )="",
    "",
    VLOOKUP(
        $A31,
        _xlfn._xlws.FILTER(
            INDIRECT("'"&amp;I$1&amp;"'!A2:G1000"), (INDIRECT("'"&amp;I$1&amp;"'!B2:B1000")=$B31) * (INDIRECT("'"&amp;I$1&amp;"'!C2:C1000")=$C31)
        ),7,
        FALSE
    )
)</f>
        <v/>
      </c>
      <c r="J31" s="50">
        <f t="array" ref="J31">IF(
    VLOOKUP(
        $A31,
        _xlfn._xlws.FILTER(
            INDIRECT("'"&amp;J$1&amp;"'!A2:G1000"), (INDIRECT("'"&amp;J$1&amp;"'!B2:B1000")=$B31) * (INDIRECT("'"&amp;J$1&amp;"'!C2:C1000")=$C31)
        ),
        5,
        FALSE
    )="",
    "",
    VLOOKUP(
        $A31,
        _xlfn._xlws.FILTER(
            INDIRECT("'"&amp;J$1&amp;"'!A2:G1000"), (INDIRECT("'"&amp;J$1&amp;"'!B2:B1000")=$B31) * (INDIRECT("'"&amp;J$1&amp;"'!C2:C1000")=$C31)
        ),7,
        FALSE
    )
)</f>
        <v/>
      </c>
      <c r="K31" s="50">
        <f t="array" ref="K31">IF(
    VLOOKUP(
        $A31,
        _xlfn._xlws.FILTER(
            INDIRECT("'"&amp;K$1&amp;"'!A2:G1000"), (INDIRECT("'"&amp;K$1&amp;"'!B2:B1000")=$B31) * (INDIRECT("'"&amp;K$1&amp;"'!C2:C1000")=$C31)
        ),
        5,
        FALSE
    )="",
    "",
    VLOOKUP(
        $A31,
        _xlfn._xlws.FILTER(
            INDIRECT("'"&amp;K$1&amp;"'!A2:G1000"), (INDIRECT("'"&amp;K$1&amp;"'!B2:B1000")=$B31) * (INDIRECT("'"&amp;K$1&amp;"'!C2:C1000")=$C31)
        ),7,
        FALSE
    )
)</f>
        <v/>
      </c>
      <c r="L31" s="50">
        <f t="array" ref="L31">IF(
    VLOOKUP(
        $A31,
        _xlfn._xlws.FILTER(
            INDIRECT("'"&amp;L$1&amp;"'!A2:G1000"), (INDIRECT("'"&amp;L$1&amp;"'!B2:B1000")=$B31) * (INDIRECT("'"&amp;L$1&amp;"'!C2:C1000")=$C31)
        ),
        5,
        FALSE
    )="",
    "",
    VLOOKUP(
        $A31,
        _xlfn._xlws.FILTER(
            INDIRECT("'"&amp;L$1&amp;"'!A2:G1000"), (INDIRECT("'"&amp;L$1&amp;"'!B2:B1000")=$B31) * (INDIRECT("'"&amp;L$1&amp;"'!C2:C1000")=$C31)
        ),7,
        FALSE
    )
)</f>
        <v/>
      </c>
      <c r="M31" s="50">
        <f t="array" ref="M31">IF(
    VLOOKUP(
        $A31,
        _xlfn._xlws.FILTER(
            INDIRECT("'"&amp;M$1&amp;"'!A2:G1000"), (INDIRECT("'"&amp;M$1&amp;"'!B2:B1000")=$B31) * (INDIRECT("'"&amp;M$1&amp;"'!C2:C1000")=$C31)
        ),
        5,
        FALSE
    )="",
    "",
    VLOOKUP(
        $A31,
        _xlfn._xlws.FILTER(
            INDIRECT("'"&amp;M$1&amp;"'!A2:G1000"), (INDIRECT("'"&amp;M$1&amp;"'!B2:B1000")=$B31) * (INDIRECT("'"&amp;M$1&amp;"'!C2:C1000")=$C31)
        ),7,
        FALSE
    )
)</f>
        <v/>
      </c>
      <c r="N31" s="50">
        <f t="array" ref="N31">IF(
    VLOOKUP(
        $A31,
        _xlfn._xlws.FILTER(
            INDIRECT("'"&amp;N$1&amp;"'!A2:G1000"), (INDIRECT("'"&amp;N$1&amp;"'!B2:B1000")=$B31) * (INDIRECT("'"&amp;N$1&amp;"'!C2:C1000")=$C31)
        ),
        5,
        FALSE
    )="",
    "",
    VLOOKUP(
        $A31,
        _xlfn._xlws.FILTER(
            INDIRECT("'"&amp;N$1&amp;"'!A2:G1000"), (INDIRECT("'"&amp;N$1&amp;"'!B2:B1000")=$B31) * (INDIRECT("'"&amp;N$1&amp;"'!C2:C1000")=$C31)
        ),7,
        FALSE
    )
)</f>
        <v/>
      </c>
      <c r="O31" s="50">
        <f t="array" ref="O31">IF(
    VLOOKUP(
        $A31,
        _xlfn._xlws.FILTER(
            INDIRECT("'"&amp;O$1&amp;"'!A2:G1000"), (INDIRECT("'"&amp;O$1&amp;"'!B2:B1000")=$B31) * (INDIRECT("'"&amp;O$1&amp;"'!C2:C1000")=$C31)
        ),
        5,
        FALSE
    )="",
    "",
    VLOOKUP(
        $A31,
        _xlfn._xlws.FILTER(
            INDIRECT("'"&amp;O$1&amp;"'!A2:G1000"), (INDIRECT("'"&amp;O$1&amp;"'!B2:B1000")=$B31) * (INDIRECT("'"&amp;O$1&amp;"'!C2:C1000")=$C31)
        ),7,
        FALSE
    )
)</f>
        <v/>
      </c>
      <c r="P31" s="50">
        <f t="array" ref="P31">IF(
    VLOOKUP(
        $A31,
        _xlfn._xlws.FILTER(
            INDIRECT("'"&amp;P$1&amp;"'!A2:G1000"), (INDIRECT("'"&amp;P$1&amp;"'!B2:B1000")=$B31) * (INDIRECT("'"&amp;P$1&amp;"'!C2:C1000")=$C31)
        ),
        5,
        FALSE
    )="",
    "",
    VLOOKUP(
        $A31,
        _xlfn._xlws.FILTER(
            INDIRECT("'"&amp;P$1&amp;"'!A2:G1000"), (INDIRECT("'"&amp;P$1&amp;"'!B2:B1000")=$B31) * (INDIRECT("'"&amp;P$1&amp;"'!C2:C1000")=$C31)
        ),7,
        FALSE
    )
)</f>
        <v/>
      </c>
      <c r="Q31" s="50">
        <f t="array" ref="Q31">IF(
    VLOOKUP(
        $A31,
        _xlfn._xlws.FILTER(
            INDIRECT("'"&amp;Q$1&amp;"'!A2:G1000"), (INDIRECT("'"&amp;Q$1&amp;"'!B2:B1000")=$B31) * (INDIRECT("'"&amp;Q$1&amp;"'!C2:C1000")=$C31)
        ),
        5,
        FALSE
    )="",
    "",
    VLOOKUP(
        $A31,
        _xlfn._xlws.FILTER(
            INDIRECT("'"&amp;Q$1&amp;"'!A2:G1000"), (INDIRECT("'"&amp;Q$1&amp;"'!B2:B1000")=$B31) * (INDIRECT("'"&amp;Q$1&amp;"'!C2:C1000")=$C31)
        ),7,
        FALSE
    )
)</f>
        <v/>
      </c>
    </row>
    <row r="32">
      <c r="A32" s="52" t="inlineStr">
        <is>
          <t>Gustavo</t>
        </is>
      </c>
      <c r="B32" s="50" t="inlineStr">
        <is>
          <t>Iracema do Oeste</t>
        </is>
      </c>
      <c r="C32" s="50" t="n">
        <v>1</v>
      </c>
      <c r="D32" s="50">
        <f t="array" ref="D32">IF(
    VLOOKUP(
        $A32,
        _xlfn._xlws.FILTER(
            INDIRECT("'"&amp;D$1&amp;"'!A2:G1000"), (INDIRECT("'"&amp;D$1&amp;"'!B2:B1000")=$B32) * (INDIRECT("'"&amp;D$1&amp;"'!C2:C1000")=$C32)
        ),
        5,
        FALSE
    )="",
    "",
    VLOOKUP(
        $A32,
        _xlfn._xlws.FILTER(
            INDIRECT("'"&amp;D$1&amp;"'!A2:G1000"), (INDIRECT("'"&amp;D$1&amp;"'!B2:B1000")=$B32) * (INDIRECT("'"&amp;D$1&amp;"'!C2:C1000")=$C32)
        ),
        7,
        FALSE
    )
)</f>
        <v/>
      </c>
      <c r="E32" s="50">
        <f t="array" ref="E32">IF(
    VLOOKUP(
        $A32,
        _xlfn._xlws.FILTER(
            INDIRECT("'"&amp;E$1&amp;"'!A2:G1000"), (INDIRECT("'"&amp;E$1&amp;"'!B2:B1000")=$B32) * (INDIRECT("'"&amp;E$1&amp;"'!C2:C1000")=$C32)
        ),
        5,
        FALSE
    )="",
    "",
    VLOOKUP(
        $A32,
        _xlfn._xlws.FILTER(
            INDIRECT("'"&amp;E$1&amp;"'!A2:G1000"), (INDIRECT("'"&amp;E$1&amp;"'!B2:B1000")=$B32) * (INDIRECT("'"&amp;E$1&amp;"'!C2:C1000")=$C32)
        ),7,
        FALSE
    )
)</f>
        <v/>
      </c>
      <c r="F32" s="50">
        <f t="array" ref="F32">IF(
    VLOOKUP(
        $A32,
        _xlfn._xlws.FILTER(
            INDIRECT("'"&amp;F$1&amp;"'!A2:G1000"), (INDIRECT("'"&amp;F$1&amp;"'!B2:B1000")=$B32) * (INDIRECT("'"&amp;F$1&amp;"'!C2:C1000")=$C32)
        ),
        5,
        FALSE
    )="",
    "",
    VLOOKUP(
        $A32,
        _xlfn._xlws.FILTER(
            INDIRECT("'"&amp;F$1&amp;"'!A2:G1000"), (INDIRECT("'"&amp;F$1&amp;"'!B2:B1000")=$B32) * (INDIRECT("'"&amp;F$1&amp;"'!C2:C1000")=$C32)
        ),7,
        FALSE
    )
)</f>
        <v/>
      </c>
      <c r="G32" s="50">
        <f t="array" ref="G32">IF(
    VLOOKUP(
        $A32,
        _xlfn._xlws.FILTER(
            INDIRECT("'"&amp;G$1&amp;"'!A2:G1000"), (INDIRECT("'"&amp;G$1&amp;"'!B2:B1000")=$B32) * (INDIRECT("'"&amp;G$1&amp;"'!C2:C1000")=$C32)
        ),
        5,
        FALSE
    )="",
    "",
    VLOOKUP(
        $A32,
        _xlfn._xlws.FILTER(
            INDIRECT("'"&amp;G$1&amp;"'!A2:G1000"), (INDIRECT("'"&amp;G$1&amp;"'!B2:B1000")=$B32) * (INDIRECT("'"&amp;G$1&amp;"'!C2:C1000")=$C32)
        ),7,
        FALSE
    )
)</f>
        <v/>
      </c>
      <c r="H32" s="50">
        <f t="array" ref="H32">IF(
    VLOOKUP(
        $A32,
        _xlfn._xlws.FILTER(
            INDIRECT("'"&amp;H$1&amp;"'!A2:G1000"), (INDIRECT("'"&amp;H$1&amp;"'!B2:B1000")=$B32) * (INDIRECT("'"&amp;H$1&amp;"'!C2:C1000")=$C32)
        ),
        5,
        FALSE
    )="",
    "",
    VLOOKUP(
        $A32,
        _xlfn._xlws.FILTER(
            INDIRECT("'"&amp;H$1&amp;"'!A2:G1000"), (INDIRECT("'"&amp;H$1&amp;"'!B2:B1000")=$B32) * (INDIRECT("'"&amp;H$1&amp;"'!C2:C1000")=$C32)
        ),7,
        FALSE
    )
)</f>
        <v/>
      </c>
      <c r="I32" s="50">
        <f t="array" ref="I32">IF(
    VLOOKUP(
        $A32,
        _xlfn._xlws.FILTER(
            INDIRECT("'"&amp;I$1&amp;"'!A2:G1000"), (INDIRECT("'"&amp;I$1&amp;"'!B2:B1000")=$B32) * (INDIRECT("'"&amp;I$1&amp;"'!C2:C1000")=$C32)
        ),
        5,
        FALSE
    )="",
    "",
    VLOOKUP(
        $A32,
        _xlfn._xlws.FILTER(
            INDIRECT("'"&amp;I$1&amp;"'!A2:G1000"), (INDIRECT("'"&amp;I$1&amp;"'!B2:B1000")=$B32) * (INDIRECT("'"&amp;I$1&amp;"'!C2:C1000")=$C32)
        ),7,
        FALSE
    )
)</f>
        <v/>
      </c>
      <c r="J32" s="50">
        <f t="array" ref="J32">IF(
    VLOOKUP(
        $A32,
        _xlfn._xlws.FILTER(
            INDIRECT("'"&amp;J$1&amp;"'!A2:G1000"), (INDIRECT("'"&amp;J$1&amp;"'!B2:B1000")=$B32) * (INDIRECT("'"&amp;J$1&amp;"'!C2:C1000")=$C32)
        ),
        5,
        FALSE
    )="",
    "",
    VLOOKUP(
        $A32,
        _xlfn._xlws.FILTER(
            INDIRECT("'"&amp;J$1&amp;"'!A2:G1000"), (INDIRECT("'"&amp;J$1&amp;"'!B2:B1000")=$B32) * (INDIRECT("'"&amp;J$1&amp;"'!C2:C1000")=$C32)
        ),7,
        FALSE
    )
)</f>
        <v/>
      </c>
      <c r="K32" s="50">
        <f t="array" ref="K32">IF(
    VLOOKUP(
        $A32,
        _xlfn._xlws.FILTER(
            INDIRECT("'"&amp;K$1&amp;"'!A2:G1000"), (INDIRECT("'"&amp;K$1&amp;"'!B2:B1000")=$B32) * (INDIRECT("'"&amp;K$1&amp;"'!C2:C1000")=$C32)
        ),
        5,
        FALSE
    )="",
    "",
    VLOOKUP(
        $A32,
        _xlfn._xlws.FILTER(
            INDIRECT("'"&amp;K$1&amp;"'!A2:G1000"), (INDIRECT("'"&amp;K$1&amp;"'!B2:B1000")=$B32) * (INDIRECT("'"&amp;K$1&amp;"'!C2:C1000")=$C32)
        ),7,
        FALSE
    )
)</f>
        <v/>
      </c>
      <c r="L32" s="50">
        <f t="array" ref="L32">IF(
    VLOOKUP(
        $A32,
        _xlfn._xlws.FILTER(
            INDIRECT("'"&amp;L$1&amp;"'!A2:G1000"), (INDIRECT("'"&amp;L$1&amp;"'!B2:B1000")=$B32) * (INDIRECT("'"&amp;L$1&amp;"'!C2:C1000")=$C32)
        ),
        5,
        FALSE
    )="",
    "",
    VLOOKUP(
        $A32,
        _xlfn._xlws.FILTER(
            INDIRECT("'"&amp;L$1&amp;"'!A2:G1000"), (INDIRECT("'"&amp;L$1&amp;"'!B2:B1000")=$B32) * (INDIRECT("'"&amp;L$1&amp;"'!C2:C1000")=$C32)
        ),7,
        FALSE
    )
)</f>
        <v/>
      </c>
      <c r="M32" s="50">
        <f t="array" ref="M32">IF(
    VLOOKUP(
        $A32,
        _xlfn._xlws.FILTER(
            INDIRECT("'"&amp;M$1&amp;"'!A2:G1000"), (INDIRECT("'"&amp;M$1&amp;"'!B2:B1000")=$B32) * (INDIRECT("'"&amp;M$1&amp;"'!C2:C1000")=$C32)
        ),
        5,
        FALSE
    )="",
    "",
    VLOOKUP(
        $A32,
        _xlfn._xlws.FILTER(
            INDIRECT("'"&amp;M$1&amp;"'!A2:G1000"), (INDIRECT("'"&amp;M$1&amp;"'!B2:B1000")=$B32) * (INDIRECT("'"&amp;M$1&amp;"'!C2:C1000")=$C32)
        ),7,
        FALSE
    )
)</f>
        <v/>
      </c>
      <c r="N32" s="50">
        <f t="array" ref="N32">IF(
    VLOOKUP(
        $A32,
        _xlfn._xlws.FILTER(
            INDIRECT("'"&amp;N$1&amp;"'!A2:G1000"), (INDIRECT("'"&amp;N$1&amp;"'!B2:B1000")=$B32) * (INDIRECT("'"&amp;N$1&amp;"'!C2:C1000")=$C32)
        ),
        5,
        FALSE
    )="",
    "",
    VLOOKUP(
        $A32,
        _xlfn._xlws.FILTER(
            INDIRECT("'"&amp;N$1&amp;"'!A2:G1000"), (INDIRECT("'"&amp;N$1&amp;"'!B2:B1000")=$B32) * (INDIRECT("'"&amp;N$1&amp;"'!C2:C1000")=$C32)
        ),7,
        FALSE
    )
)</f>
        <v/>
      </c>
      <c r="O32" s="50">
        <f t="array" ref="O32">IF(
    VLOOKUP(
        $A32,
        _xlfn._xlws.FILTER(
            INDIRECT("'"&amp;O$1&amp;"'!A2:G1000"), (INDIRECT("'"&amp;O$1&amp;"'!B2:B1000")=$B32) * (INDIRECT("'"&amp;O$1&amp;"'!C2:C1000")=$C32)
        ),
        5,
        FALSE
    )="",
    "",
    VLOOKUP(
        $A32,
        _xlfn._xlws.FILTER(
            INDIRECT("'"&amp;O$1&amp;"'!A2:G1000"), (INDIRECT("'"&amp;O$1&amp;"'!B2:B1000")=$B32) * (INDIRECT("'"&amp;O$1&amp;"'!C2:C1000")=$C32)
        ),7,
        FALSE
    )
)</f>
        <v/>
      </c>
      <c r="P32" s="50">
        <f t="array" ref="P32">IF(
    VLOOKUP(
        $A32,
        _xlfn._xlws.FILTER(
            INDIRECT("'"&amp;P$1&amp;"'!A2:G1000"), (INDIRECT("'"&amp;P$1&amp;"'!B2:B1000")=$B32) * (INDIRECT("'"&amp;P$1&amp;"'!C2:C1000")=$C32)
        ),
        5,
        FALSE
    )="",
    "",
    VLOOKUP(
        $A32,
        _xlfn._xlws.FILTER(
            INDIRECT("'"&amp;P$1&amp;"'!A2:G1000"), (INDIRECT("'"&amp;P$1&amp;"'!B2:B1000")=$B32) * (INDIRECT("'"&amp;P$1&amp;"'!C2:C1000")=$C32)
        ),7,
        FALSE
    )
)</f>
        <v/>
      </c>
      <c r="Q32" s="50">
        <f t="array" ref="Q32">IF(
    VLOOKUP(
        $A32,
        _xlfn._xlws.FILTER(
            INDIRECT("'"&amp;Q$1&amp;"'!A2:G1000"), (INDIRECT("'"&amp;Q$1&amp;"'!B2:B1000")=$B32) * (INDIRECT("'"&amp;Q$1&amp;"'!C2:C1000")=$C32)
        ),
        5,
        FALSE
    )="",
    "",
    VLOOKUP(
        $A32,
        _xlfn._xlws.FILTER(
            INDIRECT("'"&amp;Q$1&amp;"'!A2:G1000"), (INDIRECT("'"&amp;Q$1&amp;"'!B2:B1000")=$B32) * (INDIRECT("'"&amp;Q$1&amp;"'!C2:C1000")=$C32)
        ),7,
        FALSE
    )
)</f>
        <v/>
      </c>
    </row>
    <row r="33" ht="15.75" customHeight="1">
      <c r="A33" s="52" t="inlineStr">
        <is>
          <t>Gustavo</t>
        </is>
      </c>
      <c r="B33" s="50" t="inlineStr">
        <is>
          <t>Jesuítas</t>
        </is>
      </c>
      <c r="C33" s="50" t="n">
        <v>1</v>
      </c>
      <c r="D33" s="50">
        <f t="array" ref="D33">IF(
    VLOOKUP(
        $A33,
        _xlfn._xlws.FILTER(
            INDIRECT("'"&amp;D$1&amp;"'!A2:G1000"), (INDIRECT("'"&amp;D$1&amp;"'!B2:B1000")=$B33) * (INDIRECT("'"&amp;D$1&amp;"'!C2:C1000")=$C33)
        ),
        5,
        FALSE
    )="",
    "",
    VLOOKUP(
        $A33,
        _xlfn._xlws.FILTER(
            INDIRECT("'"&amp;D$1&amp;"'!A2:G1000"), (INDIRECT("'"&amp;D$1&amp;"'!B2:B1000")=$B33) * (INDIRECT("'"&amp;D$1&amp;"'!C2:C1000")=$C33)
        ),
        7,
        FALSE
    )
)</f>
        <v/>
      </c>
      <c r="E33" s="50">
        <f t="array" ref="E33">IF(
    VLOOKUP(
        $A33,
        _xlfn._xlws.FILTER(
            INDIRECT("'"&amp;E$1&amp;"'!A2:G1000"), (INDIRECT("'"&amp;E$1&amp;"'!B2:B1000")=$B33) * (INDIRECT("'"&amp;E$1&amp;"'!C2:C1000")=$C33)
        ),
        5,
        FALSE
    )="",
    "",
    VLOOKUP(
        $A33,
        _xlfn._xlws.FILTER(
            INDIRECT("'"&amp;E$1&amp;"'!A2:G1000"), (INDIRECT("'"&amp;E$1&amp;"'!B2:B1000")=$B33) * (INDIRECT("'"&amp;E$1&amp;"'!C2:C1000")=$C33)
        ),7,
        FALSE
    )
)</f>
        <v/>
      </c>
      <c r="F33" s="50">
        <f t="array" ref="F33">IF(
    VLOOKUP(
        $A33,
        _xlfn._xlws.FILTER(
            INDIRECT("'"&amp;F$1&amp;"'!A2:G1000"), (INDIRECT("'"&amp;F$1&amp;"'!B2:B1000")=$B33) * (INDIRECT("'"&amp;F$1&amp;"'!C2:C1000")=$C33)
        ),
        5,
        FALSE
    )="",
    "",
    VLOOKUP(
        $A33,
        _xlfn._xlws.FILTER(
            INDIRECT("'"&amp;F$1&amp;"'!A2:G1000"), (INDIRECT("'"&amp;F$1&amp;"'!B2:B1000")=$B33) * (INDIRECT("'"&amp;F$1&amp;"'!C2:C1000")=$C33)
        ),7,
        FALSE
    )
)</f>
        <v/>
      </c>
      <c r="G33" s="50">
        <f t="array" ref="G33">IF(
    VLOOKUP(
        $A33,
        _xlfn._xlws.FILTER(
            INDIRECT("'"&amp;G$1&amp;"'!A2:G1000"), (INDIRECT("'"&amp;G$1&amp;"'!B2:B1000")=$B33) * (INDIRECT("'"&amp;G$1&amp;"'!C2:C1000")=$C33)
        ),
        5,
        FALSE
    )="",
    "",
    VLOOKUP(
        $A33,
        _xlfn._xlws.FILTER(
            INDIRECT("'"&amp;G$1&amp;"'!A2:G1000"), (INDIRECT("'"&amp;G$1&amp;"'!B2:B1000")=$B33) * (INDIRECT("'"&amp;G$1&amp;"'!C2:C1000")=$C33)
        ),7,
        FALSE
    )
)</f>
        <v/>
      </c>
      <c r="H33" s="50">
        <f t="array" ref="H33">IF(
    VLOOKUP(
        $A33,
        _xlfn._xlws.FILTER(
            INDIRECT("'"&amp;H$1&amp;"'!A2:G1000"), (INDIRECT("'"&amp;H$1&amp;"'!B2:B1000")=$B33) * (INDIRECT("'"&amp;H$1&amp;"'!C2:C1000")=$C33)
        ),
        5,
        FALSE
    )="",
    "",
    VLOOKUP(
        $A33,
        _xlfn._xlws.FILTER(
            INDIRECT("'"&amp;H$1&amp;"'!A2:G1000"), (INDIRECT("'"&amp;H$1&amp;"'!B2:B1000")=$B33) * (INDIRECT("'"&amp;H$1&amp;"'!C2:C1000")=$C33)
        ),7,
        FALSE
    )
)</f>
        <v/>
      </c>
      <c r="I33" s="50">
        <f t="array" ref="I33">IF(
    VLOOKUP(
        $A33,
        _xlfn._xlws.FILTER(
            INDIRECT("'"&amp;I$1&amp;"'!A2:G1000"), (INDIRECT("'"&amp;I$1&amp;"'!B2:B1000")=$B33) * (INDIRECT("'"&amp;I$1&amp;"'!C2:C1000")=$C33)
        ),
        5,
        FALSE
    )="",
    "",
    VLOOKUP(
        $A33,
        _xlfn._xlws.FILTER(
            INDIRECT("'"&amp;I$1&amp;"'!A2:G1000"), (INDIRECT("'"&amp;I$1&amp;"'!B2:B1000")=$B33) * (INDIRECT("'"&amp;I$1&amp;"'!C2:C1000")=$C33)
        ),7,
        FALSE
    )
)</f>
        <v/>
      </c>
      <c r="J33" s="50">
        <f t="array" ref="J33">IF(
    VLOOKUP(
        $A33,
        _xlfn._xlws.FILTER(
            INDIRECT("'"&amp;J$1&amp;"'!A2:G1000"), (INDIRECT("'"&amp;J$1&amp;"'!B2:B1000")=$B33) * (INDIRECT("'"&amp;J$1&amp;"'!C2:C1000")=$C33)
        ),
        5,
        FALSE
    )="",
    "",
    VLOOKUP(
        $A33,
        _xlfn._xlws.FILTER(
            INDIRECT("'"&amp;J$1&amp;"'!A2:G1000"), (INDIRECT("'"&amp;J$1&amp;"'!B2:B1000")=$B33) * (INDIRECT("'"&amp;J$1&amp;"'!C2:C1000")=$C33)
        ),7,
        FALSE
    )
)</f>
        <v/>
      </c>
      <c r="K33" s="50">
        <f t="array" ref="K33">IF(
    VLOOKUP(
        $A33,
        _xlfn._xlws.FILTER(
            INDIRECT("'"&amp;K$1&amp;"'!A2:G1000"), (INDIRECT("'"&amp;K$1&amp;"'!B2:B1000")=$B33) * (INDIRECT("'"&amp;K$1&amp;"'!C2:C1000")=$C33)
        ),
        5,
        FALSE
    )="",
    "",
    VLOOKUP(
        $A33,
        _xlfn._xlws.FILTER(
            INDIRECT("'"&amp;K$1&amp;"'!A2:G1000"), (INDIRECT("'"&amp;K$1&amp;"'!B2:B1000")=$B33) * (INDIRECT("'"&amp;K$1&amp;"'!C2:C1000")=$C33)
        ),7,
        FALSE
    )
)</f>
        <v/>
      </c>
      <c r="L33" s="50">
        <f t="array" ref="L33">IF(
    VLOOKUP(
        $A33,
        _xlfn._xlws.FILTER(
            INDIRECT("'"&amp;L$1&amp;"'!A2:G1000"), (INDIRECT("'"&amp;L$1&amp;"'!B2:B1000")=$B33) * (INDIRECT("'"&amp;L$1&amp;"'!C2:C1000")=$C33)
        ),
        5,
        FALSE
    )="",
    "",
    VLOOKUP(
        $A33,
        _xlfn._xlws.FILTER(
            INDIRECT("'"&amp;L$1&amp;"'!A2:G1000"), (INDIRECT("'"&amp;L$1&amp;"'!B2:B1000")=$B33) * (INDIRECT("'"&amp;L$1&amp;"'!C2:C1000")=$C33)
        ),7,
        FALSE
    )
)</f>
        <v/>
      </c>
      <c r="M33" s="50">
        <f t="array" ref="M33">IF(
    VLOOKUP(
        $A33,
        _xlfn._xlws.FILTER(
            INDIRECT("'"&amp;M$1&amp;"'!A2:G1000"), (INDIRECT("'"&amp;M$1&amp;"'!B2:B1000")=$B33) * (INDIRECT("'"&amp;M$1&amp;"'!C2:C1000")=$C33)
        ),
        5,
        FALSE
    )="",
    "",
    VLOOKUP(
        $A33,
        _xlfn._xlws.FILTER(
            INDIRECT("'"&amp;M$1&amp;"'!A2:G1000"), (INDIRECT("'"&amp;M$1&amp;"'!B2:B1000")=$B33) * (INDIRECT("'"&amp;M$1&amp;"'!C2:C1000")=$C33)
        ),7,
        FALSE
    )
)</f>
        <v/>
      </c>
      <c r="N33" s="50">
        <f t="array" ref="N33">IF(
    VLOOKUP(
        $A33,
        _xlfn._xlws.FILTER(
            INDIRECT("'"&amp;N$1&amp;"'!A2:G1000"), (INDIRECT("'"&amp;N$1&amp;"'!B2:B1000")=$B33) * (INDIRECT("'"&amp;N$1&amp;"'!C2:C1000")=$C33)
        ),
        5,
        FALSE
    )="",
    "",
    VLOOKUP(
        $A33,
        _xlfn._xlws.FILTER(
            INDIRECT("'"&amp;N$1&amp;"'!A2:G1000"), (INDIRECT("'"&amp;N$1&amp;"'!B2:B1000")=$B33) * (INDIRECT("'"&amp;N$1&amp;"'!C2:C1000")=$C33)
        ),7,
        FALSE
    )
)</f>
        <v/>
      </c>
      <c r="O33" s="50">
        <f t="array" ref="O33">IF(
    VLOOKUP(
        $A33,
        _xlfn._xlws.FILTER(
            INDIRECT("'"&amp;O$1&amp;"'!A2:G1000"), (INDIRECT("'"&amp;O$1&amp;"'!B2:B1000")=$B33) * (INDIRECT("'"&amp;O$1&amp;"'!C2:C1000")=$C33)
        ),
        5,
        FALSE
    )="",
    "",
    VLOOKUP(
        $A33,
        _xlfn._xlws.FILTER(
            INDIRECT("'"&amp;O$1&amp;"'!A2:G1000"), (INDIRECT("'"&amp;O$1&amp;"'!B2:B1000")=$B33) * (INDIRECT("'"&amp;O$1&amp;"'!C2:C1000")=$C33)
        ),7,
        FALSE
    )
)</f>
        <v/>
      </c>
      <c r="P33" s="50">
        <f t="array" ref="P33">IF(
    VLOOKUP(
        $A33,
        _xlfn._xlws.FILTER(
            INDIRECT("'"&amp;P$1&amp;"'!A2:G1000"), (INDIRECT("'"&amp;P$1&amp;"'!B2:B1000")=$B33) * (INDIRECT("'"&amp;P$1&amp;"'!C2:C1000")=$C33)
        ),
        5,
        FALSE
    )="",
    "",
    VLOOKUP(
        $A33,
        _xlfn._xlws.FILTER(
            INDIRECT("'"&amp;P$1&amp;"'!A2:G1000"), (INDIRECT("'"&amp;P$1&amp;"'!B2:B1000")=$B33) * (INDIRECT("'"&amp;P$1&amp;"'!C2:C1000")=$C33)
        ),7,
        FALSE
    )
)</f>
        <v/>
      </c>
      <c r="Q33" s="50">
        <f t="array" ref="Q33">IF(
    VLOOKUP(
        $A33,
        _xlfn._xlws.FILTER(
            INDIRECT("'"&amp;Q$1&amp;"'!A2:G1000"), (INDIRECT("'"&amp;Q$1&amp;"'!B2:B1000")=$B33) * (INDIRECT("'"&amp;Q$1&amp;"'!C2:C1000")=$C33)
        ),
        5,
        FALSE
    )="",
    "",
    VLOOKUP(
        $A33,
        _xlfn._xlws.FILTER(
            INDIRECT("'"&amp;Q$1&amp;"'!A2:G1000"), (INDIRECT("'"&amp;Q$1&amp;"'!B2:B1000")=$B33) * (INDIRECT("'"&amp;Q$1&amp;"'!C2:C1000")=$C33)
        ),7,
        FALSE
    )
)</f>
        <v/>
      </c>
    </row>
    <row r="34" ht="15.75" customHeight="1">
      <c r="A34" s="52" t="inlineStr">
        <is>
          <t>Gustavo</t>
        </is>
      </c>
      <c r="B34" s="50" t="inlineStr">
        <is>
          <t>Maripa</t>
        </is>
      </c>
      <c r="C34" s="50" t="n">
        <v>1</v>
      </c>
      <c r="D34" s="50">
        <f t="array" ref="D34">IF(
    VLOOKUP(
        $A34,
        _xlfn._xlws.FILTER(
            INDIRECT("'"&amp;D$1&amp;"'!A2:G1000"), (INDIRECT("'"&amp;D$1&amp;"'!B2:B1000")=$B34) * (INDIRECT("'"&amp;D$1&amp;"'!C2:C1000")=$C34)
        ),
        5,
        FALSE
    )="",
    "",
    VLOOKUP(
        $A34,
        _xlfn._xlws.FILTER(
            INDIRECT("'"&amp;D$1&amp;"'!A2:G1000"), (INDIRECT("'"&amp;D$1&amp;"'!B2:B1000")=$B34) * (INDIRECT("'"&amp;D$1&amp;"'!C2:C1000")=$C34)
        ),
        7,
        FALSE
    )
)</f>
        <v/>
      </c>
      <c r="E34" s="50">
        <f t="array" ref="E34">IF(
    VLOOKUP(
        $A34,
        _xlfn._xlws.FILTER(
            INDIRECT("'"&amp;E$1&amp;"'!A2:G1000"), (INDIRECT("'"&amp;E$1&amp;"'!B2:B1000")=$B34) * (INDIRECT("'"&amp;E$1&amp;"'!C2:C1000")=$C34)
        ),
        5,
        FALSE
    )="",
    "",
    VLOOKUP(
        $A34,
        _xlfn._xlws.FILTER(
            INDIRECT("'"&amp;E$1&amp;"'!A2:G1000"), (INDIRECT("'"&amp;E$1&amp;"'!B2:B1000")=$B34) * (INDIRECT("'"&amp;E$1&amp;"'!C2:C1000")=$C34)
        ),7,
        FALSE
    )
)</f>
        <v/>
      </c>
      <c r="F34" s="50">
        <f t="array" ref="F34">IF(
    VLOOKUP(
        $A34,
        _xlfn._xlws.FILTER(
            INDIRECT("'"&amp;F$1&amp;"'!A2:G1000"), (INDIRECT("'"&amp;F$1&amp;"'!B2:B1000")=$B34) * (INDIRECT("'"&amp;F$1&amp;"'!C2:C1000")=$C34)
        ),
        5,
        FALSE
    )="",
    "",
    VLOOKUP(
        $A34,
        _xlfn._xlws.FILTER(
            INDIRECT("'"&amp;F$1&amp;"'!A2:G1000"), (INDIRECT("'"&amp;F$1&amp;"'!B2:B1000")=$B34) * (INDIRECT("'"&amp;F$1&amp;"'!C2:C1000")=$C34)
        ),7,
        FALSE
    )
)</f>
        <v/>
      </c>
      <c r="G34" s="50">
        <f t="array" ref="G34">IF(
    VLOOKUP(
        $A34,
        _xlfn._xlws.FILTER(
            INDIRECT("'"&amp;G$1&amp;"'!A2:G1000"), (INDIRECT("'"&amp;G$1&amp;"'!B2:B1000")=$B34) * (INDIRECT("'"&amp;G$1&amp;"'!C2:C1000")=$C34)
        ),
        5,
        FALSE
    )="",
    "",
    VLOOKUP(
        $A34,
        _xlfn._xlws.FILTER(
            INDIRECT("'"&amp;G$1&amp;"'!A2:G1000"), (INDIRECT("'"&amp;G$1&amp;"'!B2:B1000")=$B34) * (INDIRECT("'"&amp;G$1&amp;"'!C2:C1000")=$C34)
        ),7,
        FALSE
    )
)</f>
        <v/>
      </c>
      <c r="H34" s="50">
        <f t="array" ref="H34">IF(
    VLOOKUP(
        $A34,
        _xlfn._xlws.FILTER(
            INDIRECT("'"&amp;H$1&amp;"'!A2:G1000"), (INDIRECT("'"&amp;H$1&amp;"'!B2:B1000")=$B34) * (INDIRECT("'"&amp;H$1&amp;"'!C2:C1000")=$C34)
        ),
        5,
        FALSE
    )="",
    "",
    VLOOKUP(
        $A34,
        _xlfn._xlws.FILTER(
            INDIRECT("'"&amp;H$1&amp;"'!A2:G1000"), (INDIRECT("'"&amp;H$1&amp;"'!B2:B1000")=$B34) * (INDIRECT("'"&amp;H$1&amp;"'!C2:C1000")=$C34)
        ),7,
        FALSE
    )
)</f>
        <v/>
      </c>
      <c r="I34" s="50">
        <f t="array" ref="I34">IF(
    VLOOKUP(
        $A34,
        _xlfn._xlws.FILTER(
            INDIRECT("'"&amp;I$1&amp;"'!A2:G1000"), (INDIRECT("'"&amp;I$1&amp;"'!B2:B1000")=$B34) * (INDIRECT("'"&amp;I$1&amp;"'!C2:C1000")=$C34)
        ),
        5,
        FALSE
    )="",
    "",
    VLOOKUP(
        $A34,
        _xlfn._xlws.FILTER(
            INDIRECT("'"&amp;I$1&amp;"'!A2:G1000"), (INDIRECT("'"&amp;I$1&amp;"'!B2:B1000")=$B34) * (INDIRECT("'"&amp;I$1&amp;"'!C2:C1000")=$C34)
        ),7,
        FALSE
    )
)</f>
        <v/>
      </c>
      <c r="J34" s="50">
        <f t="array" ref="J34">IF(
    VLOOKUP(
        $A34,
        _xlfn._xlws.FILTER(
            INDIRECT("'"&amp;J$1&amp;"'!A2:G1000"), (INDIRECT("'"&amp;J$1&amp;"'!B2:B1000")=$B34) * (INDIRECT("'"&amp;J$1&amp;"'!C2:C1000")=$C34)
        ),
        5,
        FALSE
    )="",
    "",
    VLOOKUP(
        $A34,
        _xlfn._xlws.FILTER(
            INDIRECT("'"&amp;J$1&amp;"'!A2:G1000"), (INDIRECT("'"&amp;J$1&amp;"'!B2:B1000")=$B34) * (INDIRECT("'"&amp;J$1&amp;"'!C2:C1000")=$C34)
        ),7,
        FALSE
    )
)</f>
        <v/>
      </c>
      <c r="K34" s="50">
        <f t="array" ref="K34">IF(
    VLOOKUP(
        $A34,
        _xlfn._xlws.FILTER(
            INDIRECT("'"&amp;K$1&amp;"'!A2:G1000"), (INDIRECT("'"&amp;K$1&amp;"'!B2:B1000")=$B34) * (INDIRECT("'"&amp;K$1&amp;"'!C2:C1000")=$C34)
        ),
        5,
        FALSE
    )="",
    "",
    VLOOKUP(
        $A34,
        _xlfn._xlws.FILTER(
            INDIRECT("'"&amp;K$1&amp;"'!A2:G1000"), (INDIRECT("'"&amp;K$1&amp;"'!B2:B1000")=$B34) * (INDIRECT("'"&amp;K$1&amp;"'!C2:C1000")=$C34)
        ),7,
        FALSE
    )
)</f>
        <v/>
      </c>
      <c r="L34" s="50">
        <f t="array" ref="L34">IF(
    VLOOKUP(
        $A34,
        _xlfn._xlws.FILTER(
            INDIRECT("'"&amp;L$1&amp;"'!A2:G1000"), (INDIRECT("'"&amp;L$1&amp;"'!B2:B1000")=$B34) * (INDIRECT("'"&amp;L$1&amp;"'!C2:C1000")=$C34)
        ),
        5,
        FALSE
    )="",
    "",
    VLOOKUP(
        $A34,
        _xlfn._xlws.FILTER(
            INDIRECT("'"&amp;L$1&amp;"'!A2:G1000"), (INDIRECT("'"&amp;L$1&amp;"'!B2:B1000")=$B34) * (INDIRECT("'"&amp;L$1&amp;"'!C2:C1000")=$C34)
        ),7,
        FALSE
    )
)</f>
        <v/>
      </c>
      <c r="M34" s="50">
        <f t="array" ref="M34">IF(
    VLOOKUP(
        $A34,
        _xlfn._xlws.FILTER(
            INDIRECT("'"&amp;M$1&amp;"'!A2:G1000"), (INDIRECT("'"&amp;M$1&amp;"'!B2:B1000")=$B34) * (INDIRECT("'"&amp;M$1&amp;"'!C2:C1000")=$C34)
        ),
        5,
        FALSE
    )="",
    "",
    VLOOKUP(
        $A34,
        _xlfn._xlws.FILTER(
            INDIRECT("'"&amp;M$1&amp;"'!A2:G1000"), (INDIRECT("'"&amp;M$1&amp;"'!B2:B1000")=$B34) * (INDIRECT("'"&amp;M$1&amp;"'!C2:C1000")=$C34)
        ),7,
        FALSE
    )
)</f>
        <v/>
      </c>
      <c r="N34" s="50">
        <f t="array" ref="N34">IF(
    VLOOKUP(
        $A34,
        _xlfn._xlws.FILTER(
            INDIRECT("'"&amp;N$1&amp;"'!A2:G1000"), (INDIRECT("'"&amp;N$1&amp;"'!B2:B1000")=$B34) * (INDIRECT("'"&amp;N$1&amp;"'!C2:C1000")=$C34)
        ),
        5,
        FALSE
    )="",
    "",
    VLOOKUP(
        $A34,
        _xlfn._xlws.FILTER(
            INDIRECT("'"&amp;N$1&amp;"'!A2:G1000"), (INDIRECT("'"&amp;N$1&amp;"'!B2:B1000")=$B34) * (INDIRECT("'"&amp;N$1&amp;"'!C2:C1000")=$C34)
        ),7,
        FALSE
    )
)</f>
        <v/>
      </c>
      <c r="O34" s="50">
        <f t="array" ref="O34">IF(
    VLOOKUP(
        $A34,
        _xlfn._xlws.FILTER(
            INDIRECT("'"&amp;O$1&amp;"'!A2:G1000"), (INDIRECT("'"&amp;O$1&amp;"'!B2:B1000")=$B34) * (INDIRECT("'"&amp;O$1&amp;"'!C2:C1000")=$C34)
        ),
        5,
        FALSE
    )="",
    "",
    VLOOKUP(
        $A34,
        _xlfn._xlws.FILTER(
            INDIRECT("'"&amp;O$1&amp;"'!A2:G1000"), (INDIRECT("'"&amp;O$1&amp;"'!B2:B1000")=$B34) * (INDIRECT("'"&amp;O$1&amp;"'!C2:C1000")=$C34)
        ),7,
        FALSE
    )
)</f>
        <v/>
      </c>
      <c r="P34" s="50">
        <f t="array" ref="P34">IF(
    VLOOKUP(
        $A34,
        _xlfn._xlws.FILTER(
            INDIRECT("'"&amp;P$1&amp;"'!A2:G1000"), (INDIRECT("'"&amp;P$1&amp;"'!B2:B1000")=$B34) * (INDIRECT("'"&amp;P$1&amp;"'!C2:C1000")=$C34)
        ),
        5,
        FALSE
    )="",
    "",
    VLOOKUP(
        $A34,
        _xlfn._xlws.FILTER(
            INDIRECT("'"&amp;P$1&amp;"'!A2:G1000"), (INDIRECT("'"&amp;P$1&amp;"'!B2:B1000")=$B34) * (INDIRECT("'"&amp;P$1&amp;"'!C2:C1000")=$C34)
        ),7,
        FALSE
    )
)</f>
        <v/>
      </c>
      <c r="Q34" s="50">
        <f t="array" ref="Q34">IF(
    VLOOKUP(
        $A34,
        _xlfn._xlws.FILTER(
            INDIRECT("'"&amp;Q$1&amp;"'!A2:G1000"), (INDIRECT("'"&amp;Q$1&amp;"'!B2:B1000")=$B34) * (INDIRECT("'"&amp;Q$1&amp;"'!C2:C1000")=$C34)
        ),
        5,
        FALSE
    )="",
    "",
    VLOOKUP(
        $A34,
        _xlfn._xlws.FILTER(
            INDIRECT("'"&amp;Q$1&amp;"'!A2:G1000"), (INDIRECT("'"&amp;Q$1&amp;"'!B2:B1000")=$B34) * (INDIRECT("'"&amp;Q$1&amp;"'!C2:C1000")=$C34)
        ),7,
        FALSE
    )
)</f>
        <v/>
      </c>
    </row>
    <row r="35">
      <c r="A35" s="52" t="inlineStr">
        <is>
          <t>Gustavo</t>
        </is>
      </c>
      <c r="B35" s="50" t="inlineStr">
        <is>
          <t>Nova Aurora</t>
        </is>
      </c>
      <c r="C35" s="50" t="n">
        <v>1</v>
      </c>
      <c r="D35" s="50">
        <f t="array" ref="D35">IF(
    VLOOKUP(
        $A35,
        _xlfn._xlws.FILTER(
            INDIRECT("'"&amp;D$1&amp;"'!A2:G1000"), (INDIRECT("'"&amp;D$1&amp;"'!B2:B1000")=$B35) * (INDIRECT("'"&amp;D$1&amp;"'!C2:C1000")=$C35)
        ),
        5,
        FALSE
    )="",
    "",
    VLOOKUP(
        $A35,
        _xlfn._xlws.FILTER(
            INDIRECT("'"&amp;D$1&amp;"'!A2:G1000"), (INDIRECT("'"&amp;D$1&amp;"'!B2:B1000")=$B35) * (INDIRECT("'"&amp;D$1&amp;"'!C2:C1000")=$C35)
        ),
        7,
        FALSE
    )
)</f>
        <v/>
      </c>
      <c r="E35" s="50">
        <f t="array" ref="E35">IF(
    VLOOKUP(
        $A35,
        _xlfn._xlws.FILTER(
            INDIRECT("'"&amp;E$1&amp;"'!A2:G1000"), (INDIRECT("'"&amp;E$1&amp;"'!B2:B1000")=$B35) * (INDIRECT("'"&amp;E$1&amp;"'!C2:C1000")=$C35)
        ),
        5,
        FALSE
    )="",
    "",
    VLOOKUP(
        $A35,
        _xlfn._xlws.FILTER(
            INDIRECT("'"&amp;E$1&amp;"'!A2:G1000"), (INDIRECT("'"&amp;E$1&amp;"'!B2:B1000")=$B35) * (INDIRECT("'"&amp;E$1&amp;"'!C2:C1000")=$C35)
        ),7,
        FALSE
    )
)</f>
        <v/>
      </c>
      <c r="F35" s="50">
        <f t="array" ref="F35">IF(
    VLOOKUP(
        $A35,
        _xlfn._xlws.FILTER(
            INDIRECT("'"&amp;F$1&amp;"'!A2:G1000"), (INDIRECT("'"&amp;F$1&amp;"'!B2:B1000")=$B35) * (INDIRECT("'"&amp;F$1&amp;"'!C2:C1000")=$C35)
        ),
        5,
        FALSE
    )="",
    "",
    VLOOKUP(
        $A35,
        _xlfn._xlws.FILTER(
            INDIRECT("'"&amp;F$1&amp;"'!A2:G1000"), (INDIRECT("'"&amp;F$1&amp;"'!B2:B1000")=$B35) * (INDIRECT("'"&amp;F$1&amp;"'!C2:C1000")=$C35)
        ),7,
        FALSE
    )
)</f>
        <v/>
      </c>
      <c r="G35" s="50">
        <f t="array" ref="G35">IF(
    VLOOKUP(
        $A35,
        _xlfn._xlws.FILTER(
            INDIRECT("'"&amp;G$1&amp;"'!A2:G1000"), (INDIRECT("'"&amp;G$1&amp;"'!B2:B1000")=$B35) * (INDIRECT("'"&amp;G$1&amp;"'!C2:C1000")=$C35)
        ),
        5,
        FALSE
    )="",
    "",
    VLOOKUP(
        $A35,
        _xlfn._xlws.FILTER(
            INDIRECT("'"&amp;G$1&amp;"'!A2:G1000"), (INDIRECT("'"&amp;G$1&amp;"'!B2:B1000")=$B35) * (INDIRECT("'"&amp;G$1&amp;"'!C2:C1000")=$C35)
        ),7,
        FALSE
    )
)</f>
        <v/>
      </c>
      <c r="H35" s="50">
        <f t="array" ref="H35">IF(
    VLOOKUP(
        $A35,
        _xlfn._xlws.FILTER(
            INDIRECT("'"&amp;H$1&amp;"'!A2:G1000"), (INDIRECT("'"&amp;H$1&amp;"'!B2:B1000")=$B35) * (INDIRECT("'"&amp;H$1&amp;"'!C2:C1000")=$C35)
        ),
        5,
        FALSE
    )="",
    "",
    VLOOKUP(
        $A35,
        _xlfn._xlws.FILTER(
            INDIRECT("'"&amp;H$1&amp;"'!A2:G1000"), (INDIRECT("'"&amp;H$1&amp;"'!B2:B1000")=$B35) * (INDIRECT("'"&amp;H$1&amp;"'!C2:C1000")=$C35)
        ),7,
        FALSE
    )
)</f>
        <v/>
      </c>
      <c r="I35" s="50">
        <f t="array" ref="I35">IF(
    VLOOKUP(
        $A35,
        _xlfn._xlws.FILTER(
            INDIRECT("'"&amp;I$1&amp;"'!A2:G1000"), (INDIRECT("'"&amp;I$1&amp;"'!B2:B1000")=$B35) * (INDIRECT("'"&amp;I$1&amp;"'!C2:C1000")=$C35)
        ),
        5,
        FALSE
    )="",
    "",
    VLOOKUP(
        $A35,
        _xlfn._xlws.FILTER(
            INDIRECT("'"&amp;I$1&amp;"'!A2:G1000"), (INDIRECT("'"&amp;I$1&amp;"'!B2:B1000")=$B35) * (INDIRECT("'"&amp;I$1&amp;"'!C2:C1000")=$C35)
        ),7,
        FALSE
    )
)</f>
        <v/>
      </c>
      <c r="J35" s="50">
        <f t="array" ref="J35">IF(
    VLOOKUP(
        $A35,
        _xlfn._xlws.FILTER(
            INDIRECT("'"&amp;J$1&amp;"'!A2:G1000"), (INDIRECT("'"&amp;J$1&amp;"'!B2:B1000")=$B35) * (INDIRECT("'"&amp;J$1&amp;"'!C2:C1000")=$C35)
        ),
        5,
        FALSE
    )="",
    "",
    VLOOKUP(
        $A35,
        _xlfn._xlws.FILTER(
            INDIRECT("'"&amp;J$1&amp;"'!A2:G1000"), (INDIRECT("'"&amp;J$1&amp;"'!B2:B1000")=$B35) * (INDIRECT("'"&amp;J$1&amp;"'!C2:C1000")=$C35)
        ),7,
        FALSE
    )
)</f>
        <v/>
      </c>
      <c r="K35" s="50">
        <f t="array" ref="K35">IF(
    VLOOKUP(
        $A35,
        _xlfn._xlws.FILTER(
            INDIRECT("'"&amp;K$1&amp;"'!A2:G1000"), (INDIRECT("'"&amp;K$1&amp;"'!B2:B1000")=$B35) * (INDIRECT("'"&amp;K$1&amp;"'!C2:C1000")=$C35)
        ),
        5,
        FALSE
    )="",
    "",
    VLOOKUP(
        $A35,
        _xlfn._xlws.FILTER(
            INDIRECT("'"&amp;K$1&amp;"'!A2:G1000"), (INDIRECT("'"&amp;K$1&amp;"'!B2:B1000")=$B35) * (INDIRECT("'"&amp;K$1&amp;"'!C2:C1000")=$C35)
        ),7,
        FALSE
    )
)</f>
        <v/>
      </c>
      <c r="L35" s="50">
        <f t="array" ref="L35">IF(
    VLOOKUP(
        $A35,
        _xlfn._xlws.FILTER(
            INDIRECT("'"&amp;L$1&amp;"'!A2:G1000"), (INDIRECT("'"&amp;L$1&amp;"'!B2:B1000")=$B35) * (INDIRECT("'"&amp;L$1&amp;"'!C2:C1000")=$C35)
        ),
        5,
        FALSE
    )="",
    "",
    VLOOKUP(
        $A35,
        _xlfn._xlws.FILTER(
            INDIRECT("'"&amp;L$1&amp;"'!A2:G1000"), (INDIRECT("'"&amp;L$1&amp;"'!B2:B1000")=$B35) * (INDIRECT("'"&amp;L$1&amp;"'!C2:C1000")=$C35)
        ),7,
        FALSE
    )
)</f>
        <v/>
      </c>
      <c r="M35" s="50">
        <f t="array" ref="M35">IF(
    VLOOKUP(
        $A35,
        _xlfn._xlws.FILTER(
            INDIRECT("'"&amp;M$1&amp;"'!A2:G1000"), (INDIRECT("'"&amp;M$1&amp;"'!B2:B1000")=$B35) * (INDIRECT("'"&amp;M$1&amp;"'!C2:C1000")=$C35)
        ),
        5,
        FALSE
    )="",
    "",
    VLOOKUP(
        $A35,
        _xlfn._xlws.FILTER(
            INDIRECT("'"&amp;M$1&amp;"'!A2:G1000"), (INDIRECT("'"&amp;M$1&amp;"'!B2:B1000")=$B35) * (INDIRECT("'"&amp;M$1&amp;"'!C2:C1000")=$C35)
        ),7,
        FALSE
    )
)</f>
        <v/>
      </c>
      <c r="N35" s="50">
        <f t="array" ref="N35">IF(
    VLOOKUP(
        $A35,
        _xlfn._xlws.FILTER(
            INDIRECT("'"&amp;N$1&amp;"'!A2:G1000"), (INDIRECT("'"&amp;N$1&amp;"'!B2:B1000")=$B35) * (INDIRECT("'"&amp;N$1&amp;"'!C2:C1000")=$C35)
        ),
        5,
        FALSE
    )="",
    "",
    VLOOKUP(
        $A35,
        _xlfn._xlws.FILTER(
            INDIRECT("'"&amp;N$1&amp;"'!A2:G1000"), (INDIRECT("'"&amp;N$1&amp;"'!B2:B1000")=$B35) * (INDIRECT("'"&amp;N$1&amp;"'!C2:C1000")=$C35)
        ),7,
        FALSE
    )
)</f>
        <v/>
      </c>
      <c r="O35" s="50">
        <f t="array" ref="O35">IF(
    VLOOKUP(
        $A35,
        _xlfn._xlws.FILTER(
            INDIRECT("'"&amp;O$1&amp;"'!A2:G1000"), (INDIRECT("'"&amp;O$1&amp;"'!B2:B1000")=$B35) * (INDIRECT("'"&amp;O$1&amp;"'!C2:C1000")=$C35)
        ),
        5,
        FALSE
    )="",
    "",
    VLOOKUP(
        $A35,
        _xlfn._xlws.FILTER(
            INDIRECT("'"&amp;O$1&amp;"'!A2:G1000"), (INDIRECT("'"&amp;O$1&amp;"'!B2:B1000")=$B35) * (INDIRECT("'"&amp;O$1&amp;"'!C2:C1000")=$C35)
        ),7,
        FALSE
    )
)</f>
        <v/>
      </c>
      <c r="P35" s="50">
        <f t="array" ref="P35">IF(
    VLOOKUP(
        $A35,
        _xlfn._xlws.FILTER(
            INDIRECT("'"&amp;P$1&amp;"'!A2:G1000"), (INDIRECT("'"&amp;P$1&amp;"'!B2:B1000")=$B35) * (INDIRECT("'"&amp;P$1&amp;"'!C2:C1000")=$C35)
        ),
        5,
        FALSE
    )="",
    "",
    VLOOKUP(
        $A35,
        _xlfn._xlws.FILTER(
            INDIRECT("'"&amp;P$1&amp;"'!A2:G1000"), (INDIRECT("'"&amp;P$1&amp;"'!B2:B1000")=$B35) * (INDIRECT("'"&amp;P$1&amp;"'!C2:C1000")=$C35)
        ),7,
        FALSE
    )
)</f>
        <v/>
      </c>
      <c r="Q35" s="50">
        <f t="array" ref="Q35">IF(
    VLOOKUP(
        $A35,
        _xlfn._xlws.FILTER(
            INDIRECT("'"&amp;Q$1&amp;"'!A2:G1000"), (INDIRECT("'"&amp;Q$1&amp;"'!B2:B1000")=$B35) * (INDIRECT("'"&amp;Q$1&amp;"'!C2:C1000")=$C35)
        ),
        5,
        FALSE
    )="",
    "",
    VLOOKUP(
        $A35,
        _xlfn._xlws.FILTER(
            INDIRECT("'"&amp;Q$1&amp;"'!A2:G1000"), (INDIRECT("'"&amp;Q$1&amp;"'!B2:B1000")=$B35) * (INDIRECT("'"&amp;Q$1&amp;"'!C2:C1000")=$C35)
        ),7,
        FALSE
    )
)</f>
        <v/>
      </c>
    </row>
    <row r="36">
      <c r="A36" s="52" t="inlineStr">
        <is>
          <t>Gustavo</t>
        </is>
      </c>
      <c r="B36" s="50" t="inlineStr">
        <is>
          <t>Palotina</t>
        </is>
      </c>
      <c r="C36" s="50" t="n">
        <v>1</v>
      </c>
      <c r="D36" s="50">
        <f t="array" ref="D36">IF(
    VLOOKUP(
        $A36,
        _xlfn._xlws.FILTER(
            INDIRECT("'"&amp;D$1&amp;"'!A2:G1000"), (INDIRECT("'"&amp;D$1&amp;"'!B2:B1000")=$B36) * (INDIRECT("'"&amp;D$1&amp;"'!C2:C1000")=$C36)
        ),
        5,
        FALSE
    )="",
    "",
    VLOOKUP(
        $A36,
        _xlfn._xlws.FILTER(
            INDIRECT("'"&amp;D$1&amp;"'!A2:G1000"), (INDIRECT("'"&amp;D$1&amp;"'!B2:B1000")=$B36) * (INDIRECT("'"&amp;D$1&amp;"'!C2:C1000")=$C36)
        ),
        7,
        FALSE
    )
)</f>
        <v/>
      </c>
      <c r="E36" s="50">
        <f t="array" ref="E36">IF(
    VLOOKUP(
        $A36,
        _xlfn._xlws.FILTER(
            INDIRECT("'"&amp;E$1&amp;"'!A2:G1000"), (INDIRECT("'"&amp;E$1&amp;"'!B2:B1000")=$B36) * (INDIRECT("'"&amp;E$1&amp;"'!C2:C1000")=$C36)
        ),
        5,
        FALSE
    )="",
    "",
    VLOOKUP(
        $A36,
        _xlfn._xlws.FILTER(
            INDIRECT("'"&amp;E$1&amp;"'!A2:G1000"), (INDIRECT("'"&amp;E$1&amp;"'!B2:B1000")=$B36) * (INDIRECT("'"&amp;E$1&amp;"'!C2:C1000")=$C36)
        ),7,
        FALSE
    )
)</f>
        <v/>
      </c>
      <c r="F36" s="50">
        <f t="array" ref="F36">IF(
    VLOOKUP(
        $A36,
        _xlfn._xlws.FILTER(
            INDIRECT("'"&amp;F$1&amp;"'!A2:G1000"), (INDIRECT("'"&amp;F$1&amp;"'!B2:B1000")=$B36) * (INDIRECT("'"&amp;F$1&amp;"'!C2:C1000")=$C36)
        ),
        5,
        FALSE
    )="",
    "",
    VLOOKUP(
        $A36,
        _xlfn._xlws.FILTER(
            INDIRECT("'"&amp;F$1&amp;"'!A2:G1000"), (INDIRECT("'"&amp;F$1&amp;"'!B2:B1000")=$B36) * (INDIRECT("'"&amp;F$1&amp;"'!C2:C1000")=$C36)
        ),7,
        FALSE
    )
)</f>
        <v/>
      </c>
      <c r="G36" s="50">
        <f t="array" ref="G36">IF(
    VLOOKUP(
        $A36,
        _xlfn._xlws.FILTER(
            INDIRECT("'"&amp;G$1&amp;"'!A2:G1000"), (INDIRECT("'"&amp;G$1&amp;"'!B2:B1000")=$B36) * (INDIRECT("'"&amp;G$1&amp;"'!C2:C1000")=$C36)
        ),
        5,
        FALSE
    )="",
    "",
    VLOOKUP(
        $A36,
        _xlfn._xlws.FILTER(
            INDIRECT("'"&amp;G$1&amp;"'!A2:G1000"), (INDIRECT("'"&amp;G$1&amp;"'!B2:B1000")=$B36) * (INDIRECT("'"&amp;G$1&amp;"'!C2:C1000")=$C36)
        ),7,
        FALSE
    )
)</f>
        <v/>
      </c>
      <c r="H36" s="50">
        <f t="array" ref="H36">IF(
    VLOOKUP(
        $A36,
        _xlfn._xlws.FILTER(
            INDIRECT("'"&amp;H$1&amp;"'!A2:G1000"), (INDIRECT("'"&amp;H$1&amp;"'!B2:B1000")=$B36) * (INDIRECT("'"&amp;H$1&amp;"'!C2:C1000")=$C36)
        ),
        5,
        FALSE
    )="",
    "",
    VLOOKUP(
        $A36,
        _xlfn._xlws.FILTER(
            INDIRECT("'"&amp;H$1&amp;"'!A2:G1000"), (INDIRECT("'"&amp;H$1&amp;"'!B2:B1000")=$B36) * (INDIRECT("'"&amp;H$1&amp;"'!C2:C1000")=$C36)
        ),7,
        FALSE
    )
)</f>
        <v/>
      </c>
      <c r="I36" s="50">
        <f t="array" ref="I36">IF(
    VLOOKUP(
        $A36,
        _xlfn._xlws.FILTER(
            INDIRECT("'"&amp;I$1&amp;"'!A2:G1000"), (INDIRECT("'"&amp;I$1&amp;"'!B2:B1000")=$B36) * (INDIRECT("'"&amp;I$1&amp;"'!C2:C1000")=$C36)
        ),
        5,
        FALSE
    )="",
    "",
    VLOOKUP(
        $A36,
        _xlfn._xlws.FILTER(
            INDIRECT("'"&amp;I$1&amp;"'!A2:G1000"), (INDIRECT("'"&amp;I$1&amp;"'!B2:B1000")=$B36) * (INDIRECT("'"&amp;I$1&amp;"'!C2:C1000")=$C36)
        ),7,
        FALSE
    )
)</f>
        <v/>
      </c>
      <c r="J36" s="50">
        <f t="array" ref="J36">IF(
    VLOOKUP(
        $A36,
        _xlfn._xlws.FILTER(
            INDIRECT("'"&amp;J$1&amp;"'!A2:G1000"), (INDIRECT("'"&amp;J$1&amp;"'!B2:B1000")=$B36) * (INDIRECT("'"&amp;J$1&amp;"'!C2:C1000")=$C36)
        ),
        5,
        FALSE
    )="",
    "",
    VLOOKUP(
        $A36,
        _xlfn._xlws.FILTER(
            INDIRECT("'"&amp;J$1&amp;"'!A2:G1000"), (INDIRECT("'"&amp;J$1&amp;"'!B2:B1000")=$B36) * (INDIRECT("'"&amp;J$1&amp;"'!C2:C1000")=$C36)
        ),7,
        FALSE
    )
)</f>
        <v/>
      </c>
      <c r="K36" s="50">
        <f t="array" ref="K36">IF(
    VLOOKUP(
        $A36,
        _xlfn._xlws.FILTER(
            INDIRECT("'"&amp;K$1&amp;"'!A2:G1000"), (INDIRECT("'"&amp;K$1&amp;"'!B2:B1000")=$B36) * (INDIRECT("'"&amp;K$1&amp;"'!C2:C1000")=$C36)
        ),
        5,
        FALSE
    )="",
    "",
    VLOOKUP(
        $A36,
        _xlfn._xlws.FILTER(
            INDIRECT("'"&amp;K$1&amp;"'!A2:G1000"), (INDIRECT("'"&amp;K$1&amp;"'!B2:B1000")=$B36) * (INDIRECT("'"&amp;K$1&amp;"'!C2:C1000")=$C36)
        ),7,
        FALSE
    )
)</f>
        <v/>
      </c>
      <c r="L36" s="50">
        <f t="array" ref="L36">IF(
    VLOOKUP(
        $A36,
        _xlfn._xlws.FILTER(
            INDIRECT("'"&amp;L$1&amp;"'!A2:G1000"), (INDIRECT("'"&amp;L$1&amp;"'!B2:B1000")=$B36) * (INDIRECT("'"&amp;L$1&amp;"'!C2:C1000")=$C36)
        ),
        5,
        FALSE
    )="",
    "",
    VLOOKUP(
        $A36,
        _xlfn._xlws.FILTER(
            INDIRECT("'"&amp;L$1&amp;"'!A2:G1000"), (INDIRECT("'"&amp;L$1&amp;"'!B2:B1000")=$B36) * (INDIRECT("'"&amp;L$1&amp;"'!C2:C1000")=$C36)
        ),7,
        FALSE
    )
)</f>
        <v/>
      </c>
      <c r="M36" s="50">
        <f t="array" ref="M36">IF(
    VLOOKUP(
        $A36,
        _xlfn._xlws.FILTER(
            INDIRECT("'"&amp;M$1&amp;"'!A2:G1000"), (INDIRECT("'"&amp;M$1&amp;"'!B2:B1000")=$B36) * (INDIRECT("'"&amp;M$1&amp;"'!C2:C1000")=$C36)
        ),
        5,
        FALSE
    )="",
    "",
    VLOOKUP(
        $A36,
        _xlfn._xlws.FILTER(
            INDIRECT("'"&amp;M$1&amp;"'!A2:G1000"), (INDIRECT("'"&amp;M$1&amp;"'!B2:B1000")=$B36) * (INDIRECT("'"&amp;M$1&amp;"'!C2:C1000")=$C36)
        ),7,
        FALSE
    )
)</f>
        <v/>
      </c>
      <c r="N36" s="50">
        <f t="array" ref="N36">IF(
    VLOOKUP(
        $A36,
        _xlfn._xlws.FILTER(
            INDIRECT("'"&amp;N$1&amp;"'!A2:G1000"), (INDIRECT("'"&amp;N$1&amp;"'!B2:B1000")=$B36) * (INDIRECT("'"&amp;N$1&amp;"'!C2:C1000")=$C36)
        ),
        5,
        FALSE
    )="",
    "",
    VLOOKUP(
        $A36,
        _xlfn._xlws.FILTER(
            INDIRECT("'"&amp;N$1&amp;"'!A2:G1000"), (INDIRECT("'"&amp;N$1&amp;"'!B2:B1000")=$B36) * (INDIRECT("'"&amp;N$1&amp;"'!C2:C1000")=$C36)
        ),7,
        FALSE
    )
)</f>
        <v/>
      </c>
      <c r="O36" s="50">
        <f t="array" ref="O36">IF(
    VLOOKUP(
        $A36,
        _xlfn._xlws.FILTER(
            INDIRECT("'"&amp;O$1&amp;"'!A2:G1000"), (INDIRECT("'"&amp;O$1&amp;"'!B2:B1000")=$B36) * (INDIRECT("'"&amp;O$1&amp;"'!C2:C1000")=$C36)
        ),
        5,
        FALSE
    )="",
    "",
    VLOOKUP(
        $A36,
        _xlfn._xlws.FILTER(
            INDIRECT("'"&amp;O$1&amp;"'!A2:G1000"), (INDIRECT("'"&amp;O$1&amp;"'!B2:B1000")=$B36) * (INDIRECT("'"&amp;O$1&amp;"'!C2:C1000")=$C36)
        ),7,
        FALSE
    )
)</f>
        <v/>
      </c>
      <c r="P36" s="50">
        <f t="array" ref="P36">IF(
    VLOOKUP(
        $A36,
        _xlfn._xlws.FILTER(
            INDIRECT("'"&amp;P$1&amp;"'!A2:G1000"), (INDIRECT("'"&amp;P$1&amp;"'!B2:B1000")=$B36) * (INDIRECT("'"&amp;P$1&amp;"'!C2:C1000")=$C36)
        ),
        5,
        FALSE
    )="",
    "",
    VLOOKUP(
        $A36,
        _xlfn._xlws.FILTER(
            INDIRECT("'"&amp;P$1&amp;"'!A2:G1000"), (INDIRECT("'"&amp;P$1&amp;"'!B2:B1000")=$B36) * (INDIRECT("'"&amp;P$1&amp;"'!C2:C1000")=$C36)
        ),7,
        FALSE
    )
)</f>
        <v/>
      </c>
      <c r="Q36" s="50">
        <f t="array" ref="Q36">IF(
    VLOOKUP(
        $A36,
        _xlfn._xlws.FILTER(
            INDIRECT("'"&amp;Q$1&amp;"'!A2:G1000"), (INDIRECT("'"&amp;Q$1&amp;"'!B2:B1000")=$B36) * (INDIRECT("'"&amp;Q$1&amp;"'!C2:C1000")=$C36)
        ),
        5,
        FALSE
    )="",
    "",
    VLOOKUP(
        $A36,
        _xlfn._xlws.FILTER(
            INDIRECT("'"&amp;Q$1&amp;"'!A2:G1000"), (INDIRECT("'"&amp;Q$1&amp;"'!B2:B1000")=$B36) * (INDIRECT("'"&amp;Q$1&amp;"'!C2:C1000")=$C36)
        ),7,
        FALSE
    )
)</f>
        <v/>
      </c>
    </row>
    <row r="37">
      <c r="A37" s="52" t="inlineStr">
        <is>
          <t>Gustavo</t>
        </is>
      </c>
      <c r="B37" s="50" t="inlineStr">
        <is>
          <t>Tupassi</t>
        </is>
      </c>
      <c r="C37" s="50" t="n">
        <v>1</v>
      </c>
      <c r="D37" s="50">
        <f t="array" ref="D37">IF(
    VLOOKUP(
        $A37,
        _xlfn._xlws.FILTER(
            INDIRECT("'"&amp;D$1&amp;"'!A2:G1000"), (INDIRECT("'"&amp;D$1&amp;"'!B2:B1000")=$B37) * (INDIRECT("'"&amp;D$1&amp;"'!C2:C1000")=$C37)
        ),
        5,
        FALSE
    )="",
    "",
    VLOOKUP(
        $A37,
        _xlfn._xlws.FILTER(
            INDIRECT("'"&amp;D$1&amp;"'!A2:G1000"), (INDIRECT("'"&amp;D$1&amp;"'!B2:B1000")=$B37) * (INDIRECT("'"&amp;D$1&amp;"'!C2:C1000")=$C37)
        ),
        7,
        FALSE
    )
)</f>
        <v/>
      </c>
      <c r="E37" s="50">
        <f t="array" ref="E37">IF(
    VLOOKUP(
        $A37,
        _xlfn._xlws.FILTER(
            INDIRECT("'"&amp;E$1&amp;"'!A2:G1000"), (INDIRECT("'"&amp;E$1&amp;"'!B2:B1000")=$B37) * (INDIRECT("'"&amp;E$1&amp;"'!C2:C1000")=$C37)
        ),
        5,
        FALSE
    )="",
    "",
    VLOOKUP(
        $A37,
        _xlfn._xlws.FILTER(
            INDIRECT("'"&amp;E$1&amp;"'!A2:G1000"), (INDIRECT("'"&amp;E$1&amp;"'!B2:B1000")=$B37) * (INDIRECT("'"&amp;E$1&amp;"'!C2:C1000")=$C37)
        ),7,
        FALSE
    )
)</f>
        <v/>
      </c>
      <c r="F37" s="50">
        <f t="array" ref="F37">IF(
    VLOOKUP(
        $A37,
        _xlfn._xlws.FILTER(
            INDIRECT("'"&amp;F$1&amp;"'!A2:G1000"), (INDIRECT("'"&amp;F$1&amp;"'!B2:B1000")=$B37) * (INDIRECT("'"&amp;F$1&amp;"'!C2:C1000")=$C37)
        ),
        5,
        FALSE
    )="",
    "",
    VLOOKUP(
        $A37,
        _xlfn._xlws.FILTER(
            INDIRECT("'"&amp;F$1&amp;"'!A2:G1000"), (INDIRECT("'"&amp;F$1&amp;"'!B2:B1000")=$B37) * (INDIRECT("'"&amp;F$1&amp;"'!C2:C1000")=$C37)
        ),7,
        FALSE
    )
)</f>
        <v/>
      </c>
      <c r="G37" s="50">
        <f t="array" ref="G37">IF(
    VLOOKUP(
        $A37,
        _xlfn._xlws.FILTER(
            INDIRECT("'"&amp;G$1&amp;"'!A2:G1000"), (INDIRECT("'"&amp;G$1&amp;"'!B2:B1000")=$B37) * (INDIRECT("'"&amp;G$1&amp;"'!C2:C1000")=$C37)
        ),
        5,
        FALSE
    )="",
    "",
    VLOOKUP(
        $A37,
        _xlfn._xlws.FILTER(
            INDIRECT("'"&amp;G$1&amp;"'!A2:G1000"), (INDIRECT("'"&amp;G$1&amp;"'!B2:B1000")=$B37) * (INDIRECT("'"&amp;G$1&amp;"'!C2:C1000")=$C37)
        ),7,
        FALSE
    )
)</f>
        <v/>
      </c>
      <c r="H37" s="50">
        <f t="array" ref="H37">IF(
    VLOOKUP(
        $A37,
        _xlfn._xlws.FILTER(
            INDIRECT("'"&amp;H$1&amp;"'!A2:G1000"), (INDIRECT("'"&amp;H$1&amp;"'!B2:B1000")=$B37) * (INDIRECT("'"&amp;H$1&amp;"'!C2:C1000")=$C37)
        ),
        5,
        FALSE
    )="",
    "",
    VLOOKUP(
        $A37,
        _xlfn._xlws.FILTER(
            INDIRECT("'"&amp;H$1&amp;"'!A2:G1000"), (INDIRECT("'"&amp;H$1&amp;"'!B2:B1000")=$B37) * (INDIRECT("'"&amp;H$1&amp;"'!C2:C1000")=$C37)
        ),7,
        FALSE
    )
)</f>
        <v/>
      </c>
      <c r="I37" s="50">
        <f t="array" ref="I37">IF(
    VLOOKUP(
        $A37,
        _xlfn._xlws.FILTER(
            INDIRECT("'"&amp;I$1&amp;"'!A2:G1000"), (INDIRECT("'"&amp;I$1&amp;"'!B2:B1000")=$B37) * (INDIRECT("'"&amp;I$1&amp;"'!C2:C1000")=$C37)
        ),
        5,
        FALSE
    )="",
    "",
    VLOOKUP(
        $A37,
        _xlfn._xlws.FILTER(
            INDIRECT("'"&amp;I$1&amp;"'!A2:G1000"), (INDIRECT("'"&amp;I$1&amp;"'!B2:B1000")=$B37) * (INDIRECT("'"&amp;I$1&amp;"'!C2:C1000")=$C37)
        ),7,
        FALSE
    )
)</f>
        <v/>
      </c>
      <c r="J37" s="50">
        <f t="array" ref="J37">IF(
    VLOOKUP(
        $A37,
        _xlfn._xlws.FILTER(
            INDIRECT("'"&amp;J$1&amp;"'!A2:G1000"), (INDIRECT("'"&amp;J$1&amp;"'!B2:B1000")=$B37) * (INDIRECT("'"&amp;J$1&amp;"'!C2:C1000")=$C37)
        ),
        5,
        FALSE
    )="",
    "",
    VLOOKUP(
        $A37,
        _xlfn._xlws.FILTER(
            INDIRECT("'"&amp;J$1&amp;"'!A2:G1000"), (INDIRECT("'"&amp;J$1&amp;"'!B2:B1000")=$B37) * (INDIRECT("'"&amp;J$1&amp;"'!C2:C1000")=$C37)
        ),7,
        FALSE
    )
)</f>
        <v/>
      </c>
      <c r="K37" s="50">
        <f t="array" ref="K37">IF(
    VLOOKUP(
        $A37,
        _xlfn._xlws.FILTER(
            INDIRECT("'"&amp;K$1&amp;"'!A2:G1000"), (INDIRECT("'"&amp;K$1&amp;"'!B2:B1000")=$B37) * (INDIRECT("'"&amp;K$1&amp;"'!C2:C1000")=$C37)
        ),
        5,
        FALSE
    )="",
    "",
    VLOOKUP(
        $A37,
        _xlfn._xlws.FILTER(
            INDIRECT("'"&amp;K$1&amp;"'!A2:G1000"), (INDIRECT("'"&amp;K$1&amp;"'!B2:B1000")=$B37) * (INDIRECT("'"&amp;K$1&amp;"'!C2:C1000")=$C37)
        ),7,
        FALSE
    )
)</f>
        <v/>
      </c>
      <c r="L37" s="50">
        <f t="array" ref="L37">IF(
    VLOOKUP(
        $A37,
        _xlfn._xlws.FILTER(
            INDIRECT("'"&amp;L$1&amp;"'!A2:G1000"), (INDIRECT("'"&amp;L$1&amp;"'!B2:B1000")=$B37) * (INDIRECT("'"&amp;L$1&amp;"'!C2:C1000")=$C37)
        ),
        5,
        FALSE
    )="",
    "",
    VLOOKUP(
        $A37,
        _xlfn._xlws.FILTER(
            INDIRECT("'"&amp;L$1&amp;"'!A2:G1000"), (INDIRECT("'"&amp;L$1&amp;"'!B2:B1000")=$B37) * (INDIRECT("'"&amp;L$1&amp;"'!C2:C1000")=$C37)
        ),7,
        FALSE
    )
)</f>
        <v/>
      </c>
      <c r="M37" s="50">
        <f t="array" ref="M37">IF(
    VLOOKUP(
        $A37,
        _xlfn._xlws.FILTER(
            INDIRECT("'"&amp;M$1&amp;"'!A2:G1000"), (INDIRECT("'"&amp;M$1&amp;"'!B2:B1000")=$B37) * (INDIRECT("'"&amp;M$1&amp;"'!C2:C1000")=$C37)
        ),
        5,
        FALSE
    )="",
    "",
    VLOOKUP(
        $A37,
        _xlfn._xlws.FILTER(
            INDIRECT("'"&amp;M$1&amp;"'!A2:G1000"), (INDIRECT("'"&amp;M$1&amp;"'!B2:B1000")=$B37) * (INDIRECT("'"&amp;M$1&amp;"'!C2:C1000")=$C37)
        ),7,
        FALSE
    )
)</f>
        <v/>
      </c>
      <c r="N37" s="50">
        <f t="array" ref="N37">IF(
    VLOOKUP(
        $A37,
        _xlfn._xlws.FILTER(
            INDIRECT("'"&amp;N$1&amp;"'!A2:G1000"), (INDIRECT("'"&amp;N$1&amp;"'!B2:B1000")=$B37) * (INDIRECT("'"&amp;N$1&amp;"'!C2:C1000")=$C37)
        ),
        5,
        FALSE
    )="",
    "",
    VLOOKUP(
        $A37,
        _xlfn._xlws.FILTER(
            INDIRECT("'"&amp;N$1&amp;"'!A2:G1000"), (INDIRECT("'"&amp;N$1&amp;"'!B2:B1000")=$B37) * (INDIRECT("'"&amp;N$1&amp;"'!C2:C1000")=$C37)
        ),7,
        FALSE
    )
)</f>
        <v/>
      </c>
      <c r="O37" s="50">
        <f t="array" ref="O37">IF(
    VLOOKUP(
        $A37,
        _xlfn._xlws.FILTER(
            INDIRECT("'"&amp;O$1&amp;"'!A2:G1000"), (INDIRECT("'"&amp;O$1&amp;"'!B2:B1000")=$B37) * (INDIRECT("'"&amp;O$1&amp;"'!C2:C1000")=$C37)
        ),
        5,
        FALSE
    )="",
    "",
    VLOOKUP(
        $A37,
        _xlfn._xlws.FILTER(
            INDIRECT("'"&amp;O$1&amp;"'!A2:G1000"), (INDIRECT("'"&amp;O$1&amp;"'!B2:B1000")=$B37) * (INDIRECT("'"&amp;O$1&amp;"'!C2:C1000")=$C37)
        ),7,
        FALSE
    )
)</f>
        <v/>
      </c>
      <c r="P37" s="50">
        <f t="array" ref="P37">IF(
    VLOOKUP(
        $A37,
        _xlfn._xlws.FILTER(
            INDIRECT("'"&amp;P$1&amp;"'!A2:G1000"), (INDIRECT("'"&amp;P$1&amp;"'!B2:B1000")=$B37) * (INDIRECT("'"&amp;P$1&amp;"'!C2:C1000")=$C37)
        ),
        5,
        FALSE
    )="",
    "",
    VLOOKUP(
        $A37,
        _xlfn._xlws.FILTER(
            INDIRECT("'"&amp;P$1&amp;"'!A2:G1000"), (INDIRECT("'"&amp;P$1&amp;"'!B2:B1000")=$B37) * (INDIRECT("'"&amp;P$1&amp;"'!C2:C1000")=$C37)
        ),7,
        FALSE
    )
)</f>
        <v/>
      </c>
      <c r="Q37" s="50">
        <f t="array" ref="Q37">IF(
    VLOOKUP(
        $A37,
        _xlfn._xlws.FILTER(
            INDIRECT("'"&amp;Q$1&amp;"'!A2:G1000"), (INDIRECT("'"&amp;Q$1&amp;"'!B2:B1000")=$B37) * (INDIRECT("'"&amp;Q$1&amp;"'!C2:C1000")=$C37)
        ),
        5,
        FALSE
    )="",
    "",
    VLOOKUP(
        $A37,
        _xlfn._xlws.FILTER(
            INDIRECT("'"&amp;Q$1&amp;"'!A2:G1000"), (INDIRECT("'"&amp;Q$1&amp;"'!B2:B1000")=$B37) * (INDIRECT("'"&amp;Q$1&amp;"'!C2:C1000")=$C37)
        ),7,
        FALSE
    )
)</f>
        <v/>
      </c>
    </row>
    <row r="38">
      <c r="A38" s="52" t="inlineStr">
        <is>
          <t>Gustavo</t>
        </is>
      </c>
      <c r="B38" s="50" t="inlineStr">
        <is>
          <t>Ubirata</t>
        </is>
      </c>
      <c r="C38" s="50" t="n">
        <v>1</v>
      </c>
      <c r="D38" s="50">
        <f t="array" ref="D38">IF(
    VLOOKUP(
        $A38,
        _xlfn._xlws.FILTER(
            INDIRECT("'"&amp;D$1&amp;"'!A2:G1000"), (INDIRECT("'"&amp;D$1&amp;"'!B2:B1000")=$B38) * (INDIRECT("'"&amp;D$1&amp;"'!C2:C1000")=$C38)
        ),
        5,
        FALSE
    )="",
    "",
    VLOOKUP(
        $A38,
        _xlfn._xlws.FILTER(
            INDIRECT("'"&amp;D$1&amp;"'!A2:G1000"), (INDIRECT("'"&amp;D$1&amp;"'!B2:B1000")=$B38) * (INDIRECT("'"&amp;D$1&amp;"'!C2:C1000")=$C38)
        ),
        7,
        FALSE
    )
)</f>
        <v/>
      </c>
      <c r="E38" s="50">
        <f t="array" ref="E38">IF(
    VLOOKUP(
        $A38,
        _xlfn._xlws.FILTER(
            INDIRECT("'"&amp;E$1&amp;"'!A2:G1000"), (INDIRECT("'"&amp;E$1&amp;"'!B2:B1000")=$B38) * (INDIRECT("'"&amp;E$1&amp;"'!C2:C1000")=$C38)
        ),
        5,
        FALSE
    )="",
    "",
    VLOOKUP(
        $A38,
        _xlfn._xlws.FILTER(
            INDIRECT("'"&amp;E$1&amp;"'!A2:G1000"), (INDIRECT("'"&amp;E$1&amp;"'!B2:B1000")=$B38) * (INDIRECT("'"&amp;E$1&amp;"'!C2:C1000")=$C38)
        ),7,
        FALSE
    )
)</f>
        <v/>
      </c>
      <c r="F38" s="50">
        <f t="array" ref="F38">IF(
    VLOOKUP(
        $A38,
        _xlfn._xlws.FILTER(
            INDIRECT("'"&amp;F$1&amp;"'!A2:G1000"), (INDIRECT("'"&amp;F$1&amp;"'!B2:B1000")=$B38) * (INDIRECT("'"&amp;F$1&amp;"'!C2:C1000")=$C38)
        ),
        5,
        FALSE
    )="",
    "",
    VLOOKUP(
        $A38,
        _xlfn._xlws.FILTER(
            INDIRECT("'"&amp;F$1&amp;"'!A2:G1000"), (INDIRECT("'"&amp;F$1&amp;"'!B2:B1000")=$B38) * (INDIRECT("'"&amp;F$1&amp;"'!C2:C1000")=$C38)
        ),7,
        FALSE
    )
)</f>
        <v/>
      </c>
      <c r="G38" s="50">
        <f t="array" ref="G38">IF(
    VLOOKUP(
        $A38,
        _xlfn._xlws.FILTER(
            INDIRECT("'"&amp;G$1&amp;"'!A2:G1000"), (INDIRECT("'"&amp;G$1&amp;"'!B2:B1000")=$B38) * (INDIRECT("'"&amp;G$1&amp;"'!C2:C1000")=$C38)
        ),
        5,
        FALSE
    )="",
    "",
    VLOOKUP(
        $A38,
        _xlfn._xlws.FILTER(
            INDIRECT("'"&amp;G$1&amp;"'!A2:G1000"), (INDIRECT("'"&amp;G$1&amp;"'!B2:B1000")=$B38) * (INDIRECT("'"&amp;G$1&amp;"'!C2:C1000")=$C38)
        ),7,
        FALSE
    )
)</f>
        <v/>
      </c>
      <c r="H38" s="50">
        <f t="array" ref="H38">IF(
    VLOOKUP(
        $A38,
        _xlfn._xlws.FILTER(
            INDIRECT("'"&amp;H$1&amp;"'!A2:G1000"), (INDIRECT("'"&amp;H$1&amp;"'!B2:B1000")=$B38) * (INDIRECT("'"&amp;H$1&amp;"'!C2:C1000")=$C38)
        ),
        5,
        FALSE
    )="",
    "",
    VLOOKUP(
        $A38,
        _xlfn._xlws.FILTER(
            INDIRECT("'"&amp;H$1&amp;"'!A2:G1000"), (INDIRECT("'"&amp;H$1&amp;"'!B2:B1000")=$B38) * (INDIRECT("'"&amp;H$1&amp;"'!C2:C1000")=$C38)
        ),7,
        FALSE
    )
)</f>
        <v/>
      </c>
      <c r="I38" s="50">
        <f t="array" ref="I38">IF(
    VLOOKUP(
        $A38,
        _xlfn._xlws.FILTER(
            INDIRECT("'"&amp;I$1&amp;"'!A2:G1000"), (INDIRECT("'"&amp;I$1&amp;"'!B2:B1000")=$B38) * (INDIRECT("'"&amp;I$1&amp;"'!C2:C1000")=$C38)
        ),
        5,
        FALSE
    )="",
    "",
    VLOOKUP(
        $A38,
        _xlfn._xlws.FILTER(
            INDIRECT("'"&amp;I$1&amp;"'!A2:G1000"), (INDIRECT("'"&amp;I$1&amp;"'!B2:B1000")=$B38) * (INDIRECT("'"&amp;I$1&amp;"'!C2:C1000")=$C38)
        ),7,
        FALSE
    )
)</f>
        <v/>
      </c>
      <c r="J38" s="50">
        <f t="array" ref="J38">IF(
    VLOOKUP(
        $A38,
        _xlfn._xlws.FILTER(
            INDIRECT("'"&amp;J$1&amp;"'!A2:G1000"), (INDIRECT("'"&amp;J$1&amp;"'!B2:B1000")=$B38) * (INDIRECT("'"&amp;J$1&amp;"'!C2:C1000")=$C38)
        ),
        5,
        FALSE
    )="",
    "",
    VLOOKUP(
        $A38,
        _xlfn._xlws.FILTER(
            INDIRECT("'"&amp;J$1&amp;"'!A2:G1000"), (INDIRECT("'"&amp;J$1&amp;"'!B2:B1000")=$B38) * (INDIRECT("'"&amp;J$1&amp;"'!C2:C1000")=$C38)
        ),7,
        FALSE
    )
)</f>
        <v/>
      </c>
      <c r="K38" s="50">
        <f t="array" ref="K38">IF(
    VLOOKUP(
        $A38,
        _xlfn._xlws.FILTER(
            INDIRECT("'"&amp;K$1&amp;"'!A2:G1000"), (INDIRECT("'"&amp;K$1&amp;"'!B2:B1000")=$B38) * (INDIRECT("'"&amp;K$1&amp;"'!C2:C1000")=$C38)
        ),
        5,
        FALSE
    )="",
    "",
    VLOOKUP(
        $A38,
        _xlfn._xlws.FILTER(
            INDIRECT("'"&amp;K$1&amp;"'!A2:G1000"), (INDIRECT("'"&amp;K$1&amp;"'!B2:B1000")=$B38) * (INDIRECT("'"&amp;K$1&amp;"'!C2:C1000")=$C38)
        ),7,
        FALSE
    )
)</f>
        <v/>
      </c>
      <c r="L38" s="50">
        <f t="array" ref="L38">IF(
    VLOOKUP(
        $A38,
        _xlfn._xlws.FILTER(
            INDIRECT("'"&amp;L$1&amp;"'!A2:G1000"), (INDIRECT("'"&amp;L$1&amp;"'!B2:B1000")=$B38) * (INDIRECT("'"&amp;L$1&amp;"'!C2:C1000")=$C38)
        ),
        5,
        FALSE
    )="",
    "",
    VLOOKUP(
        $A38,
        _xlfn._xlws.FILTER(
            INDIRECT("'"&amp;L$1&amp;"'!A2:G1000"), (INDIRECT("'"&amp;L$1&amp;"'!B2:B1000")=$B38) * (INDIRECT("'"&amp;L$1&amp;"'!C2:C1000")=$C38)
        ),7,
        FALSE
    )
)</f>
        <v/>
      </c>
      <c r="M38" s="50">
        <f t="array" ref="M38">IF(
    VLOOKUP(
        $A38,
        _xlfn._xlws.FILTER(
            INDIRECT("'"&amp;M$1&amp;"'!A2:G1000"), (INDIRECT("'"&amp;M$1&amp;"'!B2:B1000")=$B38) * (INDIRECT("'"&amp;M$1&amp;"'!C2:C1000")=$C38)
        ),
        5,
        FALSE
    )="",
    "",
    VLOOKUP(
        $A38,
        _xlfn._xlws.FILTER(
            INDIRECT("'"&amp;M$1&amp;"'!A2:G1000"), (INDIRECT("'"&amp;M$1&amp;"'!B2:B1000")=$B38) * (INDIRECT("'"&amp;M$1&amp;"'!C2:C1000")=$C38)
        ),7,
        FALSE
    )
)</f>
        <v/>
      </c>
      <c r="N38" s="50">
        <f t="array" ref="N38">IF(
    VLOOKUP(
        $A38,
        _xlfn._xlws.FILTER(
            INDIRECT("'"&amp;N$1&amp;"'!A2:G1000"), (INDIRECT("'"&amp;N$1&amp;"'!B2:B1000")=$B38) * (INDIRECT("'"&amp;N$1&amp;"'!C2:C1000")=$C38)
        ),
        5,
        FALSE
    )="",
    "",
    VLOOKUP(
        $A38,
        _xlfn._xlws.FILTER(
            INDIRECT("'"&amp;N$1&amp;"'!A2:G1000"), (INDIRECT("'"&amp;N$1&amp;"'!B2:B1000")=$B38) * (INDIRECT("'"&amp;N$1&amp;"'!C2:C1000")=$C38)
        ),7,
        FALSE
    )
)</f>
        <v/>
      </c>
      <c r="O38" s="50">
        <f t="array" ref="O38">IF(
    VLOOKUP(
        $A38,
        _xlfn._xlws.FILTER(
            INDIRECT("'"&amp;O$1&amp;"'!A2:G1000"), (INDIRECT("'"&amp;O$1&amp;"'!B2:B1000")=$B38) * (INDIRECT("'"&amp;O$1&amp;"'!C2:C1000")=$C38)
        ),
        5,
        FALSE
    )="",
    "",
    VLOOKUP(
        $A38,
        _xlfn._xlws.FILTER(
            INDIRECT("'"&amp;O$1&amp;"'!A2:G1000"), (INDIRECT("'"&amp;O$1&amp;"'!B2:B1000")=$B38) * (INDIRECT("'"&amp;O$1&amp;"'!C2:C1000")=$C38)
        ),7,
        FALSE
    )
)</f>
        <v/>
      </c>
      <c r="P38" s="50">
        <f t="array" ref="P38">IF(
    VLOOKUP(
        $A38,
        _xlfn._xlws.FILTER(
            INDIRECT("'"&amp;P$1&amp;"'!A2:G1000"), (INDIRECT("'"&amp;P$1&amp;"'!B2:B1000")=$B38) * (INDIRECT("'"&amp;P$1&amp;"'!C2:C1000")=$C38)
        ),
        5,
        FALSE
    )="",
    "",
    VLOOKUP(
        $A38,
        _xlfn._xlws.FILTER(
            INDIRECT("'"&amp;P$1&amp;"'!A2:G1000"), (INDIRECT("'"&amp;P$1&amp;"'!B2:B1000")=$B38) * (INDIRECT("'"&amp;P$1&amp;"'!C2:C1000")=$C38)
        ),7,
        FALSE
    )
)</f>
        <v/>
      </c>
      <c r="Q38" s="50">
        <f t="array" ref="Q38">IF(
    VLOOKUP(
        $A38,
        _xlfn._xlws.FILTER(
            INDIRECT("'"&amp;Q$1&amp;"'!A2:G1000"), (INDIRECT("'"&amp;Q$1&amp;"'!B2:B1000")=$B38) * (INDIRECT("'"&amp;Q$1&amp;"'!C2:C1000")=$C38)
        ),
        5,
        FALSE
    )="",
    "",
    VLOOKUP(
        $A38,
        _xlfn._xlws.FILTER(
            INDIRECT("'"&amp;Q$1&amp;"'!A2:G1000"), (INDIRECT("'"&amp;Q$1&amp;"'!B2:B1000")=$B38) * (INDIRECT("'"&amp;Q$1&amp;"'!C2:C1000")=$C38)
        ),7,
        FALSE
    )
)</f>
        <v/>
      </c>
    </row>
    <row r="39">
      <c r="A39" s="87" t="n"/>
      <c r="B39" s="87" t="n"/>
      <c r="C39" s="87" t="n"/>
    </row>
    <row r="40" ht="15.75" customHeight="1">
      <c r="A40" s="108" t="inlineStr">
        <is>
          <t>Regional</t>
        </is>
      </c>
      <c r="B40" s="98" t="inlineStr">
        <is>
          <t>Municípios</t>
        </is>
      </c>
      <c r="C40" s="98" t="inlineStr">
        <is>
          <t>UVR</t>
        </is>
      </c>
      <c r="D40" s="111" t="inlineStr">
        <is>
          <t>11.24</t>
        </is>
      </c>
      <c r="E40" s="111" t="inlineStr">
        <is>
          <t>12.24</t>
        </is>
      </c>
      <c r="F40" s="111" t="inlineStr">
        <is>
          <t>01.25</t>
        </is>
      </c>
      <c r="G40" s="111" t="inlineStr">
        <is>
          <t>02.25</t>
        </is>
      </c>
      <c r="H40" s="111" t="inlineStr">
        <is>
          <t>03.25</t>
        </is>
      </c>
      <c r="I40" s="111" t="inlineStr">
        <is>
          <t>04.25</t>
        </is>
      </c>
      <c r="J40" s="111" t="inlineStr">
        <is>
          <t>05.25</t>
        </is>
      </c>
      <c r="K40" s="111" t="inlineStr">
        <is>
          <t>06.25</t>
        </is>
      </c>
      <c r="L40" s="111" t="inlineStr">
        <is>
          <t>07.25</t>
        </is>
      </c>
      <c r="M40" s="111" t="inlineStr">
        <is>
          <t>08.25</t>
        </is>
      </c>
      <c r="N40" s="111" t="inlineStr">
        <is>
          <t>09.25</t>
        </is>
      </c>
      <c r="O40" s="111" t="inlineStr">
        <is>
          <t>10.25</t>
        </is>
      </c>
      <c r="P40" s="111" t="inlineStr">
        <is>
          <t>11.25</t>
        </is>
      </c>
      <c r="Q40" s="111" t="inlineStr">
        <is>
          <t>12.25</t>
        </is>
      </c>
    </row>
    <row r="41">
      <c r="A41" s="54" t="inlineStr">
        <is>
          <t>Larissa</t>
        </is>
      </c>
      <c r="B41" s="50" t="inlineStr">
        <is>
          <t>Foz do Iguaçu</t>
        </is>
      </c>
      <c r="C41" s="50" t="n">
        <v>1</v>
      </c>
      <c r="D41" s="50">
        <f t="array" ref="D41">IF(
    VLOOKUP(
        $A41,
        _xlfn._xlws.FILTER(
            INDIRECT("'"&amp;D$1&amp;"'!A2:G1000"), (INDIRECT("'"&amp;D$1&amp;"'!B2:B1000")=$B41) * (INDIRECT("'"&amp;D$1&amp;"'!C2:C1000")=$C41)
        ),
        5,
        FALSE
    )="",
    "",
    VLOOKUP(
        $A41,
        _xlfn._xlws.FILTER(
            INDIRECT("'"&amp;D$1&amp;"'!A2:G1000"), (INDIRECT("'"&amp;D$1&amp;"'!B2:B1000")=$B41) * (INDIRECT("'"&amp;D$1&amp;"'!C2:C1000")=$C41)
        ),7,
        FALSE
    )
)</f>
        <v/>
      </c>
      <c r="E41" s="50">
        <f t="array" ref="E41">IF(
    VLOOKUP(
        $A41,
        _xlfn._xlws.FILTER(
            INDIRECT("'"&amp;E$1&amp;"'!A2:G1000"), (INDIRECT("'"&amp;E$1&amp;"'!B2:B1000")=$B41) * (INDIRECT("'"&amp;E$1&amp;"'!C2:C1000")=$C41)
        ),
        5,
        FALSE
    )="",
    "",
    VLOOKUP(
        $A41,
        _xlfn._xlws.FILTER(
            INDIRECT("'"&amp;E$1&amp;"'!A2:G1000"), (INDIRECT("'"&amp;E$1&amp;"'!B2:B1000")=$B41) * (INDIRECT("'"&amp;E$1&amp;"'!C2:C1000")=$C41)
        ),7,
        FALSE
    )
)</f>
        <v/>
      </c>
      <c r="F41" s="50">
        <f t="array" ref="F41">IF(
    VLOOKUP(
        $A41,
        _xlfn._xlws.FILTER(
            INDIRECT("'"&amp;F$1&amp;"'!A2:G1000"), (INDIRECT("'"&amp;F$1&amp;"'!B2:B1000")=$B41) * (INDIRECT("'"&amp;F$1&amp;"'!C2:C1000")=$C41)
        ),
        5,
        FALSE
    )="",
    "",
    VLOOKUP(
        $A41,
        _xlfn._xlws.FILTER(
            INDIRECT("'"&amp;F$1&amp;"'!A2:G1000"), (INDIRECT("'"&amp;F$1&amp;"'!B2:B1000")=$B41) * (INDIRECT("'"&amp;F$1&amp;"'!C2:C1000")=$C41)
        ),7,
        FALSE
    )
)</f>
        <v/>
      </c>
      <c r="G41" s="50">
        <f t="array" ref="G41">IF(
    VLOOKUP(
        $A41,
        _xlfn._xlws.FILTER(
            INDIRECT("'"&amp;G$1&amp;"'!A2:G1000"), (INDIRECT("'"&amp;G$1&amp;"'!B2:B1000")=$B41) * (INDIRECT("'"&amp;G$1&amp;"'!C2:C1000")=$C41)
        ),
        5,
        FALSE
    )="",
    "",
    VLOOKUP(
        $A41,
        _xlfn._xlws.FILTER(
            INDIRECT("'"&amp;G$1&amp;"'!A2:G1000"), (INDIRECT("'"&amp;G$1&amp;"'!B2:B1000")=$B41) * (INDIRECT("'"&amp;G$1&amp;"'!C2:C1000")=$C41)
        ),7,
        FALSE
    )
)</f>
        <v/>
      </c>
      <c r="H41" s="50">
        <f t="array" ref="H41">IF(
    VLOOKUP(
        $A41,
        _xlfn._xlws.FILTER(
            INDIRECT("'"&amp;H$1&amp;"'!A2:G1000"), (INDIRECT("'"&amp;H$1&amp;"'!B2:B1000")=$B41) * (INDIRECT("'"&amp;H$1&amp;"'!C2:C1000")=$C41)
        ),
        5,
        FALSE
    )="",
    "",
    VLOOKUP(
        $A41,
        _xlfn._xlws.FILTER(
            INDIRECT("'"&amp;H$1&amp;"'!A2:G1000"), (INDIRECT("'"&amp;H$1&amp;"'!B2:B1000")=$B41) * (INDIRECT("'"&amp;H$1&amp;"'!C2:C1000")=$C41)
        ),7,
        FALSE
    )
)</f>
        <v/>
      </c>
      <c r="I41" s="50">
        <f t="array" ref="I41">IF(
    VLOOKUP(
        $A41,
        _xlfn._xlws.FILTER(
            INDIRECT("'"&amp;I$1&amp;"'!A2:G1000"), (INDIRECT("'"&amp;I$1&amp;"'!B2:B1000")=$B41) * (INDIRECT("'"&amp;I$1&amp;"'!C2:C1000")=$C41)
        ),
        5,
        FALSE
    )="",
    "",
    VLOOKUP(
        $A41,
        _xlfn._xlws.FILTER(
            INDIRECT("'"&amp;I$1&amp;"'!A2:G1000"), (INDIRECT("'"&amp;I$1&amp;"'!B2:B1000")=$B41) * (INDIRECT("'"&amp;I$1&amp;"'!C2:C1000")=$C41)
        ),7,
        FALSE
    )
)</f>
        <v/>
      </c>
      <c r="J41" s="50">
        <f t="array" ref="J41">IF(
    VLOOKUP(
        $A41,
        _xlfn._xlws.FILTER(
            INDIRECT("'"&amp;J$1&amp;"'!A2:G1000"), (INDIRECT("'"&amp;J$1&amp;"'!B2:B1000")=$B41) * (INDIRECT("'"&amp;J$1&amp;"'!C2:C1000")=$C41)
        ),
        5,
        FALSE
    )="",
    "",
    VLOOKUP(
        $A41,
        _xlfn._xlws.FILTER(
            INDIRECT("'"&amp;J$1&amp;"'!A2:G1000"), (INDIRECT("'"&amp;J$1&amp;"'!B2:B1000")=$B41) * (INDIRECT("'"&amp;J$1&amp;"'!C2:C1000")=$C41)
        ),7,
        FALSE
    )
)</f>
        <v/>
      </c>
      <c r="K41" s="50">
        <f t="array" ref="K41">IF(
    VLOOKUP(
        $A41,
        _xlfn._xlws.FILTER(
            INDIRECT("'"&amp;K$1&amp;"'!A2:G1000"), (INDIRECT("'"&amp;K$1&amp;"'!B2:B1000")=$B41) * (INDIRECT("'"&amp;K$1&amp;"'!C2:C1000")=$C41)
        ),
        5,
        FALSE
    )="",
    "",
    VLOOKUP(
        $A41,
        _xlfn._xlws.FILTER(
            INDIRECT("'"&amp;K$1&amp;"'!A2:G1000"), (INDIRECT("'"&amp;K$1&amp;"'!B2:B1000")=$B41) * (INDIRECT("'"&amp;K$1&amp;"'!C2:C1000")=$C41)
        ),7,
        FALSE
    )
)</f>
        <v/>
      </c>
      <c r="L41" s="50">
        <f t="array" ref="L41">IF(
    VLOOKUP(
        $A41,
        _xlfn._xlws.FILTER(
            INDIRECT("'"&amp;L$1&amp;"'!A2:G1000"), (INDIRECT("'"&amp;L$1&amp;"'!B2:B1000")=$B41) * (INDIRECT("'"&amp;L$1&amp;"'!C2:C1000")=$C41)
        ),
        5,
        FALSE
    )="",
    "",
    VLOOKUP(
        $A41,
        _xlfn._xlws.FILTER(
            INDIRECT("'"&amp;L$1&amp;"'!A2:G1000"), (INDIRECT("'"&amp;L$1&amp;"'!B2:B1000")=$B41) * (INDIRECT("'"&amp;L$1&amp;"'!C2:C1000")=$C41)
        ),7,
        FALSE
    )
)</f>
        <v/>
      </c>
      <c r="M41" s="50">
        <f t="array" ref="M41">IF(
    VLOOKUP(
        $A41,
        _xlfn._xlws.FILTER(
            INDIRECT("'"&amp;M$1&amp;"'!A2:G1000"), (INDIRECT("'"&amp;M$1&amp;"'!B2:B1000")=$B41) * (INDIRECT("'"&amp;M$1&amp;"'!C2:C1000")=$C41)
        ),
        5,
        FALSE
    )="",
    "",
    VLOOKUP(
        $A41,
        _xlfn._xlws.FILTER(
            INDIRECT("'"&amp;M$1&amp;"'!A2:G1000"), (INDIRECT("'"&amp;M$1&amp;"'!B2:B1000")=$B41) * (INDIRECT("'"&amp;M$1&amp;"'!C2:C1000")=$C41)
        ),7,
        FALSE
    )
)</f>
        <v/>
      </c>
      <c r="N41" s="50">
        <f t="array" ref="N41">IF(
    VLOOKUP(
        $A41,
        _xlfn._xlws.FILTER(
            INDIRECT("'"&amp;N$1&amp;"'!A2:G1000"), (INDIRECT("'"&amp;N$1&amp;"'!B2:B1000")=$B41) * (INDIRECT("'"&amp;N$1&amp;"'!C2:C1000")=$C41)
        ),
        5,
        FALSE
    )="",
    "",
    VLOOKUP(
        $A41,
        _xlfn._xlws.FILTER(
            INDIRECT("'"&amp;N$1&amp;"'!A2:G1000"), (INDIRECT("'"&amp;N$1&amp;"'!B2:B1000")=$B41) * (INDIRECT("'"&amp;N$1&amp;"'!C2:C1000")=$C41)
        ),7,
        FALSE
    )
)</f>
        <v/>
      </c>
      <c r="O41" s="50">
        <f t="array" ref="O41">IF(
    VLOOKUP(
        $A41,
        _xlfn._xlws.FILTER(
            INDIRECT("'"&amp;O$1&amp;"'!A2:G1000"), (INDIRECT("'"&amp;O$1&amp;"'!B2:B1000")=$B41) * (INDIRECT("'"&amp;O$1&amp;"'!C2:C1000")=$C41)
        ),
        5,
        FALSE
    )="",
    "",
    VLOOKUP(
        $A41,
        _xlfn._xlws.FILTER(
            INDIRECT("'"&amp;O$1&amp;"'!A2:G1000"), (INDIRECT("'"&amp;O$1&amp;"'!B2:B1000")=$B41) * (INDIRECT("'"&amp;O$1&amp;"'!C2:C1000")=$C41)
        ),7,
        FALSE
    )
)</f>
        <v/>
      </c>
      <c r="P41" s="50">
        <f t="array" ref="P41">IF(
    VLOOKUP(
        $A41,
        _xlfn._xlws.FILTER(
            INDIRECT("'"&amp;P$1&amp;"'!A2:G1000"), (INDIRECT("'"&amp;P$1&amp;"'!B2:B1000")=$B41) * (INDIRECT("'"&amp;P$1&amp;"'!C2:C1000")=$C41)
        ),
        5,
        FALSE
    )="",
    "",
    VLOOKUP(
        $A41,
        _xlfn._xlws.FILTER(
            INDIRECT("'"&amp;P$1&amp;"'!A2:G1000"), (INDIRECT("'"&amp;P$1&amp;"'!B2:B1000")=$B41) * (INDIRECT("'"&amp;P$1&amp;"'!C2:C1000")=$C41)
        ),7,
        FALSE
    )
)</f>
        <v/>
      </c>
      <c r="Q41" s="50">
        <f t="array" ref="Q41">IF(
    VLOOKUP(
        $A41,
        _xlfn._xlws.FILTER(
            INDIRECT("'"&amp;Q$1&amp;"'!A2:G1000"), (INDIRECT("'"&amp;Q$1&amp;"'!B2:B1000")=$B41) * (INDIRECT("'"&amp;Q$1&amp;"'!C2:C1000")=$C41)
        ),
        5,
        FALSE
    )="",
    "",
    VLOOKUP(
        $A41,
        _xlfn._xlws.FILTER(
            INDIRECT("'"&amp;Q$1&amp;"'!A2:G1000"), (INDIRECT("'"&amp;Q$1&amp;"'!B2:B1000")=$B41) * (INDIRECT("'"&amp;Q$1&amp;"'!C2:C1000")=$C41)
        ),7,
        FALSE
    )
)</f>
        <v/>
      </c>
    </row>
    <row r="42">
      <c r="A42" s="54" t="inlineStr">
        <is>
          <t>Larissa</t>
        </is>
      </c>
      <c r="B42" s="50" t="inlineStr">
        <is>
          <t>Foz do Iguaçu</t>
        </is>
      </c>
      <c r="C42" s="50" t="n">
        <v>2</v>
      </c>
      <c r="D42" s="50">
        <f t="array" ref="D42">IF(
    VLOOKUP(
        $A42,
        _xlfn._xlws.FILTER(
            INDIRECT("'"&amp;D$1&amp;"'!A2:G1000"), (INDIRECT("'"&amp;D$1&amp;"'!B2:B1000")=$B42) * (INDIRECT("'"&amp;D$1&amp;"'!C2:C1000")=$C42)
        ),
        5,
        FALSE
    )="",
    "",
    VLOOKUP(
        $A42,
        _xlfn._xlws.FILTER(
            INDIRECT("'"&amp;D$1&amp;"'!A2:G1000"), (INDIRECT("'"&amp;D$1&amp;"'!B2:B1000")=$B42) * (INDIRECT("'"&amp;D$1&amp;"'!C2:C1000")=$C42)
        ),7,
        FALSE
    )
)</f>
        <v/>
      </c>
      <c r="E42" s="50">
        <f t="array" ref="E42">IF(
    VLOOKUP(
        $A42,
        _xlfn._xlws.FILTER(
            INDIRECT("'"&amp;E$1&amp;"'!A2:G1000"), (INDIRECT("'"&amp;E$1&amp;"'!B2:B1000")=$B42) * (INDIRECT("'"&amp;E$1&amp;"'!C2:C1000")=$C42)
        ),
        5,
        FALSE
    )="",
    "",
    VLOOKUP(
        $A42,
        _xlfn._xlws.FILTER(
            INDIRECT("'"&amp;E$1&amp;"'!A2:G1000"), (INDIRECT("'"&amp;E$1&amp;"'!B2:B1000")=$B42) * (INDIRECT("'"&amp;E$1&amp;"'!C2:C1000")=$C42)
        ),7,
        FALSE
    )
)</f>
        <v/>
      </c>
      <c r="F42" s="50">
        <f t="array" ref="F42">IF(
    VLOOKUP(
        $A42,
        _xlfn._xlws.FILTER(
            INDIRECT("'"&amp;F$1&amp;"'!A2:G1000"), (INDIRECT("'"&amp;F$1&amp;"'!B2:B1000")=$B42) * (INDIRECT("'"&amp;F$1&amp;"'!C2:C1000")=$C42)
        ),
        5,
        FALSE
    )="",
    "",
    VLOOKUP(
        $A42,
        _xlfn._xlws.FILTER(
            INDIRECT("'"&amp;F$1&amp;"'!A2:G1000"), (INDIRECT("'"&amp;F$1&amp;"'!B2:B1000")=$B42) * (INDIRECT("'"&amp;F$1&amp;"'!C2:C1000")=$C42)
        ),7,
        FALSE
    )
)</f>
        <v/>
      </c>
      <c r="G42" s="50">
        <f t="array" ref="G42">IF(
    VLOOKUP(
        $A42,
        _xlfn._xlws.FILTER(
            INDIRECT("'"&amp;G$1&amp;"'!A2:G1000"), (INDIRECT("'"&amp;G$1&amp;"'!B2:B1000")=$B42) * (INDIRECT("'"&amp;G$1&amp;"'!C2:C1000")=$C42)
        ),
        5,
        FALSE
    )="",
    "",
    VLOOKUP(
        $A42,
        _xlfn._xlws.FILTER(
            INDIRECT("'"&amp;G$1&amp;"'!A2:G1000"), (INDIRECT("'"&amp;G$1&amp;"'!B2:B1000")=$B42) * (INDIRECT("'"&amp;G$1&amp;"'!C2:C1000")=$C42)
        ),7,
        FALSE
    )
)</f>
        <v/>
      </c>
      <c r="H42" s="50">
        <f t="array" ref="H42">IF(
    VLOOKUP(
        $A42,
        _xlfn._xlws.FILTER(
            INDIRECT("'"&amp;H$1&amp;"'!A2:G1000"), (INDIRECT("'"&amp;H$1&amp;"'!B2:B1000")=$B42) * (INDIRECT("'"&amp;H$1&amp;"'!C2:C1000")=$C42)
        ),
        5,
        FALSE
    )="",
    "",
    VLOOKUP(
        $A42,
        _xlfn._xlws.FILTER(
            INDIRECT("'"&amp;H$1&amp;"'!A2:G1000"), (INDIRECT("'"&amp;H$1&amp;"'!B2:B1000")=$B42) * (INDIRECT("'"&amp;H$1&amp;"'!C2:C1000")=$C42)
        ),7,
        FALSE
    )
)</f>
        <v/>
      </c>
      <c r="I42" s="50">
        <f t="array" ref="I42">IF(
    VLOOKUP(
        $A42,
        _xlfn._xlws.FILTER(
            INDIRECT("'"&amp;I$1&amp;"'!A2:G1000"), (INDIRECT("'"&amp;I$1&amp;"'!B2:B1000")=$B42) * (INDIRECT("'"&amp;I$1&amp;"'!C2:C1000")=$C42)
        ),
        5,
        FALSE
    )="",
    "",
    VLOOKUP(
        $A42,
        _xlfn._xlws.FILTER(
            INDIRECT("'"&amp;I$1&amp;"'!A2:G1000"), (INDIRECT("'"&amp;I$1&amp;"'!B2:B1000")=$B42) * (INDIRECT("'"&amp;I$1&amp;"'!C2:C1000")=$C42)
        ),7,
        FALSE
    )
)</f>
        <v/>
      </c>
      <c r="J42" s="50">
        <f t="array" ref="J42">IF(
    VLOOKUP(
        $A42,
        _xlfn._xlws.FILTER(
            INDIRECT("'"&amp;J$1&amp;"'!A2:G1000"), (INDIRECT("'"&amp;J$1&amp;"'!B2:B1000")=$B42) * (INDIRECT("'"&amp;J$1&amp;"'!C2:C1000")=$C42)
        ),
        5,
        FALSE
    )="",
    "",
    VLOOKUP(
        $A42,
        _xlfn._xlws.FILTER(
            INDIRECT("'"&amp;J$1&amp;"'!A2:G1000"), (INDIRECT("'"&amp;J$1&amp;"'!B2:B1000")=$B42) * (INDIRECT("'"&amp;J$1&amp;"'!C2:C1000")=$C42)
        ),7,
        FALSE
    )
)</f>
        <v/>
      </c>
      <c r="K42" s="50">
        <f t="array" ref="K42">IF(
    VLOOKUP(
        $A42,
        _xlfn._xlws.FILTER(
            INDIRECT("'"&amp;K$1&amp;"'!A2:G1000"), (INDIRECT("'"&amp;K$1&amp;"'!B2:B1000")=$B42) * (INDIRECT("'"&amp;K$1&amp;"'!C2:C1000")=$C42)
        ),
        5,
        FALSE
    )="",
    "",
    VLOOKUP(
        $A42,
        _xlfn._xlws.FILTER(
            INDIRECT("'"&amp;K$1&amp;"'!A2:G1000"), (INDIRECT("'"&amp;K$1&amp;"'!B2:B1000")=$B42) * (INDIRECT("'"&amp;K$1&amp;"'!C2:C1000")=$C42)
        ),7,
        FALSE
    )
)</f>
        <v/>
      </c>
      <c r="L42" s="50">
        <f t="array" ref="L42">IF(
    VLOOKUP(
        $A42,
        _xlfn._xlws.FILTER(
            INDIRECT("'"&amp;L$1&amp;"'!A2:G1000"), (INDIRECT("'"&amp;L$1&amp;"'!B2:B1000")=$B42) * (INDIRECT("'"&amp;L$1&amp;"'!C2:C1000")=$C42)
        ),
        5,
        FALSE
    )="",
    "",
    VLOOKUP(
        $A42,
        _xlfn._xlws.FILTER(
            INDIRECT("'"&amp;L$1&amp;"'!A2:G1000"), (INDIRECT("'"&amp;L$1&amp;"'!B2:B1000")=$B42) * (INDIRECT("'"&amp;L$1&amp;"'!C2:C1000")=$C42)
        ),7,
        FALSE
    )
)</f>
        <v/>
      </c>
      <c r="M42" s="50">
        <f t="array" ref="M42">IF(
    VLOOKUP(
        $A42,
        _xlfn._xlws.FILTER(
            INDIRECT("'"&amp;M$1&amp;"'!A2:G1000"), (INDIRECT("'"&amp;M$1&amp;"'!B2:B1000")=$B42) * (INDIRECT("'"&amp;M$1&amp;"'!C2:C1000")=$C42)
        ),
        5,
        FALSE
    )="",
    "",
    VLOOKUP(
        $A42,
        _xlfn._xlws.FILTER(
            INDIRECT("'"&amp;M$1&amp;"'!A2:G1000"), (INDIRECT("'"&amp;M$1&amp;"'!B2:B1000")=$B42) * (INDIRECT("'"&amp;M$1&amp;"'!C2:C1000")=$C42)
        ),7,
        FALSE
    )
)</f>
        <v/>
      </c>
      <c r="N42" s="50">
        <f t="array" ref="N42">IF(
    VLOOKUP(
        $A42,
        _xlfn._xlws.FILTER(
            INDIRECT("'"&amp;N$1&amp;"'!A2:G1000"), (INDIRECT("'"&amp;N$1&amp;"'!B2:B1000")=$B42) * (INDIRECT("'"&amp;N$1&amp;"'!C2:C1000")=$C42)
        ),
        5,
        FALSE
    )="",
    "",
    VLOOKUP(
        $A42,
        _xlfn._xlws.FILTER(
            INDIRECT("'"&amp;N$1&amp;"'!A2:G1000"), (INDIRECT("'"&amp;N$1&amp;"'!B2:B1000")=$B42) * (INDIRECT("'"&amp;N$1&amp;"'!C2:C1000")=$C42)
        ),7,
        FALSE
    )
)</f>
        <v/>
      </c>
      <c r="O42" s="50">
        <f t="array" ref="O42">IF(
    VLOOKUP(
        $A42,
        _xlfn._xlws.FILTER(
            INDIRECT("'"&amp;O$1&amp;"'!A2:G1000"), (INDIRECT("'"&amp;O$1&amp;"'!B2:B1000")=$B42) * (INDIRECT("'"&amp;O$1&amp;"'!C2:C1000")=$C42)
        ),
        5,
        FALSE
    )="",
    "",
    VLOOKUP(
        $A42,
        _xlfn._xlws.FILTER(
            INDIRECT("'"&amp;O$1&amp;"'!A2:G1000"), (INDIRECT("'"&amp;O$1&amp;"'!B2:B1000")=$B42) * (INDIRECT("'"&amp;O$1&amp;"'!C2:C1000")=$C42)
        ),7,
        FALSE
    )
)</f>
        <v/>
      </c>
      <c r="P42" s="50">
        <f t="array" ref="P42">IF(
    VLOOKUP(
        $A42,
        _xlfn._xlws.FILTER(
            INDIRECT("'"&amp;P$1&amp;"'!A2:G1000"), (INDIRECT("'"&amp;P$1&amp;"'!B2:B1000")=$B42) * (INDIRECT("'"&amp;P$1&amp;"'!C2:C1000")=$C42)
        ),
        5,
        FALSE
    )="",
    "",
    VLOOKUP(
        $A42,
        _xlfn._xlws.FILTER(
            INDIRECT("'"&amp;P$1&amp;"'!A2:G1000"), (INDIRECT("'"&amp;P$1&amp;"'!B2:B1000")=$B42) * (INDIRECT("'"&amp;P$1&amp;"'!C2:C1000")=$C42)
        ),7,
        FALSE
    )
)</f>
        <v/>
      </c>
      <c r="Q42" s="50">
        <f t="array" ref="Q42">IF(
    VLOOKUP(
        $A42,
        _xlfn._xlws.FILTER(
            INDIRECT("'"&amp;Q$1&amp;"'!A2:G1000"), (INDIRECT("'"&amp;Q$1&amp;"'!B2:B1000")=$B42) * (INDIRECT("'"&amp;Q$1&amp;"'!C2:C1000")=$C42)
        ),
        5,
        FALSE
    )="",
    "",
    VLOOKUP(
        $A42,
        _xlfn._xlws.FILTER(
            INDIRECT("'"&amp;Q$1&amp;"'!A2:G1000"), (INDIRECT("'"&amp;Q$1&amp;"'!B2:B1000")=$B42) * (INDIRECT("'"&amp;Q$1&amp;"'!C2:C1000")=$C42)
        ),7,
        FALSE
    )
)</f>
        <v/>
      </c>
    </row>
    <row r="43">
      <c r="A43" s="54" t="inlineStr">
        <is>
          <t>Larissa</t>
        </is>
      </c>
      <c r="B43" s="50" t="inlineStr">
        <is>
          <t>Foz do Iguaçu</t>
        </is>
      </c>
      <c r="C43" s="50" t="n">
        <v>3</v>
      </c>
      <c r="D43" s="50">
        <f t="array" ref="D43">IF(
    VLOOKUP(
        $A43,
        _xlfn._xlws.FILTER(
            INDIRECT("'"&amp;D$1&amp;"'!A2:G1000"), (INDIRECT("'"&amp;D$1&amp;"'!B2:B1000")=$B43) * (INDIRECT("'"&amp;D$1&amp;"'!C2:C1000")=$C43)
        ),
        5,
        FALSE
    )="",
    "",
    VLOOKUP(
        $A43,
        _xlfn._xlws.FILTER(
            INDIRECT("'"&amp;D$1&amp;"'!A2:G1000"), (INDIRECT("'"&amp;D$1&amp;"'!B2:B1000")=$B43) * (INDIRECT("'"&amp;D$1&amp;"'!C2:C1000")=$C43)
        ),7,
        FALSE
    )
)</f>
        <v/>
      </c>
      <c r="E43" s="50">
        <f t="array" ref="E43">IF(
    VLOOKUP(
        $A43,
        _xlfn._xlws.FILTER(
            INDIRECT("'"&amp;E$1&amp;"'!A2:G1000"), (INDIRECT("'"&amp;E$1&amp;"'!B2:B1000")=$B43) * (INDIRECT("'"&amp;E$1&amp;"'!C2:C1000")=$C43)
        ),
        5,
        FALSE
    )="",
    "",
    VLOOKUP(
        $A43,
        _xlfn._xlws.FILTER(
            INDIRECT("'"&amp;E$1&amp;"'!A2:G1000"), (INDIRECT("'"&amp;E$1&amp;"'!B2:B1000")=$B43) * (INDIRECT("'"&amp;E$1&amp;"'!C2:C1000")=$C43)
        ),7,
        FALSE
    )
)</f>
        <v/>
      </c>
      <c r="F43" s="50">
        <f t="array" ref="F43">IF(
    VLOOKUP(
        $A43,
        _xlfn._xlws.FILTER(
            INDIRECT("'"&amp;F$1&amp;"'!A2:G1000"), (INDIRECT("'"&amp;F$1&amp;"'!B2:B1000")=$B43) * (INDIRECT("'"&amp;F$1&amp;"'!C2:C1000")=$C43)
        ),
        5,
        FALSE
    )="",
    "",
    VLOOKUP(
        $A43,
        _xlfn._xlws.FILTER(
            INDIRECT("'"&amp;F$1&amp;"'!A2:G1000"), (INDIRECT("'"&amp;F$1&amp;"'!B2:B1000")=$B43) * (INDIRECT("'"&amp;F$1&amp;"'!C2:C1000")=$C43)
        ),7,
        FALSE
    )
)</f>
        <v/>
      </c>
      <c r="G43" s="50">
        <f t="array" ref="G43">IF(
    VLOOKUP(
        $A43,
        _xlfn._xlws.FILTER(
            INDIRECT("'"&amp;G$1&amp;"'!A2:G1000"), (INDIRECT("'"&amp;G$1&amp;"'!B2:B1000")=$B43) * (INDIRECT("'"&amp;G$1&amp;"'!C2:C1000")=$C43)
        ),
        5,
        FALSE
    )="",
    "",
    VLOOKUP(
        $A43,
        _xlfn._xlws.FILTER(
            INDIRECT("'"&amp;G$1&amp;"'!A2:G1000"), (INDIRECT("'"&amp;G$1&amp;"'!B2:B1000")=$B43) * (INDIRECT("'"&amp;G$1&amp;"'!C2:C1000")=$C43)
        ),7,
        FALSE
    )
)</f>
        <v/>
      </c>
      <c r="H43" s="50">
        <f t="array" ref="H43">IF(
    VLOOKUP(
        $A43,
        _xlfn._xlws.FILTER(
            INDIRECT("'"&amp;H$1&amp;"'!A2:G1000"), (INDIRECT("'"&amp;H$1&amp;"'!B2:B1000")=$B43) * (INDIRECT("'"&amp;H$1&amp;"'!C2:C1000")=$C43)
        ),
        5,
        FALSE
    )="",
    "",
    VLOOKUP(
        $A43,
        _xlfn._xlws.FILTER(
            INDIRECT("'"&amp;H$1&amp;"'!A2:G1000"), (INDIRECT("'"&amp;H$1&amp;"'!B2:B1000")=$B43) * (INDIRECT("'"&amp;H$1&amp;"'!C2:C1000")=$C43)
        ),7,
        FALSE
    )
)</f>
        <v/>
      </c>
      <c r="I43" s="50">
        <f t="array" ref="I43">IF(
    VLOOKUP(
        $A43,
        _xlfn._xlws.FILTER(
            INDIRECT("'"&amp;I$1&amp;"'!A2:G1000"), (INDIRECT("'"&amp;I$1&amp;"'!B2:B1000")=$B43) * (INDIRECT("'"&amp;I$1&amp;"'!C2:C1000")=$C43)
        ),
        5,
        FALSE
    )="",
    "",
    VLOOKUP(
        $A43,
        _xlfn._xlws.FILTER(
            INDIRECT("'"&amp;I$1&amp;"'!A2:G1000"), (INDIRECT("'"&amp;I$1&amp;"'!B2:B1000")=$B43) * (INDIRECT("'"&amp;I$1&amp;"'!C2:C1000")=$C43)
        ),7,
        FALSE
    )
)</f>
        <v/>
      </c>
      <c r="J43" s="50">
        <f t="array" ref="J43">IF(
    VLOOKUP(
        $A43,
        _xlfn._xlws.FILTER(
            INDIRECT("'"&amp;J$1&amp;"'!A2:G1000"), (INDIRECT("'"&amp;J$1&amp;"'!B2:B1000")=$B43) * (INDIRECT("'"&amp;J$1&amp;"'!C2:C1000")=$C43)
        ),
        5,
        FALSE
    )="",
    "",
    VLOOKUP(
        $A43,
        _xlfn._xlws.FILTER(
            INDIRECT("'"&amp;J$1&amp;"'!A2:G1000"), (INDIRECT("'"&amp;J$1&amp;"'!B2:B1000")=$B43) * (INDIRECT("'"&amp;J$1&amp;"'!C2:C1000")=$C43)
        ),7,
        FALSE
    )
)</f>
        <v/>
      </c>
      <c r="K43" s="50">
        <f t="array" ref="K43">IF(
    VLOOKUP(
        $A43,
        _xlfn._xlws.FILTER(
            INDIRECT("'"&amp;K$1&amp;"'!A2:G1000"), (INDIRECT("'"&amp;K$1&amp;"'!B2:B1000")=$B43) * (INDIRECT("'"&amp;K$1&amp;"'!C2:C1000")=$C43)
        ),
        5,
        FALSE
    )="",
    "",
    VLOOKUP(
        $A43,
        _xlfn._xlws.FILTER(
            INDIRECT("'"&amp;K$1&amp;"'!A2:G1000"), (INDIRECT("'"&amp;K$1&amp;"'!B2:B1000")=$B43) * (INDIRECT("'"&amp;K$1&amp;"'!C2:C1000")=$C43)
        ),7,
        FALSE
    )
)</f>
        <v/>
      </c>
      <c r="L43" s="50">
        <f t="array" ref="L43">IF(
    VLOOKUP(
        $A43,
        _xlfn._xlws.FILTER(
            INDIRECT("'"&amp;L$1&amp;"'!A2:G1000"), (INDIRECT("'"&amp;L$1&amp;"'!B2:B1000")=$B43) * (INDIRECT("'"&amp;L$1&amp;"'!C2:C1000")=$C43)
        ),
        5,
        FALSE
    )="",
    "",
    VLOOKUP(
        $A43,
        _xlfn._xlws.FILTER(
            INDIRECT("'"&amp;L$1&amp;"'!A2:G1000"), (INDIRECT("'"&amp;L$1&amp;"'!B2:B1000")=$B43) * (INDIRECT("'"&amp;L$1&amp;"'!C2:C1000")=$C43)
        ),7,
        FALSE
    )
)</f>
        <v/>
      </c>
      <c r="M43" s="50">
        <f t="array" ref="M43">IF(
    VLOOKUP(
        $A43,
        _xlfn._xlws.FILTER(
            INDIRECT("'"&amp;M$1&amp;"'!A2:G1000"), (INDIRECT("'"&amp;M$1&amp;"'!B2:B1000")=$B43) * (INDIRECT("'"&amp;M$1&amp;"'!C2:C1000")=$C43)
        ),
        5,
        FALSE
    )="",
    "",
    VLOOKUP(
        $A43,
        _xlfn._xlws.FILTER(
            INDIRECT("'"&amp;M$1&amp;"'!A2:G1000"), (INDIRECT("'"&amp;M$1&amp;"'!B2:B1000")=$B43) * (INDIRECT("'"&amp;M$1&amp;"'!C2:C1000")=$C43)
        ),7,
        FALSE
    )
)</f>
        <v/>
      </c>
      <c r="N43" s="50">
        <f t="array" ref="N43">IF(
    VLOOKUP(
        $A43,
        _xlfn._xlws.FILTER(
            INDIRECT("'"&amp;N$1&amp;"'!A2:G1000"), (INDIRECT("'"&amp;N$1&amp;"'!B2:B1000")=$B43) * (INDIRECT("'"&amp;N$1&amp;"'!C2:C1000")=$C43)
        ),
        5,
        FALSE
    )="",
    "",
    VLOOKUP(
        $A43,
        _xlfn._xlws.FILTER(
            INDIRECT("'"&amp;N$1&amp;"'!A2:G1000"), (INDIRECT("'"&amp;N$1&amp;"'!B2:B1000")=$B43) * (INDIRECT("'"&amp;N$1&amp;"'!C2:C1000")=$C43)
        ),7,
        FALSE
    )
)</f>
        <v/>
      </c>
      <c r="O43" s="50">
        <f t="array" ref="O43">IF(
    VLOOKUP(
        $A43,
        _xlfn._xlws.FILTER(
            INDIRECT("'"&amp;O$1&amp;"'!A2:G1000"), (INDIRECT("'"&amp;O$1&amp;"'!B2:B1000")=$B43) * (INDIRECT("'"&amp;O$1&amp;"'!C2:C1000")=$C43)
        ),
        5,
        FALSE
    )="",
    "",
    VLOOKUP(
        $A43,
        _xlfn._xlws.FILTER(
            INDIRECT("'"&amp;O$1&amp;"'!A2:G1000"), (INDIRECT("'"&amp;O$1&amp;"'!B2:B1000")=$B43) * (INDIRECT("'"&amp;O$1&amp;"'!C2:C1000")=$C43)
        ),7,
        FALSE
    )
)</f>
        <v/>
      </c>
      <c r="P43" s="50">
        <f t="array" ref="P43">IF(
    VLOOKUP(
        $A43,
        _xlfn._xlws.FILTER(
            INDIRECT("'"&amp;P$1&amp;"'!A2:G1000"), (INDIRECT("'"&amp;P$1&amp;"'!B2:B1000")=$B43) * (INDIRECT("'"&amp;P$1&amp;"'!C2:C1000")=$C43)
        ),
        5,
        FALSE
    )="",
    "",
    VLOOKUP(
        $A43,
        _xlfn._xlws.FILTER(
            INDIRECT("'"&amp;P$1&amp;"'!A2:G1000"), (INDIRECT("'"&amp;P$1&amp;"'!B2:B1000")=$B43) * (INDIRECT("'"&amp;P$1&amp;"'!C2:C1000")=$C43)
        ),7,
        FALSE
    )
)</f>
        <v/>
      </c>
      <c r="Q43" s="50">
        <f t="array" ref="Q43">IF(
    VLOOKUP(
        $A43,
        _xlfn._xlws.FILTER(
            INDIRECT("'"&amp;Q$1&amp;"'!A2:G1000"), (INDIRECT("'"&amp;Q$1&amp;"'!B2:B1000")=$B43) * (INDIRECT("'"&amp;Q$1&amp;"'!C2:C1000")=$C43)
        ),
        5,
        FALSE
    )="",
    "",
    VLOOKUP(
        $A43,
        _xlfn._xlws.FILTER(
            INDIRECT("'"&amp;Q$1&amp;"'!A2:G1000"), (INDIRECT("'"&amp;Q$1&amp;"'!B2:B1000")=$B43) * (INDIRECT("'"&amp;Q$1&amp;"'!C2:C1000")=$C43)
        ),7,
        FALSE
    )
)</f>
        <v/>
      </c>
    </row>
    <row r="44">
      <c r="A44" s="54" t="inlineStr">
        <is>
          <t>Larissa</t>
        </is>
      </c>
      <c r="B44" s="50" t="inlineStr">
        <is>
          <t>Foz do Iguaçu</t>
        </is>
      </c>
      <c r="C44" s="50" t="n">
        <v>4</v>
      </c>
      <c r="D44" s="50">
        <f t="array" ref="D44">IF(
    VLOOKUP(
        $A44,
        _xlfn._xlws.FILTER(
            INDIRECT("'"&amp;D$1&amp;"'!A2:G1000"), (INDIRECT("'"&amp;D$1&amp;"'!B2:B1000")=$B44) * (INDIRECT("'"&amp;D$1&amp;"'!C2:C1000")=$C44)
        ),
        5,
        FALSE
    )="",
    "",
    VLOOKUP(
        $A44,
        _xlfn._xlws.FILTER(
            INDIRECT("'"&amp;D$1&amp;"'!A2:G1000"), (INDIRECT("'"&amp;D$1&amp;"'!B2:B1000")=$B44) * (INDIRECT("'"&amp;D$1&amp;"'!C2:C1000")=$C44)
        ),7,
        FALSE
    )
)</f>
        <v/>
      </c>
      <c r="E44" s="50">
        <f t="array" ref="E44">IF(
    VLOOKUP(
        $A44,
        _xlfn._xlws.FILTER(
            INDIRECT("'"&amp;E$1&amp;"'!A2:G1000"), (INDIRECT("'"&amp;E$1&amp;"'!B2:B1000")=$B44) * (INDIRECT("'"&amp;E$1&amp;"'!C2:C1000")=$C44)
        ),
        5,
        FALSE
    )="",
    "",
    VLOOKUP(
        $A44,
        _xlfn._xlws.FILTER(
            INDIRECT("'"&amp;E$1&amp;"'!A2:G1000"), (INDIRECT("'"&amp;E$1&amp;"'!B2:B1000")=$B44) * (INDIRECT("'"&amp;E$1&amp;"'!C2:C1000")=$C44)
        ),7,
        FALSE
    )
)</f>
        <v/>
      </c>
      <c r="F44" s="50">
        <f t="array" ref="F44">IF(
    VLOOKUP(
        $A44,
        _xlfn._xlws.FILTER(
            INDIRECT("'"&amp;F$1&amp;"'!A2:G1000"), (INDIRECT("'"&amp;F$1&amp;"'!B2:B1000")=$B44) * (INDIRECT("'"&amp;F$1&amp;"'!C2:C1000")=$C44)
        ),
        5,
        FALSE
    )="",
    "",
    VLOOKUP(
        $A44,
        _xlfn._xlws.FILTER(
            INDIRECT("'"&amp;F$1&amp;"'!A2:G1000"), (INDIRECT("'"&amp;F$1&amp;"'!B2:B1000")=$B44) * (INDIRECT("'"&amp;F$1&amp;"'!C2:C1000")=$C44)
        ),7,
        FALSE
    )
)</f>
        <v/>
      </c>
      <c r="G44" s="50">
        <f t="array" ref="G44">IF(
    VLOOKUP(
        $A44,
        _xlfn._xlws.FILTER(
            INDIRECT("'"&amp;G$1&amp;"'!A2:G1000"), (INDIRECT("'"&amp;G$1&amp;"'!B2:B1000")=$B44) * (INDIRECT("'"&amp;G$1&amp;"'!C2:C1000")=$C44)
        ),
        5,
        FALSE
    )="",
    "",
    VLOOKUP(
        $A44,
        _xlfn._xlws.FILTER(
            INDIRECT("'"&amp;G$1&amp;"'!A2:G1000"), (INDIRECT("'"&amp;G$1&amp;"'!B2:B1000")=$B44) * (INDIRECT("'"&amp;G$1&amp;"'!C2:C1000")=$C44)
        ),7,
        FALSE
    )
)</f>
        <v/>
      </c>
      <c r="H44" s="50">
        <f t="array" ref="H44">IF(
    VLOOKUP(
        $A44,
        _xlfn._xlws.FILTER(
            INDIRECT("'"&amp;H$1&amp;"'!A2:G1000"), (INDIRECT("'"&amp;H$1&amp;"'!B2:B1000")=$B44) * (INDIRECT("'"&amp;H$1&amp;"'!C2:C1000")=$C44)
        ),
        5,
        FALSE
    )="",
    "",
    VLOOKUP(
        $A44,
        _xlfn._xlws.FILTER(
            INDIRECT("'"&amp;H$1&amp;"'!A2:G1000"), (INDIRECT("'"&amp;H$1&amp;"'!B2:B1000")=$B44) * (INDIRECT("'"&amp;H$1&amp;"'!C2:C1000")=$C44)
        ),7,
        FALSE
    )
)</f>
        <v/>
      </c>
      <c r="I44" s="50">
        <f t="array" ref="I44">IF(
    VLOOKUP(
        $A44,
        _xlfn._xlws.FILTER(
            INDIRECT("'"&amp;I$1&amp;"'!A2:G1000"), (INDIRECT("'"&amp;I$1&amp;"'!B2:B1000")=$B44) * (INDIRECT("'"&amp;I$1&amp;"'!C2:C1000")=$C44)
        ),
        5,
        FALSE
    )="",
    "",
    VLOOKUP(
        $A44,
        _xlfn._xlws.FILTER(
            INDIRECT("'"&amp;I$1&amp;"'!A2:G1000"), (INDIRECT("'"&amp;I$1&amp;"'!B2:B1000")=$B44) * (INDIRECT("'"&amp;I$1&amp;"'!C2:C1000")=$C44)
        ),7,
        FALSE
    )
)</f>
        <v/>
      </c>
      <c r="J44" s="50">
        <f t="array" ref="J44">IF(
    VLOOKUP(
        $A44,
        _xlfn._xlws.FILTER(
            INDIRECT("'"&amp;J$1&amp;"'!A2:G1000"), (INDIRECT("'"&amp;J$1&amp;"'!B2:B1000")=$B44) * (INDIRECT("'"&amp;J$1&amp;"'!C2:C1000")=$C44)
        ),
        5,
        FALSE
    )="",
    "",
    VLOOKUP(
        $A44,
        _xlfn._xlws.FILTER(
            INDIRECT("'"&amp;J$1&amp;"'!A2:G1000"), (INDIRECT("'"&amp;J$1&amp;"'!B2:B1000")=$B44) * (INDIRECT("'"&amp;J$1&amp;"'!C2:C1000")=$C44)
        ),7,
        FALSE
    )
)</f>
        <v/>
      </c>
      <c r="K44" s="50">
        <f t="array" ref="K44">IF(
    VLOOKUP(
        $A44,
        _xlfn._xlws.FILTER(
            INDIRECT("'"&amp;K$1&amp;"'!A2:G1000"), (INDIRECT("'"&amp;K$1&amp;"'!B2:B1000")=$B44) * (INDIRECT("'"&amp;K$1&amp;"'!C2:C1000")=$C44)
        ),
        5,
        FALSE
    )="",
    "",
    VLOOKUP(
        $A44,
        _xlfn._xlws.FILTER(
            INDIRECT("'"&amp;K$1&amp;"'!A2:G1000"), (INDIRECT("'"&amp;K$1&amp;"'!B2:B1000")=$B44) * (INDIRECT("'"&amp;K$1&amp;"'!C2:C1000")=$C44)
        ),7,
        FALSE
    )
)</f>
        <v/>
      </c>
      <c r="L44" s="50">
        <f t="array" ref="L44">IF(
    VLOOKUP(
        $A44,
        _xlfn._xlws.FILTER(
            INDIRECT("'"&amp;L$1&amp;"'!A2:G1000"), (INDIRECT("'"&amp;L$1&amp;"'!B2:B1000")=$B44) * (INDIRECT("'"&amp;L$1&amp;"'!C2:C1000")=$C44)
        ),
        5,
        FALSE
    )="",
    "",
    VLOOKUP(
        $A44,
        _xlfn._xlws.FILTER(
            INDIRECT("'"&amp;L$1&amp;"'!A2:G1000"), (INDIRECT("'"&amp;L$1&amp;"'!B2:B1000")=$B44) * (INDIRECT("'"&amp;L$1&amp;"'!C2:C1000")=$C44)
        ),7,
        FALSE
    )
)</f>
        <v/>
      </c>
      <c r="M44" s="50">
        <f t="array" ref="M44">IF(
    VLOOKUP(
        $A44,
        _xlfn._xlws.FILTER(
            INDIRECT("'"&amp;M$1&amp;"'!A2:G1000"), (INDIRECT("'"&amp;M$1&amp;"'!B2:B1000")=$B44) * (INDIRECT("'"&amp;M$1&amp;"'!C2:C1000")=$C44)
        ),
        5,
        FALSE
    )="",
    "",
    VLOOKUP(
        $A44,
        _xlfn._xlws.FILTER(
            INDIRECT("'"&amp;M$1&amp;"'!A2:G1000"), (INDIRECT("'"&amp;M$1&amp;"'!B2:B1000")=$B44) * (INDIRECT("'"&amp;M$1&amp;"'!C2:C1000")=$C44)
        ),7,
        FALSE
    )
)</f>
        <v/>
      </c>
      <c r="N44" s="50">
        <f t="array" ref="N44">IF(
    VLOOKUP(
        $A44,
        _xlfn._xlws.FILTER(
            INDIRECT("'"&amp;N$1&amp;"'!A2:G1000"), (INDIRECT("'"&amp;N$1&amp;"'!B2:B1000")=$B44) * (INDIRECT("'"&amp;N$1&amp;"'!C2:C1000")=$C44)
        ),
        5,
        FALSE
    )="",
    "",
    VLOOKUP(
        $A44,
        _xlfn._xlws.FILTER(
            INDIRECT("'"&amp;N$1&amp;"'!A2:G1000"), (INDIRECT("'"&amp;N$1&amp;"'!B2:B1000")=$B44) * (INDIRECT("'"&amp;N$1&amp;"'!C2:C1000")=$C44)
        ),7,
        FALSE
    )
)</f>
        <v/>
      </c>
      <c r="O44" s="50">
        <f t="array" ref="O44">IF(
    VLOOKUP(
        $A44,
        _xlfn._xlws.FILTER(
            INDIRECT("'"&amp;O$1&amp;"'!A2:G1000"), (INDIRECT("'"&amp;O$1&amp;"'!B2:B1000")=$B44) * (INDIRECT("'"&amp;O$1&amp;"'!C2:C1000")=$C44)
        ),
        5,
        FALSE
    )="",
    "",
    VLOOKUP(
        $A44,
        _xlfn._xlws.FILTER(
            INDIRECT("'"&amp;O$1&amp;"'!A2:G1000"), (INDIRECT("'"&amp;O$1&amp;"'!B2:B1000")=$B44) * (INDIRECT("'"&amp;O$1&amp;"'!C2:C1000")=$C44)
        ),7,
        FALSE
    )
)</f>
        <v/>
      </c>
      <c r="P44" s="50">
        <f t="array" ref="P44">IF(
    VLOOKUP(
        $A44,
        _xlfn._xlws.FILTER(
            INDIRECT("'"&amp;P$1&amp;"'!A2:G1000"), (INDIRECT("'"&amp;P$1&amp;"'!B2:B1000")=$B44) * (INDIRECT("'"&amp;P$1&amp;"'!C2:C1000")=$C44)
        ),
        5,
        FALSE
    )="",
    "",
    VLOOKUP(
        $A44,
        _xlfn._xlws.FILTER(
            INDIRECT("'"&amp;P$1&amp;"'!A2:G1000"), (INDIRECT("'"&amp;P$1&amp;"'!B2:B1000")=$B44) * (INDIRECT("'"&amp;P$1&amp;"'!C2:C1000")=$C44)
        ),7,
        FALSE
    )
)</f>
        <v/>
      </c>
      <c r="Q44" s="50">
        <f t="array" ref="Q44">IF(
    VLOOKUP(
        $A44,
        _xlfn._xlws.FILTER(
            INDIRECT("'"&amp;Q$1&amp;"'!A2:G1000"), (INDIRECT("'"&amp;Q$1&amp;"'!B2:B1000")=$B44) * (INDIRECT("'"&amp;Q$1&amp;"'!C2:C1000")=$C44)
        ),
        5,
        FALSE
    )="",
    "",
    VLOOKUP(
        $A44,
        _xlfn._xlws.FILTER(
            INDIRECT("'"&amp;Q$1&amp;"'!A2:G1000"), (INDIRECT("'"&amp;Q$1&amp;"'!B2:B1000")=$B44) * (INDIRECT("'"&amp;Q$1&amp;"'!C2:C1000")=$C44)
        ),7,
        FALSE
    )
)</f>
        <v/>
      </c>
    </row>
    <row r="45">
      <c r="A45" s="54" t="inlineStr">
        <is>
          <t>Larissa</t>
        </is>
      </c>
      <c r="B45" s="50" t="inlineStr">
        <is>
          <t>Foz do Iguaçu</t>
        </is>
      </c>
      <c r="C45" s="50" t="n">
        <v>5</v>
      </c>
      <c r="D45" s="50">
        <f t="array" ref="D45">IF(
    VLOOKUP(
        $A45,
        _xlfn._xlws.FILTER(
            INDIRECT("'"&amp;D$1&amp;"'!A2:G1000"), (INDIRECT("'"&amp;D$1&amp;"'!B2:B1000")=$B45) * (INDIRECT("'"&amp;D$1&amp;"'!C2:C1000")=$C45)
        ),
        5,
        FALSE
    )="",
    "",
    VLOOKUP(
        $A45,
        _xlfn._xlws.FILTER(
            INDIRECT("'"&amp;D$1&amp;"'!A2:G1000"), (INDIRECT("'"&amp;D$1&amp;"'!B2:B1000")=$B45) * (INDIRECT("'"&amp;D$1&amp;"'!C2:C1000")=$C45)
        ),7,
        FALSE
    )
)</f>
        <v/>
      </c>
      <c r="E45" s="50">
        <f t="array" ref="E45">IF(
    VLOOKUP(
        $A45,
        _xlfn._xlws.FILTER(
            INDIRECT("'"&amp;E$1&amp;"'!A2:G1000"), (INDIRECT("'"&amp;E$1&amp;"'!B2:B1000")=$B45) * (INDIRECT("'"&amp;E$1&amp;"'!C2:C1000")=$C45)
        ),
        5,
        FALSE
    )="",
    "",
    VLOOKUP(
        $A45,
        _xlfn._xlws.FILTER(
            INDIRECT("'"&amp;E$1&amp;"'!A2:G1000"), (INDIRECT("'"&amp;E$1&amp;"'!B2:B1000")=$B45) * (INDIRECT("'"&amp;E$1&amp;"'!C2:C1000")=$C45)
        ),7,
        FALSE
    )
)</f>
        <v/>
      </c>
      <c r="F45" s="50">
        <f t="array" ref="F45">IF(
    VLOOKUP(
        $A45,
        _xlfn._xlws.FILTER(
            INDIRECT("'"&amp;F$1&amp;"'!A2:G1000"), (INDIRECT("'"&amp;F$1&amp;"'!B2:B1000")=$B45) * (INDIRECT("'"&amp;F$1&amp;"'!C2:C1000")=$C45)
        ),
        5,
        FALSE
    )="",
    "",
    VLOOKUP(
        $A45,
        _xlfn._xlws.FILTER(
            INDIRECT("'"&amp;F$1&amp;"'!A2:G1000"), (INDIRECT("'"&amp;F$1&amp;"'!B2:B1000")=$B45) * (INDIRECT("'"&amp;F$1&amp;"'!C2:C1000")=$C45)
        ),7,
        FALSE
    )
)</f>
        <v/>
      </c>
      <c r="G45" s="50">
        <f t="array" ref="G45">IF(
    VLOOKUP(
        $A45,
        _xlfn._xlws.FILTER(
            INDIRECT("'"&amp;G$1&amp;"'!A2:G1000"), (INDIRECT("'"&amp;G$1&amp;"'!B2:B1000")=$B45) * (INDIRECT("'"&amp;G$1&amp;"'!C2:C1000")=$C45)
        ),
        5,
        FALSE
    )="",
    "",
    VLOOKUP(
        $A45,
        _xlfn._xlws.FILTER(
            INDIRECT("'"&amp;G$1&amp;"'!A2:G1000"), (INDIRECT("'"&amp;G$1&amp;"'!B2:B1000")=$B45) * (INDIRECT("'"&amp;G$1&amp;"'!C2:C1000")=$C45)
        ),7,
        FALSE
    )
)</f>
        <v/>
      </c>
      <c r="H45" s="50">
        <f t="array" ref="H45">IF(
    VLOOKUP(
        $A45,
        _xlfn._xlws.FILTER(
            INDIRECT("'"&amp;H$1&amp;"'!A2:G1000"), (INDIRECT("'"&amp;H$1&amp;"'!B2:B1000")=$B45) * (INDIRECT("'"&amp;H$1&amp;"'!C2:C1000")=$C45)
        ),
        5,
        FALSE
    )="",
    "",
    VLOOKUP(
        $A45,
        _xlfn._xlws.FILTER(
            INDIRECT("'"&amp;H$1&amp;"'!A2:G1000"), (INDIRECT("'"&amp;H$1&amp;"'!B2:B1000")=$B45) * (INDIRECT("'"&amp;H$1&amp;"'!C2:C1000")=$C45)
        ),7,
        FALSE
    )
)</f>
        <v/>
      </c>
      <c r="I45" s="50">
        <f t="array" ref="I45">IF(
    VLOOKUP(
        $A45,
        _xlfn._xlws.FILTER(
            INDIRECT("'"&amp;I$1&amp;"'!A2:G1000"), (INDIRECT("'"&amp;I$1&amp;"'!B2:B1000")=$B45) * (INDIRECT("'"&amp;I$1&amp;"'!C2:C1000")=$C45)
        ),
        5,
        FALSE
    )="",
    "",
    VLOOKUP(
        $A45,
        _xlfn._xlws.FILTER(
            INDIRECT("'"&amp;I$1&amp;"'!A2:G1000"), (INDIRECT("'"&amp;I$1&amp;"'!B2:B1000")=$B45) * (INDIRECT("'"&amp;I$1&amp;"'!C2:C1000")=$C45)
        ),7,
        FALSE
    )
)</f>
        <v/>
      </c>
      <c r="J45" s="50">
        <f t="array" ref="J45">IF(
    VLOOKUP(
        $A45,
        _xlfn._xlws.FILTER(
            INDIRECT("'"&amp;J$1&amp;"'!A2:G1000"), (INDIRECT("'"&amp;J$1&amp;"'!B2:B1000")=$B45) * (INDIRECT("'"&amp;J$1&amp;"'!C2:C1000")=$C45)
        ),
        5,
        FALSE
    )="",
    "",
    VLOOKUP(
        $A45,
        _xlfn._xlws.FILTER(
            INDIRECT("'"&amp;J$1&amp;"'!A2:G1000"), (INDIRECT("'"&amp;J$1&amp;"'!B2:B1000")=$B45) * (INDIRECT("'"&amp;J$1&amp;"'!C2:C1000")=$C45)
        ),7,
        FALSE
    )
)</f>
        <v/>
      </c>
      <c r="K45" s="50">
        <f t="array" ref="K45">IF(
    VLOOKUP(
        $A45,
        _xlfn._xlws.FILTER(
            INDIRECT("'"&amp;K$1&amp;"'!A2:G1000"), (INDIRECT("'"&amp;K$1&amp;"'!B2:B1000")=$B45) * (INDIRECT("'"&amp;K$1&amp;"'!C2:C1000")=$C45)
        ),
        5,
        FALSE
    )="",
    "",
    VLOOKUP(
        $A45,
        _xlfn._xlws.FILTER(
            INDIRECT("'"&amp;K$1&amp;"'!A2:G1000"), (INDIRECT("'"&amp;K$1&amp;"'!B2:B1000")=$B45) * (INDIRECT("'"&amp;K$1&amp;"'!C2:C1000")=$C45)
        ),7,
        FALSE
    )
)</f>
        <v/>
      </c>
      <c r="L45" s="50">
        <f t="array" ref="L45">IF(
    VLOOKUP(
        $A45,
        _xlfn._xlws.FILTER(
            INDIRECT("'"&amp;L$1&amp;"'!A2:G1000"), (INDIRECT("'"&amp;L$1&amp;"'!B2:B1000")=$B45) * (INDIRECT("'"&amp;L$1&amp;"'!C2:C1000")=$C45)
        ),
        5,
        FALSE
    )="",
    "",
    VLOOKUP(
        $A45,
        _xlfn._xlws.FILTER(
            INDIRECT("'"&amp;L$1&amp;"'!A2:G1000"), (INDIRECT("'"&amp;L$1&amp;"'!B2:B1000")=$B45) * (INDIRECT("'"&amp;L$1&amp;"'!C2:C1000")=$C45)
        ),7,
        FALSE
    )
)</f>
        <v/>
      </c>
      <c r="M45" s="50">
        <f t="array" ref="M45">IF(
    VLOOKUP(
        $A45,
        _xlfn._xlws.FILTER(
            INDIRECT("'"&amp;M$1&amp;"'!A2:G1000"), (INDIRECT("'"&amp;M$1&amp;"'!B2:B1000")=$B45) * (INDIRECT("'"&amp;M$1&amp;"'!C2:C1000")=$C45)
        ),
        5,
        FALSE
    )="",
    "",
    VLOOKUP(
        $A45,
        _xlfn._xlws.FILTER(
            INDIRECT("'"&amp;M$1&amp;"'!A2:G1000"), (INDIRECT("'"&amp;M$1&amp;"'!B2:B1000")=$B45) * (INDIRECT("'"&amp;M$1&amp;"'!C2:C1000")=$C45)
        ),7,
        FALSE
    )
)</f>
        <v/>
      </c>
      <c r="N45" s="50">
        <f t="array" ref="N45">IF(
    VLOOKUP(
        $A45,
        _xlfn._xlws.FILTER(
            INDIRECT("'"&amp;N$1&amp;"'!A2:G1000"), (INDIRECT("'"&amp;N$1&amp;"'!B2:B1000")=$B45) * (INDIRECT("'"&amp;N$1&amp;"'!C2:C1000")=$C45)
        ),
        5,
        FALSE
    )="",
    "",
    VLOOKUP(
        $A45,
        _xlfn._xlws.FILTER(
            INDIRECT("'"&amp;N$1&amp;"'!A2:G1000"), (INDIRECT("'"&amp;N$1&amp;"'!B2:B1000")=$B45) * (INDIRECT("'"&amp;N$1&amp;"'!C2:C1000")=$C45)
        ),7,
        FALSE
    )
)</f>
        <v/>
      </c>
      <c r="O45" s="50">
        <f t="array" ref="O45">IF(
    VLOOKUP(
        $A45,
        _xlfn._xlws.FILTER(
            INDIRECT("'"&amp;O$1&amp;"'!A2:G1000"), (INDIRECT("'"&amp;O$1&amp;"'!B2:B1000")=$B45) * (INDIRECT("'"&amp;O$1&amp;"'!C2:C1000")=$C45)
        ),
        5,
        FALSE
    )="",
    "",
    VLOOKUP(
        $A45,
        _xlfn._xlws.FILTER(
            INDIRECT("'"&amp;O$1&amp;"'!A2:G1000"), (INDIRECT("'"&amp;O$1&amp;"'!B2:B1000")=$B45) * (INDIRECT("'"&amp;O$1&amp;"'!C2:C1000")=$C45)
        ),7,
        FALSE
    )
)</f>
        <v/>
      </c>
      <c r="P45" s="50">
        <f t="array" ref="P45">IF(
    VLOOKUP(
        $A45,
        _xlfn._xlws.FILTER(
            INDIRECT("'"&amp;P$1&amp;"'!A2:G1000"), (INDIRECT("'"&amp;P$1&amp;"'!B2:B1000")=$B45) * (INDIRECT("'"&amp;P$1&amp;"'!C2:C1000")=$C45)
        ),
        5,
        FALSE
    )="",
    "",
    VLOOKUP(
        $A45,
        _xlfn._xlws.FILTER(
            INDIRECT("'"&amp;P$1&amp;"'!A2:G1000"), (INDIRECT("'"&amp;P$1&amp;"'!B2:B1000")=$B45) * (INDIRECT("'"&amp;P$1&amp;"'!C2:C1000")=$C45)
        ),7,
        FALSE
    )
)</f>
        <v/>
      </c>
      <c r="Q45" s="50">
        <f t="array" ref="Q45">IF(
    VLOOKUP(
        $A45,
        _xlfn._xlws.FILTER(
            INDIRECT("'"&amp;Q$1&amp;"'!A2:G1000"), (INDIRECT("'"&amp;Q$1&amp;"'!B2:B1000")=$B45) * (INDIRECT("'"&amp;Q$1&amp;"'!C2:C1000")=$C45)
        ),
        5,
        FALSE
    )="",
    "",
    VLOOKUP(
        $A45,
        _xlfn._xlws.FILTER(
            INDIRECT("'"&amp;Q$1&amp;"'!A2:G1000"), (INDIRECT("'"&amp;Q$1&amp;"'!B2:B1000")=$B45) * (INDIRECT("'"&amp;Q$1&amp;"'!C2:C1000")=$C45)
        ),7,
        FALSE
    )
)</f>
        <v/>
      </c>
    </row>
    <row r="46">
      <c r="A46" s="54" t="inlineStr">
        <is>
          <t>Larissa</t>
        </is>
      </c>
      <c r="B46" s="50" t="inlineStr">
        <is>
          <t>Foz do Iguaçu</t>
        </is>
      </c>
      <c r="C46" s="50" t="n">
        <v>6</v>
      </c>
      <c r="D46" s="50">
        <f t="array" ref="D46">IF(
    VLOOKUP(
        $A46,
        _xlfn._xlws.FILTER(
            INDIRECT("'"&amp;D$1&amp;"'!A2:G1000"), (INDIRECT("'"&amp;D$1&amp;"'!B2:B1000")=$B46) * (INDIRECT("'"&amp;D$1&amp;"'!C2:C1000")=$C46)
        ),
        5,
        FALSE
    )="",
    "",
    VLOOKUP(
        $A46,
        _xlfn._xlws.FILTER(
            INDIRECT("'"&amp;D$1&amp;"'!A2:G1000"), (INDIRECT("'"&amp;D$1&amp;"'!B2:B1000")=$B46) * (INDIRECT("'"&amp;D$1&amp;"'!C2:C1000")=$C46)
        ),7,
        FALSE
    )
)</f>
        <v/>
      </c>
      <c r="E46" s="50">
        <f t="array" ref="E46">IF(
    VLOOKUP(
        $A46,
        _xlfn._xlws.FILTER(
            INDIRECT("'"&amp;E$1&amp;"'!A2:G1000"), (INDIRECT("'"&amp;E$1&amp;"'!B2:B1000")=$B46) * (INDIRECT("'"&amp;E$1&amp;"'!C2:C1000")=$C46)
        ),
        5,
        FALSE
    )="",
    "",
    VLOOKUP(
        $A46,
        _xlfn._xlws.FILTER(
            INDIRECT("'"&amp;E$1&amp;"'!A2:G1000"), (INDIRECT("'"&amp;E$1&amp;"'!B2:B1000")=$B46) * (INDIRECT("'"&amp;E$1&amp;"'!C2:C1000")=$C46)
        ),7,
        FALSE
    )
)</f>
        <v/>
      </c>
      <c r="F46" s="50">
        <f t="array" ref="F46">IF(
    VLOOKUP(
        $A46,
        _xlfn._xlws.FILTER(
            INDIRECT("'"&amp;F$1&amp;"'!A2:G1000"), (INDIRECT("'"&amp;F$1&amp;"'!B2:B1000")=$B46) * (INDIRECT("'"&amp;F$1&amp;"'!C2:C1000")=$C46)
        ),
        5,
        FALSE
    )="",
    "",
    VLOOKUP(
        $A46,
        _xlfn._xlws.FILTER(
            INDIRECT("'"&amp;F$1&amp;"'!A2:G1000"), (INDIRECT("'"&amp;F$1&amp;"'!B2:B1000")=$B46) * (INDIRECT("'"&amp;F$1&amp;"'!C2:C1000")=$C46)
        ),7,
        FALSE
    )
)</f>
        <v/>
      </c>
      <c r="G46" s="50">
        <f t="array" ref="G46">IF(
    VLOOKUP(
        $A46,
        _xlfn._xlws.FILTER(
            INDIRECT("'"&amp;G$1&amp;"'!A2:G1000"), (INDIRECT("'"&amp;G$1&amp;"'!B2:B1000")=$B46) * (INDIRECT("'"&amp;G$1&amp;"'!C2:C1000")=$C46)
        ),
        5,
        FALSE
    )="",
    "",
    VLOOKUP(
        $A46,
        _xlfn._xlws.FILTER(
            INDIRECT("'"&amp;G$1&amp;"'!A2:G1000"), (INDIRECT("'"&amp;G$1&amp;"'!B2:B1000")=$B46) * (INDIRECT("'"&amp;G$1&amp;"'!C2:C1000")=$C46)
        ),7,
        FALSE
    )
)</f>
        <v/>
      </c>
      <c r="H46" s="50">
        <f t="array" ref="H46">IF(
    VLOOKUP(
        $A46,
        _xlfn._xlws.FILTER(
            INDIRECT("'"&amp;H$1&amp;"'!A2:G1000"), (INDIRECT("'"&amp;H$1&amp;"'!B2:B1000")=$B46) * (INDIRECT("'"&amp;H$1&amp;"'!C2:C1000")=$C46)
        ),
        5,
        FALSE
    )="",
    "",
    VLOOKUP(
        $A46,
        _xlfn._xlws.FILTER(
            INDIRECT("'"&amp;H$1&amp;"'!A2:G1000"), (INDIRECT("'"&amp;H$1&amp;"'!B2:B1000")=$B46) * (INDIRECT("'"&amp;H$1&amp;"'!C2:C1000")=$C46)
        ),7,
        FALSE
    )
)</f>
        <v/>
      </c>
      <c r="I46" s="50">
        <f t="array" ref="I46">IF(
    VLOOKUP(
        $A46,
        _xlfn._xlws.FILTER(
            INDIRECT("'"&amp;I$1&amp;"'!A2:G1000"), (INDIRECT("'"&amp;I$1&amp;"'!B2:B1000")=$B46) * (INDIRECT("'"&amp;I$1&amp;"'!C2:C1000")=$C46)
        ),
        5,
        FALSE
    )="",
    "",
    VLOOKUP(
        $A46,
        _xlfn._xlws.FILTER(
            INDIRECT("'"&amp;I$1&amp;"'!A2:G1000"), (INDIRECT("'"&amp;I$1&amp;"'!B2:B1000")=$B46) * (INDIRECT("'"&amp;I$1&amp;"'!C2:C1000")=$C46)
        ),7,
        FALSE
    )
)</f>
        <v/>
      </c>
      <c r="J46" s="50">
        <f t="array" ref="J46">IF(
    VLOOKUP(
        $A46,
        _xlfn._xlws.FILTER(
            INDIRECT("'"&amp;J$1&amp;"'!A2:G1000"), (INDIRECT("'"&amp;J$1&amp;"'!B2:B1000")=$B46) * (INDIRECT("'"&amp;J$1&amp;"'!C2:C1000")=$C46)
        ),
        5,
        FALSE
    )="",
    "",
    VLOOKUP(
        $A46,
        _xlfn._xlws.FILTER(
            INDIRECT("'"&amp;J$1&amp;"'!A2:G1000"), (INDIRECT("'"&amp;J$1&amp;"'!B2:B1000")=$B46) * (INDIRECT("'"&amp;J$1&amp;"'!C2:C1000")=$C46)
        ),7,
        FALSE
    )
)</f>
        <v/>
      </c>
      <c r="K46" s="50">
        <f t="array" ref="K46">IF(
    VLOOKUP(
        $A46,
        _xlfn._xlws.FILTER(
            INDIRECT("'"&amp;K$1&amp;"'!A2:G1000"), (INDIRECT("'"&amp;K$1&amp;"'!B2:B1000")=$B46) * (INDIRECT("'"&amp;K$1&amp;"'!C2:C1000")=$C46)
        ),
        5,
        FALSE
    )="",
    "",
    VLOOKUP(
        $A46,
        _xlfn._xlws.FILTER(
            INDIRECT("'"&amp;K$1&amp;"'!A2:G1000"), (INDIRECT("'"&amp;K$1&amp;"'!B2:B1000")=$B46) * (INDIRECT("'"&amp;K$1&amp;"'!C2:C1000")=$C46)
        ),7,
        FALSE
    )
)</f>
        <v/>
      </c>
      <c r="L46" s="50">
        <f t="array" ref="L46">IF(
    VLOOKUP(
        $A46,
        _xlfn._xlws.FILTER(
            INDIRECT("'"&amp;L$1&amp;"'!A2:G1000"), (INDIRECT("'"&amp;L$1&amp;"'!B2:B1000")=$B46) * (INDIRECT("'"&amp;L$1&amp;"'!C2:C1000")=$C46)
        ),
        5,
        FALSE
    )="",
    "",
    VLOOKUP(
        $A46,
        _xlfn._xlws.FILTER(
            INDIRECT("'"&amp;L$1&amp;"'!A2:G1000"), (INDIRECT("'"&amp;L$1&amp;"'!B2:B1000")=$B46) * (INDIRECT("'"&amp;L$1&amp;"'!C2:C1000")=$C46)
        ),7,
        FALSE
    )
)</f>
        <v/>
      </c>
      <c r="M46" s="50">
        <f t="array" ref="M46">IF(
    VLOOKUP(
        $A46,
        _xlfn._xlws.FILTER(
            INDIRECT("'"&amp;M$1&amp;"'!A2:G1000"), (INDIRECT("'"&amp;M$1&amp;"'!B2:B1000")=$B46) * (INDIRECT("'"&amp;M$1&amp;"'!C2:C1000")=$C46)
        ),
        5,
        FALSE
    )="",
    "",
    VLOOKUP(
        $A46,
        _xlfn._xlws.FILTER(
            INDIRECT("'"&amp;M$1&amp;"'!A2:G1000"), (INDIRECT("'"&amp;M$1&amp;"'!B2:B1000")=$B46) * (INDIRECT("'"&amp;M$1&amp;"'!C2:C1000")=$C46)
        ),7,
        FALSE
    )
)</f>
        <v/>
      </c>
      <c r="N46" s="50">
        <f t="array" ref="N46">IF(
    VLOOKUP(
        $A46,
        _xlfn._xlws.FILTER(
            INDIRECT("'"&amp;N$1&amp;"'!A2:G1000"), (INDIRECT("'"&amp;N$1&amp;"'!B2:B1000")=$B46) * (INDIRECT("'"&amp;N$1&amp;"'!C2:C1000")=$C46)
        ),
        5,
        FALSE
    )="",
    "",
    VLOOKUP(
        $A46,
        _xlfn._xlws.FILTER(
            INDIRECT("'"&amp;N$1&amp;"'!A2:G1000"), (INDIRECT("'"&amp;N$1&amp;"'!B2:B1000")=$B46) * (INDIRECT("'"&amp;N$1&amp;"'!C2:C1000")=$C46)
        ),7,
        FALSE
    )
)</f>
        <v/>
      </c>
      <c r="O46" s="50">
        <f t="array" ref="O46">IF(
    VLOOKUP(
        $A46,
        _xlfn._xlws.FILTER(
            INDIRECT("'"&amp;O$1&amp;"'!A2:G1000"), (INDIRECT("'"&amp;O$1&amp;"'!B2:B1000")=$B46) * (INDIRECT("'"&amp;O$1&amp;"'!C2:C1000")=$C46)
        ),
        5,
        FALSE
    )="",
    "",
    VLOOKUP(
        $A46,
        _xlfn._xlws.FILTER(
            INDIRECT("'"&amp;O$1&amp;"'!A2:G1000"), (INDIRECT("'"&amp;O$1&amp;"'!B2:B1000")=$B46) * (INDIRECT("'"&amp;O$1&amp;"'!C2:C1000")=$C46)
        ),7,
        FALSE
    )
)</f>
        <v/>
      </c>
      <c r="P46" s="50">
        <f t="array" ref="P46">IF(
    VLOOKUP(
        $A46,
        _xlfn._xlws.FILTER(
            INDIRECT("'"&amp;P$1&amp;"'!A2:G1000"), (INDIRECT("'"&amp;P$1&amp;"'!B2:B1000")=$B46) * (INDIRECT("'"&amp;P$1&amp;"'!C2:C1000")=$C46)
        ),
        5,
        FALSE
    )="",
    "",
    VLOOKUP(
        $A46,
        _xlfn._xlws.FILTER(
            INDIRECT("'"&amp;P$1&amp;"'!A2:G1000"), (INDIRECT("'"&amp;P$1&amp;"'!B2:B1000")=$B46) * (INDIRECT("'"&amp;P$1&amp;"'!C2:C1000")=$C46)
        ),7,
        FALSE
    )
)</f>
        <v/>
      </c>
      <c r="Q46" s="50">
        <f t="array" ref="Q46">IF(
    VLOOKUP(
        $A46,
        _xlfn._xlws.FILTER(
            INDIRECT("'"&amp;Q$1&amp;"'!A2:G1000"), (INDIRECT("'"&amp;Q$1&amp;"'!B2:B1000")=$B46) * (INDIRECT("'"&amp;Q$1&amp;"'!C2:C1000")=$C46)
        ),
        5,
        FALSE
    )="",
    "",
    VLOOKUP(
        $A46,
        _xlfn._xlws.FILTER(
            INDIRECT("'"&amp;Q$1&amp;"'!A2:G1000"), (INDIRECT("'"&amp;Q$1&amp;"'!B2:B1000")=$B46) * (INDIRECT("'"&amp;Q$1&amp;"'!C2:C1000")=$C46)
        ),7,
        FALSE
    )
)</f>
        <v/>
      </c>
    </row>
    <row r="47">
      <c r="A47" s="54" t="inlineStr">
        <is>
          <t>Larissa</t>
        </is>
      </c>
      <c r="B47" s="50" t="inlineStr">
        <is>
          <t>Foz do Iguaçu</t>
        </is>
      </c>
      <c r="C47" s="50" t="n">
        <v>7</v>
      </c>
      <c r="D47" s="50">
        <f t="array" ref="D47">IF(
    VLOOKUP(
        $A47,
        _xlfn._xlws.FILTER(
            INDIRECT("'"&amp;D$1&amp;"'!A2:G1000"), (INDIRECT("'"&amp;D$1&amp;"'!B2:B1000")=$B47) * (INDIRECT("'"&amp;D$1&amp;"'!C2:C1000")=$C47)
        ),
        5,
        FALSE
    )="",
    "",
    VLOOKUP(
        $A47,
        _xlfn._xlws.FILTER(
            INDIRECT("'"&amp;D$1&amp;"'!A2:G1000"), (INDIRECT("'"&amp;D$1&amp;"'!B2:B1000")=$B47) * (INDIRECT("'"&amp;D$1&amp;"'!C2:C1000")=$C47)
        ),7,
        FALSE
    )
)</f>
        <v/>
      </c>
      <c r="E47" s="50">
        <f t="array" ref="E47">IF(
    VLOOKUP(
        $A47,
        _xlfn._xlws.FILTER(
            INDIRECT("'"&amp;E$1&amp;"'!A2:G1000"), (INDIRECT("'"&amp;E$1&amp;"'!B2:B1000")=$B47) * (INDIRECT("'"&amp;E$1&amp;"'!C2:C1000")=$C47)
        ),
        5,
        FALSE
    )="",
    "",
    VLOOKUP(
        $A47,
        _xlfn._xlws.FILTER(
            INDIRECT("'"&amp;E$1&amp;"'!A2:G1000"), (INDIRECT("'"&amp;E$1&amp;"'!B2:B1000")=$B47) * (INDIRECT("'"&amp;E$1&amp;"'!C2:C1000")=$C47)
        ),7,
        FALSE
    )
)</f>
        <v/>
      </c>
      <c r="F47" s="50">
        <f t="array" ref="F47">IF(
    VLOOKUP(
        $A47,
        _xlfn._xlws.FILTER(
            INDIRECT("'"&amp;F$1&amp;"'!A2:G1000"), (INDIRECT("'"&amp;F$1&amp;"'!B2:B1000")=$B47) * (INDIRECT("'"&amp;F$1&amp;"'!C2:C1000")=$C47)
        ),
        5,
        FALSE
    )="",
    "",
    VLOOKUP(
        $A47,
        _xlfn._xlws.FILTER(
            INDIRECT("'"&amp;F$1&amp;"'!A2:G1000"), (INDIRECT("'"&amp;F$1&amp;"'!B2:B1000")=$B47) * (INDIRECT("'"&amp;F$1&amp;"'!C2:C1000")=$C47)
        ),7,
        FALSE
    )
)</f>
        <v/>
      </c>
      <c r="G47" s="50">
        <f t="array" ref="G47">IF(
    VLOOKUP(
        $A47,
        _xlfn._xlws.FILTER(
            INDIRECT("'"&amp;G$1&amp;"'!A2:G1000"), (INDIRECT("'"&amp;G$1&amp;"'!B2:B1000")=$B47) * (INDIRECT("'"&amp;G$1&amp;"'!C2:C1000")=$C47)
        ),
        5,
        FALSE
    )="",
    "",
    VLOOKUP(
        $A47,
        _xlfn._xlws.FILTER(
            INDIRECT("'"&amp;G$1&amp;"'!A2:G1000"), (INDIRECT("'"&amp;G$1&amp;"'!B2:B1000")=$B47) * (INDIRECT("'"&amp;G$1&amp;"'!C2:C1000")=$C47)
        ),7,
        FALSE
    )
)</f>
        <v/>
      </c>
      <c r="H47" s="50">
        <f t="array" ref="H47">IF(
    VLOOKUP(
        $A47,
        _xlfn._xlws.FILTER(
            INDIRECT("'"&amp;H$1&amp;"'!A2:G1000"), (INDIRECT("'"&amp;H$1&amp;"'!B2:B1000")=$B47) * (INDIRECT("'"&amp;H$1&amp;"'!C2:C1000")=$C47)
        ),
        5,
        FALSE
    )="",
    "",
    VLOOKUP(
        $A47,
        _xlfn._xlws.FILTER(
            INDIRECT("'"&amp;H$1&amp;"'!A2:G1000"), (INDIRECT("'"&amp;H$1&amp;"'!B2:B1000")=$B47) * (INDIRECT("'"&amp;H$1&amp;"'!C2:C1000")=$C47)
        ),7,
        FALSE
    )
)</f>
        <v/>
      </c>
      <c r="I47" s="50">
        <f t="array" ref="I47">IF(
    VLOOKUP(
        $A47,
        _xlfn._xlws.FILTER(
            INDIRECT("'"&amp;I$1&amp;"'!A2:G1000"), (INDIRECT("'"&amp;I$1&amp;"'!B2:B1000")=$B47) * (INDIRECT("'"&amp;I$1&amp;"'!C2:C1000")=$C47)
        ),
        5,
        FALSE
    )="",
    "",
    VLOOKUP(
        $A47,
        _xlfn._xlws.FILTER(
            INDIRECT("'"&amp;I$1&amp;"'!A2:G1000"), (INDIRECT("'"&amp;I$1&amp;"'!B2:B1000")=$B47) * (INDIRECT("'"&amp;I$1&amp;"'!C2:C1000")=$C47)
        ),7,
        FALSE
    )
)</f>
        <v/>
      </c>
      <c r="J47" s="50">
        <f t="array" ref="J47">IF(
    VLOOKUP(
        $A47,
        _xlfn._xlws.FILTER(
            INDIRECT("'"&amp;J$1&amp;"'!A2:G1000"), (INDIRECT("'"&amp;J$1&amp;"'!B2:B1000")=$B47) * (INDIRECT("'"&amp;J$1&amp;"'!C2:C1000")=$C47)
        ),
        5,
        FALSE
    )="",
    "",
    VLOOKUP(
        $A47,
        _xlfn._xlws.FILTER(
            INDIRECT("'"&amp;J$1&amp;"'!A2:G1000"), (INDIRECT("'"&amp;J$1&amp;"'!B2:B1000")=$B47) * (INDIRECT("'"&amp;J$1&amp;"'!C2:C1000")=$C47)
        ),7,
        FALSE
    )
)</f>
        <v/>
      </c>
      <c r="K47" s="50">
        <f t="array" ref="K47">IF(
    VLOOKUP(
        $A47,
        _xlfn._xlws.FILTER(
            INDIRECT("'"&amp;K$1&amp;"'!A2:G1000"), (INDIRECT("'"&amp;K$1&amp;"'!B2:B1000")=$B47) * (INDIRECT("'"&amp;K$1&amp;"'!C2:C1000")=$C47)
        ),
        5,
        FALSE
    )="",
    "",
    VLOOKUP(
        $A47,
        _xlfn._xlws.FILTER(
            INDIRECT("'"&amp;K$1&amp;"'!A2:G1000"), (INDIRECT("'"&amp;K$1&amp;"'!B2:B1000")=$B47) * (INDIRECT("'"&amp;K$1&amp;"'!C2:C1000")=$C47)
        ),7,
        FALSE
    )
)</f>
        <v/>
      </c>
      <c r="L47" s="50">
        <f t="array" ref="L47">IF(
    VLOOKUP(
        $A47,
        _xlfn._xlws.FILTER(
            INDIRECT("'"&amp;L$1&amp;"'!A2:G1000"), (INDIRECT("'"&amp;L$1&amp;"'!B2:B1000")=$B47) * (INDIRECT("'"&amp;L$1&amp;"'!C2:C1000")=$C47)
        ),
        5,
        FALSE
    )="",
    "",
    VLOOKUP(
        $A47,
        _xlfn._xlws.FILTER(
            INDIRECT("'"&amp;L$1&amp;"'!A2:G1000"), (INDIRECT("'"&amp;L$1&amp;"'!B2:B1000")=$B47) * (INDIRECT("'"&amp;L$1&amp;"'!C2:C1000")=$C47)
        ),7,
        FALSE
    )
)</f>
        <v/>
      </c>
      <c r="M47" s="50">
        <f t="array" ref="M47">IF(
    VLOOKUP(
        $A47,
        _xlfn._xlws.FILTER(
            INDIRECT("'"&amp;M$1&amp;"'!A2:G1000"), (INDIRECT("'"&amp;M$1&amp;"'!B2:B1000")=$B47) * (INDIRECT("'"&amp;M$1&amp;"'!C2:C1000")=$C47)
        ),
        5,
        FALSE
    )="",
    "",
    VLOOKUP(
        $A47,
        _xlfn._xlws.FILTER(
            INDIRECT("'"&amp;M$1&amp;"'!A2:G1000"), (INDIRECT("'"&amp;M$1&amp;"'!B2:B1000")=$B47) * (INDIRECT("'"&amp;M$1&amp;"'!C2:C1000")=$C47)
        ),7,
        FALSE
    )
)</f>
        <v/>
      </c>
      <c r="N47" s="50">
        <f t="array" ref="N47">IF(
    VLOOKUP(
        $A47,
        _xlfn._xlws.FILTER(
            INDIRECT("'"&amp;N$1&amp;"'!A2:G1000"), (INDIRECT("'"&amp;N$1&amp;"'!B2:B1000")=$B47) * (INDIRECT("'"&amp;N$1&amp;"'!C2:C1000")=$C47)
        ),
        5,
        FALSE
    )="",
    "",
    VLOOKUP(
        $A47,
        _xlfn._xlws.FILTER(
            INDIRECT("'"&amp;N$1&amp;"'!A2:G1000"), (INDIRECT("'"&amp;N$1&amp;"'!B2:B1000")=$B47) * (INDIRECT("'"&amp;N$1&amp;"'!C2:C1000")=$C47)
        ),7,
        FALSE
    )
)</f>
        <v/>
      </c>
      <c r="O47" s="50">
        <f t="array" ref="O47">IF(
    VLOOKUP(
        $A47,
        _xlfn._xlws.FILTER(
            INDIRECT("'"&amp;O$1&amp;"'!A2:G1000"), (INDIRECT("'"&amp;O$1&amp;"'!B2:B1000")=$B47) * (INDIRECT("'"&amp;O$1&amp;"'!C2:C1000")=$C47)
        ),
        5,
        FALSE
    )="",
    "",
    VLOOKUP(
        $A47,
        _xlfn._xlws.FILTER(
            INDIRECT("'"&amp;O$1&amp;"'!A2:G1000"), (INDIRECT("'"&amp;O$1&amp;"'!B2:B1000")=$B47) * (INDIRECT("'"&amp;O$1&amp;"'!C2:C1000")=$C47)
        ),7,
        FALSE
    )
)</f>
        <v/>
      </c>
      <c r="P47" s="50">
        <f t="array" ref="P47">IF(
    VLOOKUP(
        $A47,
        _xlfn._xlws.FILTER(
            INDIRECT("'"&amp;P$1&amp;"'!A2:G1000"), (INDIRECT("'"&amp;P$1&amp;"'!B2:B1000")=$B47) * (INDIRECT("'"&amp;P$1&amp;"'!C2:C1000")=$C47)
        ),
        5,
        FALSE
    )="",
    "",
    VLOOKUP(
        $A47,
        _xlfn._xlws.FILTER(
            INDIRECT("'"&amp;P$1&amp;"'!A2:G1000"), (INDIRECT("'"&amp;P$1&amp;"'!B2:B1000")=$B47) * (INDIRECT("'"&amp;P$1&amp;"'!C2:C1000")=$C47)
        ),7,
        FALSE
    )
)</f>
        <v/>
      </c>
      <c r="Q47" s="50">
        <f t="array" ref="Q47">IF(
    VLOOKUP(
        $A47,
        _xlfn._xlws.FILTER(
            INDIRECT("'"&amp;Q$1&amp;"'!A2:G1000"), (INDIRECT("'"&amp;Q$1&amp;"'!B2:B1000")=$B47) * (INDIRECT("'"&amp;Q$1&amp;"'!C2:C1000")=$C47)
        ),
        5,
        FALSE
    )="",
    "",
    VLOOKUP(
        $A47,
        _xlfn._xlws.FILTER(
            INDIRECT("'"&amp;Q$1&amp;"'!A2:G1000"), (INDIRECT("'"&amp;Q$1&amp;"'!B2:B1000")=$B47) * (INDIRECT("'"&amp;Q$1&amp;"'!C2:C1000")=$C47)
        ),7,
        FALSE
    )
)</f>
        <v/>
      </c>
    </row>
    <row r="48">
      <c r="A48" s="54" t="inlineStr">
        <is>
          <t>Larissa</t>
        </is>
      </c>
      <c r="B48" s="50" t="inlineStr">
        <is>
          <t>Foz do Iguaçu</t>
        </is>
      </c>
      <c r="C48" s="50" t="n">
        <v>8</v>
      </c>
      <c r="D48" s="50">
        <f t="array" ref="D48">IF(
    VLOOKUP(
        $A48,
        _xlfn._xlws.FILTER(
            INDIRECT("'"&amp;D$1&amp;"'!A2:G1000"), (INDIRECT("'"&amp;D$1&amp;"'!B2:B1000")=$B48) * (INDIRECT("'"&amp;D$1&amp;"'!C2:C1000")=$C48)
        ),
        5,
        FALSE
    )="",
    "",
    VLOOKUP(
        $A48,
        _xlfn._xlws.FILTER(
            INDIRECT("'"&amp;D$1&amp;"'!A2:G1000"), (INDIRECT("'"&amp;D$1&amp;"'!B2:B1000")=$B48) * (INDIRECT("'"&amp;D$1&amp;"'!C2:C1000")=$C48)
        ),7,
        FALSE
    )
)</f>
        <v/>
      </c>
      <c r="E48" s="50">
        <f t="array" ref="E48">IF(
    VLOOKUP(
        $A48,
        _xlfn._xlws.FILTER(
            INDIRECT("'"&amp;E$1&amp;"'!A2:G1000"), (INDIRECT("'"&amp;E$1&amp;"'!B2:B1000")=$B48) * (INDIRECT("'"&amp;E$1&amp;"'!C2:C1000")=$C48)
        ),
        5,
        FALSE
    )="",
    "",
    VLOOKUP(
        $A48,
        _xlfn._xlws.FILTER(
            INDIRECT("'"&amp;E$1&amp;"'!A2:G1000"), (INDIRECT("'"&amp;E$1&amp;"'!B2:B1000")=$B48) * (INDIRECT("'"&amp;E$1&amp;"'!C2:C1000")=$C48)
        ),7,
        FALSE
    )
)</f>
        <v/>
      </c>
      <c r="F48" s="50">
        <f t="array" ref="F48">IF(
    VLOOKUP(
        $A48,
        _xlfn._xlws.FILTER(
            INDIRECT("'"&amp;F$1&amp;"'!A2:G1000"), (INDIRECT("'"&amp;F$1&amp;"'!B2:B1000")=$B48) * (INDIRECT("'"&amp;F$1&amp;"'!C2:C1000")=$C48)
        ),
        5,
        FALSE
    )="",
    "",
    VLOOKUP(
        $A48,
        _xlfn._xlws.FILTER(
            INDIRECT("'"&amp;F$1&amp;"'!A2:G1000"), (INDIRECT("'"&amp;F$1&amp;"'!B2:B1000")=$B48) * (INDIRECT("'"&amp;F$1&amp;"'!C2:C1000")=$C48)
        ),7,
        FALSE
    )
)</f>
        <v/>
      </c>
      <c r="G48" s="50">
        <f t="array" ref="G48">IF(
    VLOOKUP(
        $A48,
        _xlfn._xlws.FILTER(
            INDIRECT("'"&amp;G$1&amp;"'!A2:G1000"), (INDIRECT("'"&amp;G$1&amp;"'!B2:B1000")=$B48) * (INDIRECT("'"&amp;G$1&amp;"'!C2:C1000")=$C48)
        ),
        5,
        FALSE
    )="",
    "",
    VLOOKUP(
        $A48,
        _xlfn._xlws.FILTER(
            INDIRECT("'"&amp;G$1&amp;"'!A2:G1000"), (INDIRECT("'"&amp;G$1&amp;"'!B2:B1000")=$B48) * (INDIRECT("'"&amp;G$1&amp;"'!C2:C1000")=$C48)
        ),7,
        FALSE
    )
)</f>
        <v/>
      </c>
      <c r="H48" s="50">
        <f t="array" ref="H48">IF(
    VLOOKUP(
        $A48,
        _xlfn._xlws.FILTER(
            INDIRECT("'"&amp;H$1&amp;"'!A2:G1000"), (INDIRECT("'"&amp;H$1&amp;"'!B2:B1000")=$B48) * (INDIRECT("'"&amp;H$1&amp;"'!C2:C1000")=$C48)
        ),
        5,
        FALSE
    )="",
    "",
    VLOOKUP(
        $A48,
        _xlfn._xlws.FILTER(
            INDIRECT("'"&amp;H$1&amp;"'!A2:G1000"), (INDIRECT("'"&amp;H$1&amp;"'!B2:B1000")=$B48) * (INDIRECT("'"&amp;H$1&amp;"'!C2:C1000")=$C48)
        ),7,
        FALSE
    )
)</f>
        <v/>
      </c>
      <c r="I48" s="50">
        <f t="array" ref="I48">IF(
    VLOOKUP(
        $A48,
        _xlfn._xlws.FILTER(
            INDIRECT("'"&amp;I$1&amp;"'!A2:G1000"), (INDIRECT("'"&amp;I$1&amp;"'!B2:B1000")=$B48) * (INDIRECT("'"&amp;I$1&amp;"'!C2:C1000")=$C48)
        ),
        5,
        FALSE
    )="",
    "",
    VLOOKUP(
        $A48,
        _xlfn._xlws.FILTER(
            INDIRECT("'"&amp;I$1&amp;"'!A2:G1000"), (INDIRECT("'"&amp;I$1&amp;"'!B2:B1000")=$B48) * (INDIRECT("'"&amp;I$1&amp;"'!C2:C1000")=$C48)
        ),7,
        FALSE
    )
)</f>
        <v/>
      </c>
      <c r="J48" s="50">
        <f t="array" ref="J48">IF(
    VLOOKUP(
        $A48,
        _xlfn._xlws.FILTER(
            INDIRECT("'"&amp;J$1&amp;"'!A2:G1000"), (INDIRECT("'"&amp;J$1&amp;"'!B2:B1000")=$B48) * (INDIRECT("'"&amp;J$1&amp;"'!C2:C1000")=$C48)
        ),
        5,
        FALSE
    )="",
    "",
    VLOOKUP(
        $A48,
        _xlfn._xlws.FILTER(
            INDIRECT("'"&amp;J$1&amp;"'!A2:G1000"), (INDIRECT("'"&amp;J$1&amp;"'!B2:B1000")=$B48) * (INDIRECT("'"&amp;J$1&amp;"'!C2:C1000")=$C48)
        ),7,
        FALSE
    )
)</f>
        <v/>
      </c>
      <c r="K48" s="50">
        <f t="array" ref="K48">IF(
    VLOOKUP(
        $A48,
        _xlfn._xlws.FILTER(
            INDIRECT("'"&amp;K$1&amp;"'!A2:G1000"), (INDIRECT("'"&amp;K$1&amp;"'!B2:B1000")=$B48) * (INDIRECT("'"&amp;K$1&amp;"'!C2:C1000")=$C48)
        ),
        5,
        FALSE
    )="",
    "",
    VLOOKUP(
        $A48,
        _xlfn._xlws.FILTER(
            INDIRECT("'"&amp;K$1&amp;"'!A2:G1000"), (INDIRECT("'"&amp;K$1&amp;"'!B2:B1000")=$B48) * (INDIRECT("'"&amp;K$1&amp;"'!C2:C1000")=$C48)
        ),7,
        FALSE
    )
)</f>
        <v/>
      </c>
      <c r="L48" s="50">
        <f t="array" ref="L48">IF(
    VLOOKUP(
        $A48,
        _xlfn._xlws.FILTER(
            INDIRECT("'"&amp;L$1&amp;"'!A2:G1000"), (INDIRECT("'"&amp;L$1&amp;"'!B2:B1000")=$B48) * (INDIRECT("'"&amp;L$1&amp;"'!C2:C1000")=$C48)
        ),
        5,
        FALSE
    )="",
    "",
    VLOOKUP(
        $A48,
        _xlfn._xlws.FILTER(
            INDIRECT("'"&amp;L$1&amp;"'!A2:G1000"), (INDIRECT("'"&amp;L$1&amp;"'!B2:B1000")=$B48) * (INDIRECT("'"&amp;L$1&amp;"'!C2:C1000")=$C48)
        ),7,
        FALSE
    )
)</f>
        <v/>
      </c>
      <c r="M48" s="50">
        <f t="array" ref="M48">IF(
    VLOOKUP(
        $A48,
        _xlfn._xlws.FILTER(
            INDIRECT("'"&amp;M$1&amp;"'!A2:G1000"), (INDIRECT("'"&amp;M$1&amp;"'!B2:B1000")=$B48) * (INDIRECT("'"&amp;M$1&amp;"'!C2:C1000")=$C48)
        ),
        5,
        FALSE
    )="",
    "",
    VLOOKUP(
        $A48,
        _xlfn._xlws.FILTER(
            INDIRECT("'"&amp;M$1&amp;"'!A2:G1000"), (INDIRECT("'"&amp;M$1&amp;"'!B2:B1000")=$B48) * (INDIRECT("'"&amp;M$1&amp;"'!C2:C1000")=$C48)
        ),7,
        FALSE
    )
)</f>
        <v/>
      </c>
      <c r="N48" s="50">
        <f t="array" ref="N48">IF(
    VLOOKUP(
        $A48,
        _xlfn._xlws.FILTER(
            INDIRECT("'"&amp;N$1&amp;"'!A2:G1000"), (INDIRECT("'"&amp;N$1&amp;"'!B2:B1000")=$B48) * (INDIRECT("'"&amp;N$1&amp;"'!C2:C1000")=$C48)
        ),
        5,
        FALSE
    )="",
    "",
    VLOOKUP(
        $A48,
        _xlfn._xlws.FILTER(
            INDIRECT("'"&amp;N$1&amp;"'!A2:G1000"), (INDIRECT("'"&amp;N$1&amp;"'!B2:B1000")=$B48) * (INDIRECT("'"&amp;N$1&amp;"'!C2:C1000")=$C48)
        ),7,
        FALSE
    )
)</f>
        <v/>
      </c>
      <c r="O48" s="50">
        <f t="array" ref="O48">IF(
    VLOOKUP(
        $A48,
        _xlfn._xlws.FILTER(
            INDIRECT("'"&amp;O$1&amp;"'!A2:G1000"), (INDIRECT("'"&amp;O$1&amp;"'!B2:B1000")=$B48) * (INDIRECT("'"&amp;O$1&amp;"'!C2:C1000")=$C48)
        ),
        5,
        FALSE
    )="",
    "",
    VLOOKUP(
        $A48,
        _xlfn._xlws.FILTER(
            INDIRECT("'"&amp;O$1&amp;"'!A2:G1000"), (INDIRECT("'"&amp;O$1&amp;"'!B2:B1000")=$B48) * (INDIRECT("'"&amp;O$1&amp;"'!C2:C1000")=$C48)
        ),7,
        FALSE
    )
)</f>
        <v/>
      </c>
      <c r="P48" s="50">
        <f t="array" ref="P48">IF(
    VLOOKUP(
        $A48,
        _xlfn._xlws.FILTER(
            INDIRECT("'"&amp;P$1&amp;"'!A2:G1000"), (INDIRECT("'"&amp;P$1&amp;"'!B2:B1000")=$B48) * (INDIRECT("'"&amp;P$1&amp;"'!C2:C1000")=$C48)
        ),
        5,
        FALSE
    )="",
    "",
    VLOOKUP(
        $A48,
        _xlfn._xlws.FILTER(
            INDIRECT("'"&amp;P$1&amp;"'!A2:G1000"), (INDIRECT("'"&amp;P$1&amp;"'!B2:B1000")=$B48) * (INDIRECT("'"&amp;P$1&amp;"'!C2:C1000")=$C48)
        ),7,
        FALSE
    )
)</f>
        <v/>
      </c>
      <c r="Q48" s="50">
        <f t="array" ref="Q48">IF(
    VLOOKUP(
        $A48,
        _xlfn._xlws.FILTER(
            INDIRECT("'"&amp;Q$1&amp;"'!A2:G1000"), (INDIRECT("'"&amp;Q$1&amp;"'!B2:B1000")=$B48) * (INDIRECT("'"&amp;Q$1&amp;"'!C2:C1000")=$C48)
        ),
        5,
        FALSE
    )="",
    "",
    VLOOKUP(
        $A48,
        _xlfn._xlws.FILTER(
            INDIRECT("'"&amp;Q$1&amp;"'!A2:G1000"), (INDIRECT("'"&amp;Q$1&amp;"'!B2:B1000")=$B48) * (INDIRECT("'"&amp;Q$1&amp;"'!C2:C1000")=$C48)
        ),7,
        FALSE
    )
)</f>
        <v/>
      </c>
    </row>
    <row r="49" ht="15.75" customHeight="1">
      <c r="A49" s="54" t="inlineStr">
        <is>
          <t>Larissa</t>
        </is>
      </c>
      <c r="B49" s="50" t="inlineStr">
        <is>
          <t>Foz do Iguaçu</t>
        </is>
      </c>
      <c r="C49" s="50" t="n">
        <v>9</v>
      </c>
      <c r="D49" s="50">
        <f t="array" ref="D49">IF(
    VLOOKUP(
        $A49,
        _xlfn._xlws.FILTER(
            INDIRECT("'"&amp;D$1&amp;"'!A2:G1000"), (INDIRECT("'"&amp;D$1&amp;"'!B2:B1000")=$B49) * (INDIRECT("'"&amp;D$1&amp;"'!C2:C1000")=$C49)
        ),
        5,
        FALSE
    )="",
    "",
    VLOOKUP(
        $A49,
        _xlfn._xlws.FILTER(
            INDIRECT("'"&amp;D$1&amp;"'!A2:G1000"), (INDIRECT("'"&amp;D$1&amp;"'!B2:B1000")=$B49) * (INDIRECT("'"&amp;D$1&amp;"'!C2:C1000")=$C49)
        ),7,
        FALSE
    )
)</f>
        <v/>
      </c>
      <c r="E49" s="50">
        <f t="array" ref="E49">IF(
    VLOOKUP(
        $A49,
        _xlfn._xlws.FILTER(
            INDIRECT("'"&amp;E$1&amp;"'!A2:G1000"), (INDIRECT("'"&amp;E$1&amp;"'!B2:B1000")=$B49) * (INDIRECT("'"&amp;E$1&amp;"'!C2:C1000")=$C49)
        ),
        5,
        FALSE
    )="",
    "",
    VLOOKUP(
        $A49,
        _xlfn._xlws.FILTER(
            INDIRECT("'"&amp;E$1&amp;"'!A2:G1000"), (INDIRECT("'"&amp;E$1&amp;"'!B2:B1000")=$B49) * (INDIRECT("'"&amp;E$1&amp;"'!C2:C1000")=$C49)
        ),7,
        FALSE
    )
)</f>
        <v/>
      </c>
      <c r="F49" s="50">
        <f t="array" ref="F49">IF(
    VLOOKUP(
        $A49,
        _xlfn._xlws.FILTER(
            INDIRECT("'"&amp;F$1&amp;"'!A2:G1000"), (INDIRECT("'"&amp;F$1&amp;"'!B2:B1000")=$B49) * (INDIRECT("'"&amp;F$1&amp;"'!C2:C1000")=$C49)
        ),
        5,
        FALSE
    )="",
    "",
    VLOOKUP(
        $A49,
        _xlfn._xlws.FILTER(
            INDIRECT("'"&amp;F$1&amp;"'!A2:G1000"), (INDIRECT("'"&amp;F$1&amp;"'!B2:B1000")=$B49) * (INDIRECT("'"&amp;F$1&amp;"'!C2:C1000")=$C49)
        ),7,
        FALSE
    )
)</f>
        <v/>
      </c>
      <c r="G49" s="50">
        <f t="array" ref="G49">IF(
    VLOOKUP(
        $A49,
        _xlfn._xlws.FILTER(
            INDIRECT("'"&amp;G$1&amp;"'!A2:G1000"), (INDIRECT("'"&amp;G$1&amp;"'!B2:B1000")=$B49) * (INDIRECT("'"&amp;G$1&amp;"'!C2:C1000")=$C49)
        ),
        5,
        FALSE
    )="",
    "",
    VLOOKUP(
        $A49,
        _xlfn._xlws.FILTER(
            INDIRECT("'"&amp;G$1&amp;"'!A2:G1000"), (INDIRECT("'"&amp;G$1&amp;"'!B2:B1000")=$B49) * (INDIRECT("'"&amp;G$1&amp;"'!C2:C1000")=$C49)
        ),7,
        FALSE
    )
)</f>
        <v/>
      </c>
      <c r="H49" s="50">
        <f t="array" ref="H49">IF(
    VLOOKUP(
        $A49,
        _xlfn._xlws.FILTER(
            INDIRECT("'"&amp;H$1&amp;"'!A2:G1000"), (INDIRECT("'"&amp;H$1&amp;"'!B2:B1000")=$B49) * (INDIRECT("'"&amp;H$1&amp;"'!C2:C1000")=$C49)
        ),
        5,
        FALSE
    )="",
    "",
    VLOOKUP(
        $A49,
        _xlfn._xlws.FILTER(
            INDIRECT("'"&amp;H$1&amp;"'!A2:G1000"), (INDIRECT("'"&amp;H$1&amp;"'!B2:B1000")=$B49) * (INDIRECT("'"&amp;H$1&amp;"'!C2:C1000")=$C49)
        ),7,
        FALSE
    )
)</f>
        <v/>
      </c>
      <c r="I49" s="50">
        <f t="array" ref="I49">IF(
    VLOOKUP(
        $A49,
        _xlfn._xlws.FILTER(
            INDIRECT("'"&amp;I$1&amp;"'!A2:G1000"), (INDIRECT("'"&amp;I$1&amp;"'!B2:B1000")=$B49) * (INDIRECT("'"&amp;I$1&amp;"'!C2:C1000")=$C49)
        ),
        5,
        FALSE
    )="",
    "",
    VLOOKUP(
        $A49,
        _xlfn._xlws.FILTER(
            INDIRECT("'"&amp;I$1&amp;"'!A2:G1000"), (INDIRECT("'"&amp;I$1&amp;"'!B2:B1000")=$B49) * (INDIRECT("'"&amp;I$1&amp;"'!C2:C1000")=$C49)
        ),7,
        FALSE
    )
)</f>
        <v/>
      </c>
      <c r="J49" s="50">
        <f t="array" ref="J49">IF(
    VLOOKUP(
        $A49,
        _xlfn._xlws.FILTER(
            INDIRECT("'"&amp;J$1&amp;"'!A2:G1000"), (INDIRECT("'"&amp;J$1&amp;"'!B2:B1000")=$B49) * (INDIRECT("'"&amp;J$1&amp;"'!C2:C1000")=$C49)
        ),
        5,
        FALSE
    )="",
    "",
    VLOOKUP(
        $A49,
        _xlfn._xlws.FILTER(
            INDIRECT("'"&amp;J$1&amp;"'!A2:G1000"), (INDIRECT("'"&amp;J$1&amp;"'!B2:B1000")=$B49) * (INDIRECT("'"&amp;J$1&amp;"'!C2:C1000")=$C49)
        ),7,
        FALSE
    )
)</f>
        <v/>
      </c>
      <c r="K49" s="50">
        <f t="array" ref="K49">IF(
    VLOOKUP(
        $A49,
        _xlfn._xlws.FILTER(
            INDIRECT("'"&amp;K$1&amp;"'!A2:G1000"), (INDIRECT("'"&amp;K$1&amp;"'!B2:B1000")=$B49) * (INDIRECT("'"&amp;K$1&amp;"'!C2:C1000")=$C49)
        ),
        5,
        FALSE
    )="",
    "",
    VLOOKUP(
        $A49,
        _xlfn._xlws.FILTER(
            INDIRECT("'"&amp;K$1&amp;"'!A2:G1000"), (INDIRECT("'"&amp;K$1&amp;"'!B2:B1000")=$B49) * (INDIRECT("'"&amp;K$1&amp;"'!C2:C1000")=$C49)
        ),7,
        FALSE
    )
)</f>
        <v/>
      </c>
      <c r="L49" s="50">
        <f t="array" ref="L49">IF(
    VLOOKUP(
        $A49,
        _xlfn._xlws.FILTER(
            INDIRECT("'"&amp;L$1&amp;"'!A2:G1000"), (INDIRECT("'"&amp;L$1&amp;"'!B2:B1000")=$B49) * (INDIRECT("'"&amp;L$1&amp;"'!C2:C1000")=$C49)
        ),
        5,
        FALSE
    )="",
    "",
    VLOOKUP(
        $A49,
        _xlfn._xlws.FILTER(
            INDIRECT("'"&amp;L$1&amp;"'!A2:G1000"), (INDIRECT("'"&amp;L$1&amp;"'!B2:B1000")=$B49) * (INDIRECT("'"&amp;L$1&amp;"'!C2:C1000")=$C49)
        ),7,
        FALSE
    )
)</f>
        <v/>
      </c>
      <c r="M49" s="50">
        <f t="array" ref="M49">IF(
    VLOOKUP(
        $A49,
        _xlfn._xlws.FILTER(
            INDIRECT("'"&amp;M$1&amp;"'!A2:G1000"), (INDIRECT("'"&amp;M$1&amp;"'!B2:B1000")=$B49) * (INDIRECT("'"&amp;M$1&amp;"'!C2:C1000")=$C49)
        ),
        5,
        FALSE
    )="",
    "",
    VLOOKUP(
        $A49,
        _xlfn._xlws.FILTER(
            INDIRECT("'"&amp;M$1&amp;"'!A2:G1000"), (INDIRECT("'"&amp;M$1&amp;"'!B2:B1000")=$B49) * (INDIRECT("'"&amp;M$1&amp;"'!C2:C1000")=$C49)
        ),7,
        FALSE
    )
)</f>
        <v/>
      </c>
      <c r="N49" s="50">
        <f t="array" ref="N49">IF(
    VLOOKUP(
        $A49,
        _xlfn._xlws.FILTER(
            INDIRECT("'"&amp;N$1&amp;"'!A2:G1000"), (INDIRECT("'"&amp;N$1&amp;"'!B2:B1000")=$B49) * (INDIRECT("'"&amp;N$1&amp;"'!C2:C1000")=$C49)
        ),
        5,
        FALSE
    )="",
    "",
    VLOOKUP(
        $A49,
        _xlfn._xlws.FILTER(
            INDIRECT("'"&amp;N$1&amp;"'!A2:G1000"), (INDIRECT("'"&amp;N$1&amp;"'!B2:B1000")=$B49) * (INDIRECT("'"&amp;N$1&amp;"'!C2:C1000")=$C49)
        ),7,
        FALSE
    )
)</f>
        <v/>
      </c>
      <c r="O49" s="50">
        <f t="array" ref="O49">IF(
    VLOOKUP(
        $A49,
        _xlfn._xlws.FILTER(
            INDIRECT("'"&amp;O$1&amp;"'!A2:G1000"), (INDIRECT("'"&amp;O$1&amp;"'!B2:B1000")=$B49) * (INDIRECT("'"&amp;O$1&amp;"'!C2:C1000")=$C49)
        ),
        5,
        FALSE
    )="",
    "",
    VLOOKUP(
        $A49,
        _xlfn._xlws.FILTER(
            INDIRECT("'"&amp;O$1&amp;"'!A2:G1000"), (INDIRECT("'"&amp;O$1&amp;"'!B2:B1000")=$B49) * (INDIRECT("'"&amp;O$1&amp;"'!C2:C1000")=$C49)
        ),7,
        FALSE
    )
)</f>
        <v/>
      </c>
      <c r="P49" s="50">
        <f t="array" ref="P49">IF(
    VLOOKUP(
        $A49,
        _xlfn._xlws.FILTER(
            INDIRECT("'"&amp;P$1&amp;"'!A2:G1000"), (INDIRECT("'"&amp;P$1&amp;"'!B2:B1000")=$B49) * (INDIRECT("'"&amp;P$1&amp;"'!C2:C1000")=$C49)
        ),
        5,
        FALSE
    )="",
    "",
    VLOOKUP(
        $A49,
        _xlfn._xlws.FILTER(
            INDIRECT("'"&amp;P$1&amp;"'!A2:G1000"), (INDIRECT("'"&amp;P$1&amp;"'!B2:B1000")=$B49) * (INDIRECT("'"&amp;P$1&amp;"'!C2:C1000")=$C49)
        ),7,
        FALSE
    )
)</f>
        <v/>
      </c>
      <c r="Q49" s="50">
        <f t="array" ref="Q49">IF(
    VLOOKUP(
        $A49,
        _xlfn._xlws.FILTER(
            INDIRECT("'"&amp;Q$1&amp;"'!A2:G1000"), (INDIRECT("'"&amp;Q$1&amp;"'!B2:B1000")=$B49) * (INDIRECT("'"&amp;Q$1&amp;"'!C2:C1000")=$C49)
        ),
        5,
        FALSE
    )="",
    "",
    VLOOKUP(
        $A49,
        _xlfn._xlws.FILTER(
            INDIRECT("'"&amp;Q$1&amp;"'!A2:G1000"), (INDIRECT("'"&amp;Q$1&amp;"'!B2:B1000")=$B49) * (INDIRECT("'"&amp;Q$1&amp;"'!C2:C1000")=$C49)
        ),7,
        FALSE
    )
)</f>
        <v/>
      </c>
    </row>
    <row r="50">
      <c r="A50" s="54" t="inlineStr">
        <is>
          <t>Larissa</t>
        </is>
      </c>
      <c r="B50" s="50" t="inlineStr">
        <is>
          <t>Medianeira</t>
        </is>
      </c>
      <c r="C50" s="50" t="n">
        <v>1</v>
      </c>
      <c r="D50" s="50">
        <f t="array" ref="D50">IF(
    VLOOKUP(
        $A50,
        _xlfn._xlws.FILTER(
            INDIRECT("'"&amp;D$1&amp;"'!A2:G1000"), (INDIRECT("'"&amp;D$1&amp;"'!B2:B1000")=$B50) * (INDIRECT("'"&amp;D$1&amp;"'!C2:C1000")=$C50)
        ),
        5,
        FALSE
    )="",
    "",
    VLOOKUP(
        $A50,
        _xlfn._xlws.FILTER(
            INDIRECT("'"&amp;D$1&amp;"'!A2:G1000"), (INDIRECT("'"&amp;D$1&amp;"'!B2:B1000")=$B50) * (INDIRECT("'"&amp;D$1&amp;"'!C2:C1000")=$C50)
        ),7,
        FALSE
    )
)</f>
        <v/>
      </c>
      <c r="E50" s="50">
        <f t="array" ref="E50">IF(
    VLOOKUP(
        $A50,
        _xlfn._xlws.FILTER(
            INDIRECT("'"&amp;E$1&amp;"'!A2:G1000"), (INDIRECT("'"&amp;E$1&amp;"'!B2:B1000")=$B50) * (INDIRECT("'"&amp;E$1&amp;"'!C2:C1000")=$C50)
        ),
        5,
        FALSE
    )="",
    "",
    VLOOKUP(
        $A50,
        _xlfn._xlws.FILTER(
            INDIRECT("'"&amp;E$1&amp;"'!A2:G1000"), (INDIRECT("'"&amp;E$1&amp;"'!B2:B1000")=$B50) * (INDIRECT("'"&amp;E$1&amp;"'!C2:C1000")=$C50)
        ),7,
        FALSE
    )
)</f>
        <v/>
      </c>
      <c r="F50" s="50">
        <f t="array" ref="F50">IF(
    VLOOKUP(
        $A50,
        _xlfn._xlws.FILTER(
            INDIRECT("'"&amp;F$1&amp;"'!A2:G1000"), (INDIRECT("'"&amp;F$1&amp;"'!B2:B1000")=$B50) * (INDIRECT("'"&amp;F$1&amp;"'!C2:C1000")=$C50)
        ),
        5,
        FALSE
    )="",
    "",
    VLOOKUP(
        $A50,
        _xlfn._xlws.FILTER(
            INDIRECT("'"&amp;F$1&amp;"'!A2:G1000"), (INDIRECT("'"&amp;F$1&amp;"'!B2:B1000")=$B50) * (INDIRECT("'"&amp;F$1&amp;"'!C2:C1000")=$C50)
        ),7,
        FALSE
    )
)</f>
        <v/>
      </c>
      <c r="G50" s="50">
        <f t="array" ref="G50">IF(
    VLOOKUP(
        $A50,
        _xlfn._xlws.FILTER(
            INDIRECT("'"&amp;G$1&amp;"'!A2:G1000"), (INDIRECT("'"&amp;G$1&amp;"'!B2:B1000")=$B50) * (INDIRECT("'"&amp;G$1&amp;"'!C2:C1000")=$C50)
        ),
        5,
        FALSE
    )="",
    "",
    VLOOKUP(
        $A50,
        _xlfn._xlws.FILTER(
            INDIRECT("'"&amp;G$1&amp;"'!A2:G1000"), (INDIRECT("'"&amp;G$1&amp;"'!B2:B1000")=$B50) * (INDIRECT("'"&amp;G$1&amp;"'!C2:C1000")=$C50)
        ),7,
        FALSE
    )
)</f>
        <v/>
      </c>
      <c r="H50" s="50">
        <f t="array" ref="H50">IF(
    VLOOKUP(
        $A50,
        _xlfn._xlws.FILTER(
            INDIRECT("'"&amp;H$1&amp;"'!A2:G1000"), (INDIRECT("'"&amp;H$1&amp;"'!B2:B1000")=$B50) * (INDIRECT("'"&amp;H$1&amp;"'!C2:C1000")=$C50)
        ),
        5,
        FALSE
    )="",
    "",
    VLOOKUP(
        $A50,
        _xlfn._xlws.FILTER(
            INDIRECT("'"&amp;H$1&amp;"'!A2:G1000"), (INDIRECT("'"&amp;H$1&amp;"'!B2:B1000")=$B50) * (INDIRECT("'"&amp;H$1&amp;"'!C2:C1000")=$C50)
        ),7,
        FALSE
    )
)</f>
        <v/>
      </c>
      <c r="I50" s="50">
        <f t="array" ref="I50">IF(
    VLOOKUP(
        $A50,
        _xlfn._xlws.FILTER(
            INDIRECT("'"&amp;I$1&amp;"'!A2:G1000"), (INDIRECT("'"&amp;I$1&amp;"'!B2:B1000")=$B50) * (INDIRECT("'"&amp;I$1&amp;"'!C2:C1000")=$C50)
        ),
        5,
        FALSE
    )="",
    "",
    VLOOKUP(
        $A50,
        _xlfn._xlws.FILTER(
            INDIRECT("'"&amp;I$1&amp;"'!A2:G1000"), (INDIRECT("'"&amp;I$1&amp;"'!B2:B1000")=$B50) * (INDIRECT("'"&amp;I$1&amp;"'!C2:C1000")=$C50)
        ),7,
        FALSE
    )
)</f>
        <v/>
      </c>
      <c r="J50" s="50">
        <f t="array" ref="J50">IF(
    VLOOKUP(
        $A50,
        _xlfn._xlws.FILTER(
            INDIRECT("'"&amp;J$1&amp;"'!A2:G1000"), (INDIRECT("'"&amp;J$1&amp;"'!B2:B1000")=$B50) * (INDIRECT("'"&amp;J$1&amp;"'!C2:C1000")=$C50)
        ),
        5,
        FALSE
    )="",
    "",
    VLOOKUP(
        $A50,
        _xlfn._xlws.FILTER(
            INDIRECT("'"&amp;J$1&amp;"'!A2:G1000"), (INDIRECT("'"&amp;J$1&amp;"'!B2:B1000")=$B50) * (INDIRECT("'"&amp;J$1&amp;"'!C2:C1000")=$C50)
        ),7,
        FALSE
    )
)</f>
        <v/>
      </c>
      <c r="K50" s="50">
        <f t="array" ref="K50">IF(
    VLOOKUP(
        $A50,
        _xlfn._xlws.FILTER(
            INDIRECT("'"&amp;K$1&amp;"'!A2:G1000"), (INDIRECT("'"&amp;K$1&amp;"'!B2:B1000")=$B50) * (INDIRECT("'"&amp;K$1&amp;"'!C2:C1000")=$C50)
        ),
        5,
        FALSE
    )="",
    "",
    VLOOKUP(
        $A50,
        _xlfn._xlws.FILTER(
            INDIRECT("'"&amp;K$1&amp;"'!A2:G1000"), (INDIRECT("'"&amp;K$1&amp;"'!B2:B1000")=$B50) * (INDIRECT("'"&amp;K$1&amp;"'!C2:C1000")=$C50)
        ),7,
        FALSE
    )
)</f>
        <v/>
      </c>
      <c r="L50" s="50">
        <f t="array" ref="L50">IF(
    VLOOKUP(
        $A50,
        _xlfn._xlws.FILTER(
            INDIRECT("'"&amp;L$1&amp;"'!A2:G1000"), (INDIRECT("'"&amp;L$1&amp;"'!B2:B1000")=$B50) * (INDIRECT("'"&amp;L$1&amp;"'!C2:C1000")=$C50)
        ),
        5,
        FALSE
    )="",
    "",
    VLOOKUP(
        $A50,
        _xlfn._xlws.FILTER(
            INDIRECT("'"&amp;L$1&amp;"'!A2:G1000"), (INDIRECT("'"&amp;L$1&amp;"'!B2:B1000")=$B50) * (INDIRECT("'"&amp;L$1&amp;"'!C2:C1000")=$C50)
        ),7,
        FALSE
    )
)</f>
        <v/>
      </c>
      <c r="M50" s="50">
        <f t="array" ref="M50">IF(
    VLOOKUP(
        $A50,
        _xlfn._xlws.FILTER(
            INDIRECT("'"&amp;M$1&amp;"'!A2:G1000"), (INDIRECT("'"&amp;M$1&amp;"'!B2:B1000")=$B50) * (INDIRECT("'"&amp;M$1&amp;"'!C2:C1000")=$C50)
        ),
        5,
        FALSE
    )="",
    "",
    VLOOKUP(
        $A50,
        _xlfn._xlws.FILTER(
            INDIRECT("'"&amp;M$1&amp;"'!A2:G1000"), (INDIRECT("'"&amp;M$1&amp;"'!B2:B1000")=$B50) * (INDIRECT("'"&amp;M$1&amp;"'!C2:C1000")=$C50)
        ),7,
        FALSE
    )
)</f>
        <v/>
      </c>
      <c r="N50" s="50">
        <f t="array" ref="N50">IF(
    VLOOKUP(
        $A50,
        _xlfn._xlws.FILTER(
            INDIRECT("'"&amp;N$1&amp;"'!A2:G1000"), (INDIRECT("'"&amp;N$1&amp;"'!B2:B1000")=$B50) * (INDIRECT("'"&amp;N$1&amp;"'!C2:C1000")=$C50)
        ),
        5,
        FALSE
    )="",
    "",
    VLOOKUP(
        $A50,
        _xlfn._xlws.FILTER(
            INDIRECT("'"&amp;N$1&amp;"'!A2:G1000"), (INDIRECT("'"&amp;N$1&amp;"'!B2:B1000")=$B50) * (INDIRECT("'"&amp;N$1&amp;"'!C2:C1000")=$C50)
        ),7,
        FALSE
    )
)</f>
        <v/>
      </c>
      <c r="O50" s="50">
        <f t="array" ref="O50">IF(
    VLOOKUP(
        $A50,
        _xlfn._xlws.FILTER(
            INDIRECT("'"&amp;O$1&amp;"'!A2:G1000"), (INDIRECT("'"&amp;O$1&amp;"'!B2:B1000")=$B50) * (INDIRECT("'"&amp;O$1&amp;"'!C2:C1000")=$C50)
        ),
        5,
        FALSE
    )="",
    "",
    VLOOKUP(
        $A50,
        _xlfn._xlws.FILTER(
            INDIRECT("'"&amp;O$1&amp;"'!A2:G1000"), (INDIRECT("'"&amp;O$1&amp;"'!B2:B1000")=$B50) * (INDIRECT("'"&amp;O$1&amp;"'!C2:C1000")=$C50)
        ),7,
        FALSE
    )
)</f>
        <v/>
      </c>
      <c r="P50" s="50">
        <f t="array" ref="P50">IF(
    VLOOKUP(
        $A50,
        _xlfn._xlws.FILTER(
            INDIRECT("'"&amp;P$1&amp;"'!A2:G1000"), (INDIRECT("'"&amp;P$1&amp;"'!B2:B1000")=$B50) * (INDIRECT("'"&amp;P$1&amp;"'!C2:C1000")=$C50)
        ),
        5,
        FALSE
    )="",
    "",
    VLOOKUP(
        $A50,
        _xlfn._xlws.FILTER(
            INDIRECT("'"&amp;P$1&amp;"'!A2:G1000"), (INDIRECT("'"&amp;P$1&amp;"'!B2:B1000")=$B50) * (INDIRECT("'"&amp;P$1&amp;"'!C2:C1000")=$C50)
        ),7,
        FALSE
    )
)</f>
        <v/>
      </c>
      <c r="Q50" s="50">
        <f t="array" ref="Q50">IF(
    VLOOKUP(
        $A50,
        _xlfn._xlws.FILTER(
            INDIRECT("'"&amp;Q$1&amp;"'!A2:G1000"), (INDIRECT("'"&amp;Q$1&amp;"'!B2:B1000")=$B50) * (INDIRECT("'"&amp;Q$1&amp;"'!C2:C1000")=$C50)
        ),
        5,
        FALSE
    )="",
    "",
    VLOOKUP(
        $A50,
        _xlfn._xlws.FILTER(
            INDIRECT("'"&amp;Q$1&amp;"'!A2:G1000"), (INDIRECT("'"&amp;Q$1&amp;"'!B2:B1000")=$B50) * (INDIRECT("'"&amp;Q$1&amp;"'!C2:C1000")=$C50)
        ),7,
        FALSE
    )
)</f>
        <v/>
      </c>
    </row>
    <row r="51">
      <c r="A51" s="54" t="inlineStr">
        <is>
          <t>Larissa</t>
        </is>
      </c>
      <c r="B51" s="50" t="inlineStr">
        <is>
          <t>Santa Terezinha de Itaipu</t>
        </is>
      </c>
      <c r="C51" s="50" t="n">
        <v>1</v>
      </c>
      <c r="D51" s="50">
        <f t="array" ref="D51">IF(
    VLOOKUP(
        $A51,
        _xlfn._xlws.FILTER(
            INDIRECT("'"&amp;D$1&amp;"'!A2:G1000"), (INDIRECT("'"&amp;D$1&amp;"'!B2:B1000")=$B51) * (INDIRECT("'"&amp;D$1&amp;"'!C2:C1000")=$C51)
        ),
        5,
        FALSE
    )="",
    "",
    VLOOKUP(
        $A51,
        _xlfn._xlws.FILTER(
            INDIRECT("'"&amp;D$1&amp;"'!A2:G1000"), (INDIRECT("'"&amp;D$1&amp;"'!B2:B1000")=$B51) * (INDIRECT("'"&amp;D$1&amp;"'!C2:C1000")=$C51)
        ),7,
        FALSE
    )
)</f>
        <v/>
      </c>
      <c r="E51" s="50">
        <f t="array" ref="E51">IF(
    VLOOKUP(
        $A51,
        _xlfn._xlws.FILTER(
            INDIRECT("'"&amp;E$1&amp;"'!A2:G1000"), (INDIRECT("'"&amp;E$1&amp;"'!B2:B1000")=$B51) * (INDIRECT("'"&amp;E$1&amp;"'!C2:C1000")=$C51)
        ),
        5,
        FALSE
    )="",
    "",
    VLOOKUP(
        $A51,
        _xlfn._xlws.FILTER(
            INDIRECT("'"&amp;E$1&amp;"'!A2:G1000"), (INDIRECT("'"&amp;E$1&amp;"'!B2:B1000")=$B51) * (INDIRECT("'"&amp;E$1&amp;"'!C2:C1000")=$C51)
        ),7,
        FALSE
    )
)</f>
        <v/>
      </c>
      <c r="F51" s="50">
        <f t="array" ref="F51">IF(
    VLOOKUP(
        $A51,
        _xlfn._xlws.FILTER(
            INDIRECT("'"&amp;F$1&amp;"'!A2:G1000"), (INDIRECT("'"&amp;F$1&amp;"'!B2:B1000")=$B51) * (INDIRECT("'"&amp;F$1&amp;"'!C2:C1000")=$C51)
        ),
        5,
        FALSE
    )="",
    "",
    VLOOKUP(
        $A51,
        _xlfn._xlws.FILTER(
            INDIRECT("'"&amp;F$1&amp;"'!A2:G1000"), (INDIRECT("'"&amp;F$1&amp;"'!B2:B1000")=$B51) * (INDIRECT("'"&amp;F$1&amp;"'!C2:C1000")=$C51)
        ),7,
        FALSE
    )
)</f>
        <v/>
      </c>
      <c r="G51" s="50">
        <f t="array" ref="G51">IF(
    VLOOKUP(
        $A51,
        _xlfn._xlws.FILTER(
            INDIRECT("'"&amp;G$1&amp;"'!A2:G1000"), (INDIRECT("'"&amp;G$1&amp;"'!B2:B1000")=$B51) * (INDIRECT("'"&amp;G$1&amp;"'!C2:C1000")=$C51)
        ),
        5,
        FALSE
    )="",
    "",
    VLOOKUP(
        $A51,
        _xlfn._xlws.FILTER(
            INDIRECT("'"&amp;G$1&amp;"'!A2:G1000"), (INDIRECT("'"&amp;G$1&amp;"'!B2:B1000")=$B51) * (INDIRECT("'"&amp;G$1&amp;"'!C2:C1000")=$C51)
        ),7,
        FALSE
    )
)</f>
        <v/>
      </c>
      <c r="H51" s="50">
        <f t="array" ref="H51">IF(
    VLOOKUP(
        $A51,
        _xlfn._xlws.FILTER(
            INDIRECT("'"&amp;H$1&amp;"'!A2:G1000"), (INDIRECT("'"&amp;H$1&amp;"'!B2:B1000")=$B51) * (INDIRECT("'"&amp;H$1&amp;"'!C2:C1000")=$C51)
        ),
        5,
        FALSE
    )="",
    "",
    VLOOKUP(
        $A51,
        _xlfn._xlws.FILTER(
            INDIRECT("'"&amp;H$1&amp;"'!A2:G1000"), (INDIRECT("'"&amp;H$1&amp;"'!B2:B1000")=$B51) * (INDIRECT("'"&amp;H$1&amp;"'!C2:C1000")=$C51)
        ),7,
        FALSE
    )
)</f>
        <v/>
      </c>
      <c r="I51" s="50">
        <f t="array" ref="I51">IF(
    VLOOKUP(
        $A51,
        _xlfn._xlws.FILTER(
            INDIRECT("'"&amp;I$1&amp;"'!A2:G1000"), (INDIRECT("'"&amp;I$1&amp;"'!B2:B1000")=$B51) * (INDIRECT("'"&amp;I$1&amp;"'!C2:C1000")=$C51)
        ),
        5,
        FALSE
    )="",
    "",
    VLOOKUP(
        $A51,
        _xlfn._xlws.FILTER(
            INDIRECT("'"&amp;I$1&amp;"'!A2:G1000"), (INDIRECT("'"&amp;I$1&amp;"'!B2:B1000")=$B51) * (INDIRECT("'"&amp;I$1&amp;"'!C2:C1000")=$C51)
        ),7,
        FALSE
    )
)</f>
        <v/>
      </c>
      <c r="J51" s="50">
        <f t="array" ref="J51">IF(
    VLOOKUP(
        $A51,
        _xlfn._xlws.FILTER(
            INDIRECT("'"&amp;J$1&amp;"'!A2:G1000"), (INDIRECT("'"&amp;J$1&amp;"'!B2:B1000")=$B51) * (INDIRECT("'"&amp;J$1&amp;"'!C2:C1000")=$C51)
        ),
        5,
        FALSE
    )="",
    "",
    VLOOKUP(
        $A51,
        _xlfn._xlws.FILTER(
            INDIRECT("'"&amp;J$1&amp;"'!A2:G1000"), (INDIRECT("'"&amp;J$1&amp;"'!B2:B1000")=$B51) * (INDIRECT("'"&amp;J$1&amp;"'!C2:C1000")=$C51)
        ),7,
        FALSE
    )
)</f>
        <v/>
      </c>
      <c r="K51" s="50">
        <f t="array" ref="K51">IF(
    VLOOKUP(
        $A51,
        _xlfn._xlws.FILTER(
            INDIRECT("'"&amp;K$1&amp;"'!A2:G1000"), (INDIRECT("'"&amp;K$1&amp;"'!B2:B1000")=$B51) * (INDIRECT("'"&amp;K$1&amp;"'!C2:C1000")=$C51)
        ),
        5,
        FALSE
    )="",
    "",
    VLOOKUP(
        $A51,
        _xlfn._xlws.FILTER(
            INDIRECT("'"&amp;K$1&amp;"'!A2:G1000"), (INDIRECT("'"&amp;K$1&amp;"'!B2:B1000")=$B51) * (INDIRECT("'"&amp;K$1&amp;"'!C2:C1000")=$C51)
        ),7,
        FALSE
    )
)</f>
        <v/>
      </c>
      <c r="L51" s="50">
        <f t="array" ref="L51">IF(
    VLOOKUP(
        $A51,
        _xlfn._xlws.FILTER(
            INDIRECT("'"&amp;L$1&amp;"'!A2:G1000"), (INDIRECT("'"&amp;L$1&amp;"'!B2:B1000")=$B51) * (INDIRECT("'"&amp;L$1&amp;"'!C2:C1000")=$C51)
        ),
        5,
        FALSE
    )="",
    "",
    VLOOKUP(
        $A51,
        _xlfn._xlws.FILTER(
            INDIRECT("'"&amp;L$1&amp;"'!A2:G1000"), (INDIRECT("'"&amp;L$1&amp;"'!B2:B1000")=$B51) * (INDIRECT("'"&amp;L$1&amp;"'!C2:C1000")=$C51)
        ),7,
        FALSE
    )
)</f>
        <v/>
      </c>
      <c r="M51" s="50">
        <f t="array" ref="M51">IF(
    VLOOKUP(
        $A51,
        _xlfn._xlws.FILTER(
            INDIRECT("'"&amp;M$1&amp;"'!A2:G1000"), (INDIRECT("'"&amp;M$1&amp;"'!B2:B1000")=$B51) * (INDIRECT("'"&amp;M$1&amp;"'!C2:C1000")=$C51)
        ),
        5,
        FALSE
    )="",
    "",
    VLOOKUP(
        $A51,
        _xlfn._xlws.FILTER(
            INDIRECT("'"&amp;M$1&amp;"'!A2:G1000"), (INDIRECT("'"&amp;M$1&amp;"'!B2:B1000")=$B51) * (INDIRECT("'"&amp;M$1&amp;"'!C2:C1000")=$C51)
        ),7,
        FALSE
    )
)</f>
        <v/>
      </c>
      <c r="N51" s="50">
        <f t="array" ref="N51">IF(
    VLOOKUP(
        $A51,
        _xlfn._xlws.FILTER(
            INDIRECT("'"&amp;N$1&amp;"'!A2:G1000"), (INDIRECT("'"&amp;N$1&amp;"'!B2:B1000")=$B51) * (INDIRECT("'"&amp;N$1&amp;"'!C2:C1000")=$C51)
        ),
        5,
        FALSE
    )="",
    "",
    VLOOKUP(
        $A51,
        _xlfn._xlws.FILTER(
            INDIRECT("'"&amp;N$1&amp;"'!A2:G1000"), (INDIRECT("'"&amp;N$1&amp;"'!B2:B1000")=$B51) * (INDIRECT("'"&amp;N$1&amp;"'!C2:C1000")=$C51)
        ),7,
        FALSE
    )
)</f>
        <v/>
      </c>
      <c r="O51" s="50">
        <f t="array" ref="O51">IF(
    VLOOKUP(
        $A51,
        _xlfn._xlws.FILTER(
            INDIRECT("'"&amp;O$1&amp;"'!A2:G1000"), (INDIRECT("'"&amp;O$1&amp;"'!B2:B1000")=$B51) * (INDIRECT("'"&amp;O$1&amp;"'!C2:C1000")=$C51)
        ),
        5,
        FALSE
    )="",
    "",
    VLOOKUP(
        $A51,
        _xlfn._xlws.FILTER(
            INDIRECT("'"&amp;O$1&amp;"'!A2:G1000"), (INDIRECT("'"&amp;O$1&amp;"'!B2:B1000")=$B51) * (INDIRECT("'"&amp;O$1&amp;"'!C2:C1000")=$C51)
        ),7,
        FALSE
    )
)</f>
        <v/>
      </c>
      <c r="P51" s="50">
        <f t="array" ref="P51">IF(
    VLOOKUP(
        $A51,
        _xlfn._xlws.FILTER(
            INDIRECT("'"&amp;P$1&amp;"'!A2:G1000"), (INDIRECT("'"&amp;P$1&amp;"'!B2:B1000")=$B51) * (INDIRECT("'"&amp;P$1&amp;"'!C2:C1000")=$C51)
        ),
        5,
        FALSE
    )="",
    "",
    VLOOKUP(
        $A51,
        _xlfn._xlws.FILTER(
            INDIRECT("'"&amp;P$1&amp;"'!A2:G1000"), (INDIRECT("'"&amp;P$1&amp;"'!B2:B1000")=$B51) * (INDIRECT("'"&amp;P$1&amp;"'!C2:C1000")=$C51)
        ),7,
        FALSE
    )
)</f>
        <v/>
      </c>
      <c r="Q51" s="50">
        <f t="array" ref="Q51">IF(
    VLOOKUP(
        $A51,
        _xlfn._xlws.FILTER(
            INDIRECT("'"&amp;Q$1&amp;"'!A2:G1000"), (INDIRECT("'"&amp;Q$1&amp;"'!B2:B1000")=$B51) * (INDIRECT("'"&amp;Q$1&amp;"'!C2:C1000")=$C51)
        ),
        5,
        FALSE
    )="",
    "",
    VLOOKUP(
        $A51,
        _xlfn._xlws.FILTER(
            INDIRECT("'"&amp;Q$1&amp;"'!A2:G1000"), (INDIRECT("'"&amp;Q$1&amp;"'!B2:B1000")=$B51) * (INDIRECT("'"&amp;Q$1&amp;"'!C2:C1000")=$C51)
        ),7,
        FALSE
    )
)</f>
        <v/>
      </c>
    </row>
    <row r="52">
      <c r="A52" s="54" t="inlineStr">
        <is>
          <t>Larissa</t>
        </is>
      </c>
      <c r="B52" s="50" t="inlineStr">
        <is>
          <t>São Miguel do Iguaçu</t>
        </is>
      </c>
      <c r="C52" s="50" t="n">
        <v>1</v>
      </c>
      <c r="D52" s="50">
        <f t="array" ref="D52">IF(
    VLOOKUP(
        $A52,
        _xlfn._xlws.FILTER(
            INDIRECT("'"&amp;D$1&amp;"'!A2:G1000"), (INDIRECT("'"&amp;D$1&amp;"'!B2:B1000")=$B52) * (INDIRECT("'"&amp;D$1&amp;"'!C2:C1000")=$C52)
        ),
        5,
        FALSE
    )="",
    "",
    VLOOKUP(
        $A52,
        _xlfn._xlws.FILTER(
            INDIRECT("'"&amp;D$1&amp;"'!A2:G1000"), (INDIRECT("'"&amp;D$1&amp;"'!B2:B1000")=$B52) * (INDIRECT("'"&amp;D$1&amp;"'!C2:C1000")=$C52)
        ),7,
        FALSE
    )
)</f>
        <v/>
      </c>
      <c r="E52" s="50">
        <f t="array" ref="E52">IF(
    VLOOKUP(
        $A52,
        _xlfn._xlws.FILTER(
            INDIRECT("'"&amp;E$1&amp;"'!A2:G1000"), (INDIRECT("'"&amp;E$1&amp;"'!B2:B1000")=$B52) * (INDIRECT("'"&amp;E$1&amp;"'!C2:C1000")=$C52)
        ),
        5,
        FALSE
    )="",
    "",
    VLOOKUP(
        $A52,
        _xlfn._xlws.FILTER(
            INDIRECT("'"&amp;E$1&amp;"'!A2:G1000"), (INDIRECT("'"&amp;E$1&amp;"'!B2:B1000")=$B52) * (INDIRECT("'"&amp;E$1&amp;"'!C2:C1000")=$C52)
        ),7,
        FALSE
    )
)</f>
        <v/>
      </c>
      <c r="F52" s="50">
        <f t="array" ref="F52">IF(
    VLOOKUP(
        $A52,
        _xlfn._xlws.FILTER(
            INDIRECT("'"&amp;F$1&amp;"'!A2:G1000"), (INDIRECT("'"&amp;F$1&amp;"'!B2:B1000")=$B52) * (INDIRECT("'"&amp;F$1&amp;"'!C2:C1000")=$C52)
        ),
        5,
        FALSE
    )="",
    "",
    VLOOKUP(
        $A52,
        _xlfn._xlws.FILTER(
            INDIRECT("'"&amp;F$1&amp;"'!A2:G1000"), (INDIRECT("'"&amp;F$1&amp;"'!B2:B1000")=$B52) * (INDIRECT("'"&amp;F$1&amp;"'!C2:C1000")=$C52)
        ),7,
        FALSE
    )
)</f>
        <v/>
      </c>
      <c r="G52" s="50">
        <f t="array" ref="G52">IF(
    VLOOKUP(
        $A52,
        _xlfn._xlws.FILTER(
            INDIRECT("'"&amp;G$1&amp;"'!A2:G1000"), (INDIRECT("'"&amp;G$1&amp;"'!B2:B1000")=$B52) * (INDIRECT("'"&amp;G$1&amp;"'!C2:C1000")=$C52)
        ),
        5,
        FALSE
    )="",
    "",
    VLOOKUP(
        $A52,
        _xlfn._xlws.FILTER(
            INDIRECT("'"&amp;G$1&amp;"'!A2:G1000"), (INDIRECT("'"&amp;G$1&amp;"'!B2:B1000")=$B52) * (INDIRECT("'"&amp;G$1&amp;"'!C2:C1000")=$C52)
        ),7,
        FALSE
    )
)</f>
        <v/>
      </c>
      <c r="H52" s="50">
        <f t="array" ref="H52">IF(
    VLOOKUP(
        $A52,
        _xlfn._xlws.FILTER(
            INDIRECT("'"&amp;H$1&amp;"'!A2:G1000"), (INDIRECT("'"&amp;H$1&amp;"'!B2:B1000")=$B52) * (INDIRECT("'"&amp;H$1&amp;"'!C2:C1000")=$C52)
        ),
        5,
        FALSE
    )="",
    "",
    VLOOKUP(
        $A52,
        _xlfn._xlws.FILTER(
            INDIRECT("'"&amp;H$1&amp;"'!A2:G1000"), (INDIRECT("'"&amp;H$1&amp;"'!B2:B1000")=$B52) * (INDIRECT("'"&amp;H$1&amp;"'!C2:C1000")=$C52)
        ),7,
        FALSE
    )
)</f>
        <v/>
      </c>
      <c r="I52" s="50">
        <f t="array" ref="I52">IF(
    VLOOKUP(
        $A52,
        _xlfn._xlws.FILTER(
            INDIRECT("'"&amp;I$1&amp;"'!A2:G1000"), (INDIRECT("'"&amp;I$1&amp;"'!B2:B1000")=$B52) * (INDIRECT("'"&amp;I$1&amp;"'!C2:C1000")=$C52)
        ),
        5,
        FALSE
    )="",
    "",
    VLOOKUP(
        $A52,
        _xlfn._xlws.FILTER(
            INDIRECT("'"&amp;I$1&amp;"'!A2:G1000"), (INDIRECT("'"&amp;I$1&amp;"'!B2:B1000")=$B52) * (INDIRECT("'"&amp;I$1&amp;"'!C2:C1000")=$C52)
        ),7,
        FALSE
    )
)</f>
        <v/>
      </c>
      <c r="J52" s="50">
        <f t="array" ref="J52">IF(
    VLOOKUP(
        $A52,
        _xlfn._xlws.FILTER(
            INDIRECT("'"&amp;J$1&amp;"'!A2:G1000"), (INDIRECT("'"&amp;J$1&amp;"'!B2:B1000")=$B52) * (INDIRECT("'"&amp;J$1&amp;"'!C2:C1000")=$C52)
        ),
        5,
        FALSE
    )="",
    "",
    VLOOKUP(
        $A52,
        _xlfn._xlws.FILTER(
            INDIRECT("'"&amp;J$1&amp;"'!A2:G1000"), (INDIRECT("'"&amp;J$1&amp;"'!B2:B1000")=$B52) * (INDIRECT("'"&amp;J$1&amp;"'!C2:C1000")=$C52)
        ),7,
        FALSE
    )
)</f>
        <v/>
      </c>
      <c r="K52" s="50">
        <f t="array" ref="K52">IF(
    VLOOKUP(
        $A52,
        _xlfn._xlws.FILTER(
            INDIRECT("'"&amp;K$1&amp;"'!A2:G1000"), (INDIRECT("'"&amp;K$1&amp;"'!B2:B1000")=$B52) * (INDIRECT("'"&amp;K$1&amp;"'!C2:C1000")=$C52)
        ),
        5,
        FALSE
    )="",
    "",
    VLOOKUP(
        $A52,
        _xlfn._xlws.FILTER(
            INDIRECT("'"&amp;K$1&amp;"'!A2:G1000"), (INDIRECT("'"&amp;K$1&amp;"'!B2:B1000")=$B52) * (INDIRECT("'"&amp;K$1&amp;"'!C2:C1000")=$C52)
        ),7,
        FALSE
    )
)</f>
        <v/>
      </c>
      <c r="L52" s="50">
        <f t="array" ref="L52">IF(
    VLOOKUP(
        $A52,
        _xlfn._xlws.FILTER(
            INDIRECT("'"&amp;L$1&amp;"'!A2:G1000"), (INDIRECT("'"&amp;L$1&amp;"'!B2:B1000")=$B52) * (INDIRECT("'"&amp;L$1&amp;"'!C2:C1000")=$C52)
        ),
        5,
        FALSE
    )="",
    "",
    VLOOKUP(
        $A52,
        _xlfn._xlws.FILTER(
            INDIRECT("'"&amp;L$1&amp;"'!A2:G1000"), (INDIRECT("'"&amp;L$1&amp;"'!B2:B1000")=$B52) * (INDIRECT("'"&amp;L$1&amp;"'!C2:C1000")=$C52)
        ),7,
        FALSE
    )
)</f>
        <v/>
      </c>
      <c r="M52" s="50">
        <f t="array" ref="M52">IF(
    VLOOKUP(
        $A52,
        _xlfn._xlws.FILTER(
            INDIRECT("'"&amp;M$1&amp;"'!A2:G1000"), (INDIRECT("'"&amp;M$1&amp;"'!B2:B1000")=$B52) * (INDIRECT("'"&amp;M$1&amp;"'!C2:C1000")=$C52)
        ),
        5,
        FALSE
    )="",
    "",
    VLOOKUP(
        $A52,
        _xlfn._xlws.FILTER(
            INDIRECT("'"&amp;M$1&amp;"'!A2:G1000"), (INDIRECT("'"&amp;M$1&amp;"'!B2:B1000")=$B52) * (INDIRECT("'"&amp;M$1&amp;"'!C2:C1000")=$C52)
        ),7,
        FALSE
    )
)</f>
        <v/>
      </c>
      <c r="N52" s="50">
        <f t="array" ref="N52">IF(
    VLOOKUP(
        $A52,
        _xlfn._xlws.FILTER(
            INDIRECT("'"&amp;N$1&amp;"'!A2:G1000"), (INDIRECT("'"&amp;N$1&amp;"'!B2:B1000")=$B52) * (INDIRECT("'"&amp;N$1&amp;"'!C2:C1000")=$C52)
        ),
        5,
        FALSE
    )="",
    "",
    VLOOKUP(
        $A52,
        _xlfn._xlws.FILTER(
            INDIRECT("'"&amp;N$1&amp;"'!A2:G1000"), (INDIRECT("'"&amp;N$1&amp;"'!B2:B1000")=$B52) * (INDIRECT("'"&amp;N$1&amp;"'!C2:C1000")=$C52)
        ),7,
        FALSE
    )
)</f>
        <v/>
      </c>
      <c r="O52" s="50">
        <f t="array" ref="O52">IF(
    VLOOKUP(
        $A52,
        _xlfn._xlws.FILTER(
            INDIRECT("'"&amp;O$1&amp;"'!A2:G1000"), (INDIRECT("'"&amp;O$1&amp;"'!B2:B1000")=$B52) * (INDIRECT("'"&amp;O$1&amp;"'!C2:C1000")=$C52)
        ),
        5,
        FALSE
    )="",
    "",
    VLOOKUP(
        $A52,
        _xlfn._xlws.FILTER(
            INDIRECT("'"&amp;O$1&amp;"'!A2:G1000"), (INDIRECT("'"&amp;O$1&amp;"'!B2:B1000")=$B52) * (INDIRECT("'"&amp;O$1&amp;"'!C2:C1000")=$C52)
        ),7,
        FALSE
    )
)</f>
        <v/>
      </c>
      <c r="P52" s="50">
        <f t="array" ref="P52">IF(
    VLOOKUP(
        $A52,
        _xlfn._xlws.FILTER(
            INDIRECT("'"&amp;P$1&amp;"'!A2:G1000"), (INDIRECT("'"&amp;P$1&amp;"'!B2:B1000")=$B52) * (INDIRECT("'"&amp;P$1&amp;"'!C2:C1000")=$C52)
        ),
        5,
        FALSE
    )="",
    "",
    VLOOKUP(
        $A52,
        _xlfn._xlws.FILTER(
            INDIRECT("'"&amp;P$1&amp;"'!A2:G1000"), (INDIRECT("'"&amp;P$1&amp;"'!B2:B1000")=$B52) * (INDIRECT("'"&amp;P$1&amp;"'!C2:C1000")=$C52)
        ),7,
        FALSE
    )
)</f>
        <v/>
      </c>
      <c r="Q52" s="50">
        <f t="array" ref="Q52">IF(
    VLOOKUP(
        $A52,
        _xlfn._xlws.FILTER(
            INDIRECT("'"&amp;Q$1&amp;"'!A2:G1000"), (INDIRECT("'"&amp;Q$1&amp;"'!B2:B1000")=$B52) * (INDIRECT("'"&amp;Q$1&amp;"'!C2:C1000")=$C52)
        ),
        5,
        FALSE
    )="",
    "",
    VLOOKUP(
        $A52,
        _xlfn._xlws.FILTER(
            INDIRECT("'"&amp;Q$1&amp;"'!A2:G1000"), (INDIRECT("'"&amp;Q$1&amp;"'!B2:B1000")=$B52) * (INDIRECT("'"&amp;Q$1&amp;"'!C2:C1000")=$C52)
        ),7,
        FALSE
    )
)</f>
        <v/>
      </c>
    </row>
    <row r="53">
      <c r="A53" s="54" t="inlineStr">
        <is>
          <t>Larissa</t>
        </is>
      </c>
      <c r="B53" s="50" t="inlineStr">
        <is>
          <t>Serranopolis do Iguaçu</t>
        </is>
      </c>
      <c r="C53" s="50" t="n">
        <v>1</v>
      </c>
      <c r="D53" s="50">
        <f t="array" ref="D53">IF(
    VLOOKUP(
        $A53,
        _xlfn._xlws.FILTER(
            INDIRECT("'"&amp;D$1&amp;"'!A2:G1000"), (INDIRECT("'"&amp;D$1&amp;"'!B2:B1000")=$B53) * (INDIRECT("'"&amp;D$1&amp;"'!C2:C1000")=$C53)
        ),
        5,
        FALSE
    )="",
    "",
    VLOOKUP(
        $A53,
        _xlfn._xlws.FILTER(
            INDIRECT("'"&amp;D$1&amp;"'!A2:G1000"), (INDIRECT("'"&amp;D$1&amp;"'!B2:B1000")=$B53) * (INDIRECT("'"&amp;D$1&amp;"'!C2:C1000")=$C53)
        ),7,
        FALSE
    )
)</f>
        <v/>
      </c>
      <c r="E53" s="50">
        <f t="array" ref="E53">IF(
    VLOOKUP(
        $A53,
        _xlfn._xlws.FILTER(
            INDIRECT("'"&amp;E$1&amp;"'!A2:G1000"), (INDIRECT("'"&amp;E$1&amp;"'!B2:B1000")=$B53) * (INDIRECT("'"&amp;E$1&amp;"'!C2:C1000")=$C53)
        ),
        5,
        FALSE
    )="",
    "",
    VLOOKUP(
        $A53,
        _xlfn._xlws.FILTER(
            INDIRECT("'"&amp;E$1&amp;"'!A2:G1000"), (INDIRECT("'"&amp;E$1&amp;"'!B2:B1000")=$B53) * (INDIRECT("'"&amp;E$1&amp;"'!C2:C1000")=$C53)
        ),7,
        FALSE
    )
)</f>
        <v/>
      </c>
      <c r="F53" s="50">
        <f t="array" ref="F53">IF(
    VLOOKUP(
        $A53,
        _xlfn._xlws.FILTER(
            INDIRECT("'"&amp;F$1&amp;"'!A2:G1000"), (INDIRECT("'"&amp;F$1&amp;"'!B2:B1000")=$B53) * (INDIRECT("'"&amp;F$1&amp;"'!C2:C1000")=$C53)
        ),
        5,
        FALSE
    )="",
    "",
    VLOOKUP(
        $A53,
        _xlfn._xlws.FILTER(
            INDIRECT("'"&amp;F$1&amp;"'!A2:G1000"), (INDIRECT("'"&amp;F$1&amp;"'!B2:B1000")=$B53) * (INDIRECT("'"&amp;F$1&amp;"'!C2:C1000")=$C53)
        ),7,
        FALSE
    )
)</f>
        <v/>
      </c>
      <c r="G53" s="50">
        <f t="array" ref="G53">IF(
    VLOOKUP(
        $A53,
        _xlfn._xlws.FILTER(
            INDIRECT("'"&amp;G$1&amp;"'!A2:G1000"), (INDIRECT("'"&amp;G$1&amp;"'!B2:B1000")=$B53) * (INDIRECT("'"&amp;G$1&amp;"'!C2:C1000")=$C53)
        ),
        5,
        FALSE
    )="",
    "",
    VLOOKUP(
        $A53,
        _xlfn._xlws.FILTER(
            INDIRECT("'"&amp;G$1&amp;"'!A2:G1000"), (INDIRECT("'"&amp;G$1&amp;"'!B2:B1000")=$B53) * (INDIRECT("'"&amp;G$1&amp;"'!C2:C1000")=$C53)
        ),7,
        FALSE
    )
)</f>
        <v/>
      </c>
      <c r="H53" s="50">
        <f t="array" ref="H53">IF(
    VLOOKUP(
        $A53,
        _xlfn._xlws.FILTER(
            INDIRECT("'"&amp;H$1&amp;"'!A2:G1000"), (INDIRECT("'"&amp;H$1&amp;"'!B2:B1000")=$B53) * (INDIRECT("'"&amp;H$1&amp;"'!C2:C1000")=$C53)
        ),
        5,
        FALSE
    )="",
    "",
    VLOOKUP(
        $A53,
        _xlfn._xlws.FILTER(
            INDIRECT("'"&amp;H$1&amp;"'!A2:G1000"), (INDIRECT("'"&amp;H$1&amp;"'!B2:B1000")=$B53) * (INDIRECT("'"&amp;H$1&amp;"'!C2:C1000")=$C53)
        ),7,
        FALSE
    )
)</f>
        <v/>
      </c>
      <c r="I53" s="50">
        <f t="array" ref="I53">IF(
    VLOOKUP(
        $A53,
        _xlfn._xlws.FILTER(
            INDIRECT("'"&amp;I$1&amp;"'!A2:G1000"), (INDIRECT("'"&amp;I$1&amp;"'!B2:B1000")=$B53) * (INDIRECT("'"&amp;I$1&amp;"'!C2:C1000")=$C53)
        ),
        5,
        FALSE
    )="",
    "",
    VLOOKUP(
        $A53,
        _xlfn._xlws.FILTER(
            INDIRECT("'"&amp;I$1&amp;"'!A2:G1000"), (INDIRECT("'"&amp;I$1&amp;"'!B2:B1000")=$B53) * (INDIRECT("'"&amp;I$1&amp;"'!C2:C1000")=$C53)
        ),7,
        FALSE
    )
)</f>
        <v/>
      </c>
      <c r="J53" s="50">
        <f t="array" ref="J53">IF(
    VLOOKUP(
        $A53,
        _xlfn._xlws.FILTER(
            INDIRECT("'"&amp;J$1&amp;"'!A2:G1000"), (INDIRECT("'"&amp;J$1&amp;"'!B2:B1000")=$B53) * (INDIRECT("'"&amp;J$1&amp;"'!C2:C1000")=$C53)
        ),
        5,
        FALSE
    )="",
    "",
    VLOOKUP(
        $A53,
        _xlfn._xlws.FILTER(
            INDIRECT("'"&amp;J$1&amp;"'!A2:G1000"), (INDIRECT("'"&amp;J$1&amp;"'!B2:B1000")=$B53) * (INDIRECT("'"&amp;J$1&amp;"'!C2:C1000")=$C53)
        ),7,
        FALSE
    )
)</f>
        <v/>
      </c>
      <c r="K53" s="50">
        <f t="array" ref="K53">IF(
    VLOOKUP(
        $A53,
        _xlfn._xlws.FILTER(
            INDIRECT("'"&amp;K$1&amp;"'!A2:G1000"), (INDIRECT("'"&amp;K$1&amp;"'!B2:B1000")=$B53) * (INDIRECT("'"&amp;K$1&amp;"'!C2:C1000")=$C53)
        ),
        5,
        FALSE
    )="",
    "",
    VLOOKUP(
        $A53,
        _xlfn._xlws.FILTER(
            INDIRECT("'"&amp;K$1&amp;"'!A2:G1000"), (INDIRECT("'"&amp;K$1&amp;"'!B2:B1000")=$B53) * (INDIRECT("'"&amp;K$1&amp;"'!C2:C1000")=$C53)
        ),7,
        FALSE
    )
)</f>
        <v/>
      </c>
      <c r="L53" s="50">
        <f t="array" ref="L53">IF(
    VLOOKUP(
        $A53,
        _xlfn._xlws.FILTER(
            INDIRECT("'"&amp;L$1&amp;"'!A2:G1000"), (INDIRECT("'"&amp;L$1&amp;"'!B2:B1000")=$B53) * (INDIRECT("'"&amp;L$1&amp;"'!C2:C1000")=$C53)
        ),
        5,
        FALSE
    )="",
    "",
    VLOOKUP(
        $A53,
        _xlfn._xlws.FILTER(
            INDIRECT("'"&amp;L$1&amp;"'!A2:G1000"), (INDIRECT("'"&amp;L$1&amp;"'!B2:B1000")=$B53) * (INDIRECT("'"&amp;L$1&amp;"'!C2:C1000")=$C53)
        ),7,
        FALSE
    )
)</f>
        <v/>
      </c>
      <c r="M53" s="50">
        <f t="array" ref="M53">IF(
    VLOOKUP(
        $A53,
        _xlfn._xlws.FILTER(
            INDIRECT("'"&amp;M$1&amp;"'!A2:G1000"), (INDIRECT("'"&amp;M$1&amp;"'!B2:B1000")=$B53) * (INDIRECT("'"&amp;M$1&amp;"'!C2:C1000")=$C53)
        ),
        5,
        FALSE
    )="",
    "",
    VLOOKUP(
        $A53,
        _xlfn._xlws.FILTER(
            INDIRECT("'"&amp;M$1&amp;"'!A2:G1000"), (INDIRECT("'"&amp;M$1&amp;"'!B2:B1000")=$B53) * (INDIRECT("'"&amp;M$1&amp;"'!C2:C1000")=$C53)
        ),7,
        FALSE
    )
)</f>
        <v/>
      </c>
      <c r="N53" s="50">
        <f t="array" ref="N53">IF(
    VLOOKUP(
        $A53,
        _xlfn._xlws.FILTER(
            INDIRECT("'"&amp;N$1&amp;"'!A2:G1000"), (INDIRECT("'"&amp;N$1&amp;"'!B2:B1000")=$B53) * (INDIRECT("'"&amp;N$1&amp;"'!C2:C1000")=$C53)
        ),
        5,
        FALSE
    )="",
    "",
    VLOOKUP(
        $A53,
        _xlfn._xlws.FILTER(
            INDIRECT("'"&amp;N$1&amp;"'!A2:G1000"), (INDIRECT("'"&amp;N$1&amp;"'!B2:B1000")=$B53) * (INDIRECT("'"&amp;N$1&amp;"'!C2:C1000")=$C53)
        ),7,
        FALSE
    )
)</f>
        <v/>
      </c>
      <c r="O53" s="50">
        <f t="array" ref="O53">IF(
    VLOOKUP(
        $A53,
        _xlfn._xlws.FILTER(
            INDIRECT("'"&amp;O$1&amp;"'!A2:G1000"), (INDIRECT("'"&amp;O$1&amp;"'!B2:B1000")=$B53) * (INDIRECT("'"&amp;O$1&amp;"'!C2:C1000")=$C53)
        ),
        5,
        FALSE
    )="",
    "",
    VLOOKUP(
        $A53,
        _xlfn._xlws.FILTER(
            INDIRECT("'"&amp;O$1&amp;"'!A2:G1000"), (INDIRECT("'"&amp;O$1&amp;"'!B2:B1000")=$B53) * (INDIRECT("'"&amp;O$1&amp;"'!C2:C1000")=$C53)
        ),7,
        FALSE
    )
)</f>
        <v/>
      </c>
      <c r="P53" s="50">
        <f t="array" ref="P53">IF(
    VLOOKUP(
        $A53,
        _xlfn._xlws.FILTER(
            INDIRECT("'"&amp;P$1&amp;"'!A2:G1000"), (INDIRECT("'"&amp;P$1&amp;"'!B2:B1000")=$B53) * (INDIRECT("'"&amp;P$1&amp;"'!C2:C1000")=$C53)
        ),
        5,
        FALSE
    )="",
    "",
    VLOOKUP(
        $A53,
        _xlfn._xlws.FILTER(
            INDIRECT("'"&amp;P$1&amp;"'!A2:G1000"), (INDIRECT("'"&amp;P$1&amp;"'!B2:B1000")=$B53) * (INDIRECT("'"&amp;P$1&amp;"'!C2:C1000")=$C53)
        ),7,
        FALSE
    )
)</f>
        <v/>
      </c>
      <c r="Q53" s="50">
        <f t="array" ref="Q53">IF(
    VLOOKUP(
        $A53,
        _xlfn._xlws.FILTER(
            INDIRECT("'"&amp;Q$1&amp;"'!A2:G1000"), (INDIRECT("'"&amp;Q$1&amp;"'!B2:B1000")=$B53) * (INDIRECT("'"&amp;Q$1&amp;"'!C2:C1000")=$C53)
        ),
        5,
        FALSE
    )="",
    "",
    VLOOKUP(
        $A53,
        _xlfn._xlws.FILTER(
            INDIRECT("'"&amp;Q$1&amp;"'!A2:G1000"), (INDIRECT("'"&amp;Q$1&amp;"'!B2:B1000")=$B53) * (INDIRECT("'"&amp;Q$1&amp;"'!C2:C1000")=$C53)
        ),7,
        FALSE
    )
)</f>
        <v/>
      </c>
    </row>
    <row r="54">
      <c r="A54" s="87" t="n"/>
      <c r="B54" s="87" t="n"/>
      <c r="C54" s="87" t="n"/>
    </row>
    <row r="55" ht="15.75" customHeight="1">
      <c r="A55" s="109" t="inlineStr">
        <is>
          <t>Regional</t>
        </is>
      </c>
      <c r="B55" s="98" t="inlineStr">
        <is>
          <t>Municípios</t>
        </is>
      </c>
      <c r="C55" s="98" t="inlineStr">
        <is>
          <t>UVR</t>
        </is>
      </c>
      <c r="D55" s="111" t="inlineStr">
        <is>
          <t>11.24</t>
        </is>
      </c>
      <c r="E55" s="111" t="inlineStr">
        <is>
          <t>12.24</t>
        </is>
      </c>
      <c r="F55" s="111" t="inlineStr">
        <is>
          <t>01.25</t>
        </is>
      </c>
      <c r="G55" s="111" t="inlineStr">
        <is>
          <t>02.25</t>
        </is>
      </c>
      <c r="H55" s="111" t="inlineStr">
        <is>
          <t>03.25</t>
        </is>
      </c>
      <c r="I55" s="111" t="inlineStr">
        <is>
          <t>04.25</t>
        </is>
      </c>
      <c r="J55" s="111" t="inlineStr">
        <is>
          <t>05.25</t>
        </is>
      </c>
      <c r="K55" s="111" t="inlineStr">
        <is>
          <t>06.25</t>
        </is>
      </c>
      <c r="L55" s="111" t="inlineStr">
        <is>
          <t>07.25</t>
        </is>
      </c>
      <c r="M55" s="111" t="inlineStr">
        <is>
          <t>08.25</t>
        </is>
      </c>
      <c r="N55" s="111" t="inlineStr">
        <is>
          <t>09.25</t>
        </is>
      </c>
      <c r="O55" s="111" t="inlineStr">
        <is>
          <t>10.25</t>
        </is>
      </c>
      <c r="P55" s="111" t="inlineStr">
        <is>
          <t>11.25</t>
        </is>
      </c>
      <c r="Q55" s="111" t="inlineStr">
        <is>
          <t>12.25</t>
        </is>
      </c>
    </row>
    <row r="56">
      <c r="A56" s="56" t="inlineStr">
        <is>
          <t>Luana</t>
        </is>
      </c>
      <c r="B56" s="50" t="inlineStr">
        <is>
          <t>Diamante d'Oeste</t>
        </is>
      </c>
      <c r="C56" s="50" t="n">
        <v>1</v>
      </c>
      <c r="D56" s="50">
        <f t="array" ref="D56">IF(
    VLOOKUP(
        $A56,
        _xlfn._xlws.FILTER(
            INDIRECT("'"&amp;D$1&amp;"'!A2:G1000"), (INDIRECT("'"&amp;D$1&amp;"'!B2:B1000")=$B56) * (INDIRECT("'"&amp;D$1&amp;"'!C2:C1000")=$C56)
        ),
        5,
        FALSE
    )="",
    "",
    VLOOKUP(
        $A56,
        _xlfn._xlws.FILTER(
            INDIRECT("'"&amp;D$1&amp;"'!A2:G1000"), (INDIRECT("'"&amp;D$1&amp;"'!B2:B1000")=$B56) * (INDIRECT("'"&amp;D$1&amp;"'!C2:C1000")=$C56)
        ),7,
        FALSE
    )
)</f>
        <v/>
      </c>
      <c r="E56" s="50">
        <f t="array" ref="E56">IF(
    VLOOKUP(
        $A56,
        _xlfn._xlws.FILTER(
            INDIRECT("'"&amp;E$1&amp;"'!A2:G1000"), (INDIRECT("'"&amp;E$1&amp;"'!B2:B1000")=$B56) * (INDIRECT("'"&amp;E$1&amp;"'!C2:C1000")=$C56)
        ),
        5,
        FALSE
    )="",
    "",
    VLOOKUP(
        $A56,
        _xlfn._xlws.FILTER(
            INDIRECT("'"&amp;E$1&amp;"'!A2:G1000"), (INDIRECT("'"&amp;E$1&amp;"'!B2:B1000")=$B56) * (INDIRECT("'"&amp;E$1&amp;"'!C2:C1000")=$C56)
        ),7,
        FALSE
    )
)</f>
        <v/>
      </c>
      <c r="F56" s="50">
        <f t="array" ref="F56">IF(
    VLOOKUP(
        $A56,
        _xlfn._xlws.FILTER(
            INDIRECT("'"&amp;F$1&amp;"'!A2:G1000"), (INDIRECT("'"&amp;F$1&amp;"'!B2:B1000")=$B56) * (INDIRECT("'"&amp;F$1&amp;"'!C2:C1000")=$C56)
        ),
        5,
        FALSE
    )="",
    "",
    VLOOKUP(
        $A56,
        _xlfn._xlws.FILTER(
            INDIRECT("'"&amp;F$1&amp;"'!A2:G1000"), (INDIRECT("'"&amp;F$1&amp;"'!B2:B1000")=$B56) * (INDIRECT("'"&amp;F$1&amp;"'!C2:C1000")=$C56)
        ),7,
        FALSE
    )
)</f>
        <v/>
      </c>
      <c r="G56" s="50">
        <f t="array" ref="G56">IF(
    VLOOKUP(
        $A56,
        _xlfn._xlws.FILTER(
            INDIRECT("'"&amp;G$1&amp;"'!A2:G1000"), (INDIRECT("'"&amp;G$1&amp;"'!B2:B1000")=$B56) * (INDIRECT("'"&amp;G$1&amp;"'!C2:C1000")=$C56)
        ),
        5,
        FALSE
    )="",
    "",
    VLOOKUP(
        $A56,
        _xlfn._xlws.FILTER(
            INDIRECT("'"&amp;G$1&amp;"'!A2:G1000"), (INDIRECT("'"&amp;G$1&amp;"'!B2:B1000")=$B56) * (INDIRECT("'"&amp;G$1&amp;"'!C2:C1000")=$C56)
        ),7,
        FALSE
    )
)</f>
        <v/>
      </c>
      <c r="H56" s="50">
        <f t="array" ref="H56">IF(
    VLOOKUP(
        $A56,
        _xlfn._xlws.FILTER(
            INDIRECT("'"&amp;H$1&amp;"'!A2:G1000"), (INDIRECT("'"&amp;H$1&amp;"'!B2:B1000")=$B56) * (INDIRECT("'"&amp;H$1&amp;"'!C2:C1000")=$C56)
        ),
        5,
        FALSE
    )="",
    "",
    VLOOKUP(
        $A56,
        _xlfn._xlws.FILTER(
            INDIRECT("'"&amp;H$1&amp;"'!A2:G1000"), (INDIRECT("'"&amp;H$1&amp;"'!B2:B1000")=$B56) * (INDIRECT("'"&amp;H$1&amp;"'!C2:C1000")=$C56)
        ),7,
        FALSE
    )
)</f>
        <v/>
      </c>
      <c r="I56" s="50">
        <f t="array" ref="I56">IF(
    VLOOKUP(
        $A56,
        _xlfn._xlws.FILTER(
            INDIRECT("'"&amp;I$1&amp;"'!A2:G1000"), (INDIRECT("'"&amp;I$1&amp;"'!B2:B1000")=$B56) * (INDIRECT("'"&amp;I$1&amp;"'!C2:C1000")=$C56)
        ),
        5,
        FALSE
    )="",
    "",
    VLOOKUP(
        $A56,
        _xlfn._xlws.FILTER(
            INDIRECT("'"&amp;I$1&amp;"'!A2:G1000"), (INDIRECT("'"&amp;I$1&amp;"'!B2:B1000")=$B56) * (INDIRECT("'"&amp;I$1&amp;"'!C2:C1000")=$C56)
        ),7,
        FALSE
    )
)</f>
        <v/>
      </c>
      <c r="J56" s="50">
        <f t="array" ref="J56">IF(
    VLOOKUP(
        $A56,
        _xlfn._xlws.FILTER(
            INDIRECT("'"&amp;J$1&amp;"'!A2:G1000"), (INDIRECT("'"&amp;J$1&amp;"'!B2:B1000")=$B56) * (INDIRECT("'"&amp;J$1&amp;"'!C2:C1000")=$C56)
        ),
        5,
        FALSE
    )="",
    "",
    VLOOKUP(
        $A56,
        _xlfn._xlws.FILTER(
            INDIRECT("'"&amp;J$1&amp;"'!A2:G1000"), (INDIRECT("'"&amp;J$1&amp;"'!B2:B1000")=$B56) * (INDIRECT("'"&amp;J$1&amp;"'!C2:C1000")=$C56)
        ),7,
        FALSE
    )
)</f>
        <v/>
      </c>
      <c r="K56" s="50">
        <f t="array" ref="K56">IF(
    VLOOKUP(
        $A56,
        _xlfn._xlws.FILTER(
            INDIRECT("'"&amp;K$1&amp;"'!A2:G1000"), (INDIRECT("'"&amp;K$1&amp;"'!B2:B1000")=$B56) * (INDIRECT("'"&amp;K$1&amp;"'!C2:C1000")=$C56)
        ),
        5,
        FALSE
    )="",
    "",
    VLOOKUP(
        $A56,
        _xlfn._xlws.FILTER(
            INDIRECT("'"&amp;K$1&amp;"'!A2:G1000"), (INDIRECT("'"&amp;K$1&amp;"'!B2:B1000")=$B56) * (INDIRECT("'"&amp;K$1&amp;"'!C2:C1000")=$C56)
        ),7,
        FALSE
    )
)</f>
        <v/>
      </c>
      <c r="L56" s="50">
        <f t="array" ref="L56">IF(
    VLOOKUP(
        $A56,
        _xlfn._xlws.FILTER(
            INDIRECT("'"&amp;L$1&amp;"'!A2:G1000"), (INDIRECT("'"&amp;L$1&amp;"'!B2:B1000")=$B56) * (INDIRECT("'"&amp;L$1&amp;"'!C2:C1000")=$C56)
        ),
        5,
        FALSE
    )="",
    "",
    VLOOKUP(
        $A56,
        _xlfn._xlws.FILTER(
            INDIRECT("'"&amp;L$1&amp;"'!A2:G1000"), (INDIRECT("'"&amp;L$1&amp;"'!B2:B1000")=$B56) * (INDIRECT("'"&amp;L$1&amp;"'!C2:C1000")=$C56)
        ),7,
        FALSE
    )
)</f>
        <v/>
      </c>
      <c r="M56" s="50">
        <f t="array" ref="M56">IF(
    VLOOKUP(
        $A56,
        _xlfn._xlws.FILTER(
            INDIRECT("'"&amp;M$1&amp;"'!A2:G1000"), (INDIRECT("'"&amp;M$1&amp;"'!B2:B1000")=$B56) * (INDIRECT("'"&amp;M$1&amp;"'!C2:C1000")=$C56)
        ),
        5,
        FALSE
    )="",
    "",
    VLOOKUP(
        $A56,
        _xlfn._xlws.FILTER(
            INDIRECT("'"&amp;M$1&amp;"'!A2:G1000"), (INDIRECT("'"&amp;M$1&amp;"'!B2:B1000")=$B56) * (INDIRECT("'"&amp;M$1&amp;"'!C2:C1000")=$C56)
        ),7,
        FALSE
    )
)</f>
        <v/>
      </c>
      <c r="N56" s="50">
        <f t="array" ref="N56">IF(
    VLOOKUP(
        $A56,
        _xlfn._xlws.FILTER(
            INDIRECT("'"&amp;N$1&amp;"'!A2:G1000"), (INDIRECT("'"&amp;N$1&amp;"'!B2:B1000")=$B56) * (INDIRECT("'"&amp;N$1&amp;"'!C2:C1000")=$C56)
        ),
        5,
        FALSE
    )="",
    "",
    VLOOKUP(
        $A56,
        _xlfn._xlws.FILTER(
            INDIRECT("'"&amp;N$1&amp;"'!A2:G1000"), (INDIRECT("'"&amp;N$1&amp;"'!B2:B1000")=$B56) * (INDIRECT("'"&amp;N$1&amp;"'!C2:C1000")=$C56)
        ),7,
        FALSE
    )
)</f>
        <v/>
      </c>
      <c r="O56" s="50">
        <f t="array" ref="O56">IF(
    VLOOKUP(
        $A56,
        _xlfn._xlws.FILTER(
            INDIRECT("'"&amp;O$1&amp;"'!A2:G1000"), (INDIRECT("'"&amp;O$1&amp;"'!B2:B1000")=$B56) * (INDIRECT("'"&amp;O$1&amp;"'!C2:C1000")=$C56)
        ),
        5,
        FALSE
    )="",
    "",
    VLOOKUP(
        $A56,
        _xlfn._xlws.FILTER(
            INDIRECT("'"&amp;O$1&amp;"'!A2:G1000"), (INDIRECT("'"&amp;O$1&amp;"'!B2:B1000")=$B56) * (INDIRECT("'"&amp;O$1&amp;"'!C2:C1000")=$C56)
        ),7,
        FALSE
    )
)</f>
        <v/>
      </c>
      <c r="P56" s="50">
        <f t="array" ref="P56">IF(
    VLOOKUP(
        $A56,
        _xlfn._xlws.FILTER(
            INDIRECT("'"&amp;P$1&amp;"'!A2:G1000"), (INDIRECT("'"&amp;P$1&amp;"'!B2:B1000")=$B56) * (INDIRECT("'"&amp;P$1&amp;"'!C2:C1000")=$C56)
        ),
        5,
        FALSE
    )="",
    "",
    VLOOKUP(
        $A56,
        _xlfn._xlws.FILTER(
            INDIRECT("'"&amp;P$1&amp;"'!A2:G1000"), (INDIRECT("'"&amp;P$1&amp;"'!B2:B1000")=$B56) * (INDIRECT("'"&amp;P$1&amp;"'!C2:C1000")=$C56)
        ),7,
        FALSE
    )
)</f>
        <v/>
      </c>
      <c r="Q56" s="50">
        <f t="array" ref="Q56">IF(
    VLOOKUP(
        $A56,
        _xlfn._xlws.FILTER(
            INDIRECT("'"&amp;Q$1&amp;"'!A2:G1000"), (INDIRECT("'"&amp;Q$1&amp;"'!B2:B1000")=$B56) * (INDIRECT("'"&amp;Q$1&amp;"'!C2:C1000")=$C56)
        ),
        5,
        FALSE
    )="",
    "",
    VLOOKUP(
        $A56,
        _xlfn._xlws.FILTER(
            INDIRECT("'"&amp;Q$1&amp;"'!A2:G1000"), (INDIRECT("'"&amp;Q$1&amp;"'!B2:B1000")=$B56) * (INDIRECT("'"&amp;Q$1&amp;"'!C2:C1000")=$C56)
        ),7,
        FALSE
    )
)</f>
        <v/>
      </c>
    </row>
    <row r="57">
      <c r="A57" s="56" t="inlineStr">
        <is>
          <t>Luana</t>
        </is>
      </c>
      <c r="B57" s="50" t="inlineStr">
        <is>
          <t>Entre Rios do Oeste</t>
        </is>
      </c>
      <c r="C57" s="50" t="n">
        <v>1</v>
      </c>
      <c r="D57" s="50">
        <f t="array" ref="D57">IF(
    VLOOKUP(
        $A57,
        _xlfn._xlws.FILTER(
            INDIRECT("'"&amp;D$1&amp;"'!A2:G1000"), (INDIRECT("'"&amp;D$1&amp;"'!B2:B1000")=$B57) * (INDIRECT("'"&amp;D$1&amp;"'!C2:C1000")=$C57)
        ),
        5,
        FALSE
    )="",
    "",
    VLOOKUP(
        $A57,
        _xlfn._xlws.FILTER(
            INDIRECT("'"&amp;D$1&amp;"'!A2:G1000"), (INDIRECT("'"&amp;D$1&amp;"'!B2:B1000")=$B57) * (INDIRECT("'"&amp;D$1&amp;"'!C2:C1000")=$C57)
        ),7,
        FALSE
    )
)</f>
        <v/>
      </c>
      <c r="E57" s="50">
        <f t="array" ref="E57">IF(
    VLOOKUP(
        $A57,
        _xlfn._xlws.FILTER(
            INDIRECT("'"&amp;E$1&amp;"'!A2:G1000"), (INDIRECT("'"&amp;E$1&amp;"'!B2:B1000")=$B57) * (INDIRECT("'"&amp;E$1&amp;"'!C2:C1000")=$C57)
        ),
        5,
        FALSE
    )="",
    "",
    VLOOKUP(
        $A57,
        _xlfn._xlws.FILTER(
            INDIRECT("'"&amp;E$1&amp;"'!A2:G1000"), (INDIRECT("'"&amp;E$1&amp;"'!B2:B1000")=$B57) * (INDIRECT("'"&amp;E$1&amp;"'!C2:C1000")=$C57)
        ),7,
        FALSE
    )
)</f>
        <v/>
      </c>
      <c r="F57" s="50">
        <f t="array" ref="F57">IF(
    VLOOKUP(
        $A57,
        _xlfn._xlws.FILTER(
            INDIRECT("'"&amp;F$1&amp;"'!A2:G1000"), (INDIRECT("'"&amp;F$1&amp;"'!B2:B1000")=$B57) * (INDIRECT("'"&amp;F$1&amp;"'!C2:C1000")=$C57)
        ),
        5,
        FALSE
    )="",
    "",
    VLOOKUP(
        $A57,
        _xlfn._xlws.FILTER(
            INDIRECT("'"&amp;F$1&amp;"'!A2:G1000"), (INDIRECT("'"&amp;F$1&amp;"'!B2:B1000")=$B57) * (INDIRECT("'"&amp;F$1&amp;"'!C2:C1000")=$C57)
        ),7,
        FALSE
    )
)</f>
        <v/>
      </c>
      <c r="G57" s="50">
        <f t="array" ref="G57">IF(
    VLOOKUP(
        $A57,
        _xlfn._xlws.FILTER(
            INDIRECT("'"&amp;G$1&amp;"'!A2:G1000"), (INDIRECT("'"&amp;G$1&amp;"'!B2:B1000")=$B57) * (INDIRECT("'"&amp;G$1&amp;"'!C2:C1000")=$C57)
        ),
        5,
        FALSE
    )="",
    "",
    VLOOKUP(
        $A57,
        _xlfn._xlws.FILTER(
            INDIRECT("'"&amp;G$1&amp;"'!A2:G1000"), (INDIRECT("'"&amp;G$1&amp;"'!B2:B1000")=$B57) * (INDIRECT("'"&amp;G$1&amp;"'!C2:C1000")=$C57)
        ),7,
        FALSE
    )
)</f>
        <v/>
      </c>
      <c r="H57" s="50">
        <f t="array" ref="H57">IF(
    VLOOKUP(
        $A57,
        _xlfn._xlws.FILTER(
            INDIRECT("'"&amp;H$1&amp;"'!A2:G1000"), (INDIRECT("'"&amp;H$1&amp;"'!B2:B1000")=$B57) * (INDIRECT("'"&amp;H$1&amp;"'!C2:C1000")=$C57)
        ),
        5,
        FALSE
    )="",
    "",
    VLOOKUP(
        $A57,
        _xlfn._xlws.FILTER(
            INDIRECT("'"&amp;H$1&amp;"'!A2:G1000"), (INDIRECT("'"&amp;H$1&amp;"'!B2:B1000")=$B57) * (INDIRECT("'"&amp;H$1&amp;"'!C2:C1000")=$C57)
        ),7,
        FALSE
    )
)</f>
        <v/>
      </c>
      <c r="I57" s="50">
        <f t="array" ref="I57">IF(
    VLOOKUP(
        $A57,
        _xlfn._xlws.FILTER(
            INDIRECT("'"&amp;I$1&amp;"'!A2:G1000"), (INDIRECT("'"&amp;I$1&amp;"'!B2:B1000")=$B57) * (INDIRECT("'"&amp;I$1&amp;"'!C2:C1000")=$C57)
        ),
        5,
        FALSE
    )="",
    "",
    VLOOKUP(
        $A57,
        _xlfn._xlws.FILTER(
            INDIRECT("'"&amp;I$1&amp;"'!A2:G1000"), (INDIRECT("'"&amp;I$1&amp;"'!B2:B1000")=$B57) * (INDIRECT("'"&amp;I$1&amp;"'!C2:C1000")=$C57)
        ),7,
        FALSE
    )
)</f>
        <v/>
      </c>
      <c r="J57" s="50">
        <f t="array" ref="J57">IF(
    VLOOKUP(
        $A57,
        _xlfn._xlws.FILTER(
            INDIRECT("'"&amp;J$1&amp;"'!A2:G1000"), (INDIRECT("'"&amp;J$1&amp;"'!B2:B1000")=$B57) * (INDIRECT("'"&amp;J$1&amp;"'!C2:C1000")=$C57)
        ),
        5,
        FALSE
    )="",
    "",
    VLOOKUP(
        $A57,
        _xlfn._xlws.FILTER(
            INDIRECT("'"&amp;J$1&amp;"'!A2:G1000"), (INDIRECT("'"&amp;J$1&amp;"'!B2:B1000")=$B57) * (INDIRECT("'"&amp;J$1&amp;"'!C2:C1000")=$C57)
        ),7,
        FALSE
    )
)</f>
        <v/>
      </c>
      <c r="K57" s="50">
        <f t="array" ref="K57">IF(
    VLOOKUP(
        $A57,
        _xlfn._xlws.FILTER(
            INDIRECT("'"&amp;K$1&amp;"'!A2:G1000"), (INDIRECT("'"&amp;K$1&amp;"'!B2:B1000")=$B57) * (INDIRECT("'"&amp;K$1&amp;"'!C2:C1000")=$C57)
        ),
        5,
        FALSE
    )="",
    "",
    VLOOKUP(
        $A57,
        _xlfn._xlws.FILTER(
            INDIRECT("'"&amp;K$1&amp;"'!A2:G1000"), (INDIRECT("'"&amp;K$1&amp;"'!B2:B1000")=$B57) * (INDIRECT("'"&amp;K$1&amp;"'!C2:C1000")=$C57)
        ),7,
        FALSE
    )
)</f>
        <v/>
      </c>
      <c r="L57" s="50">
        <f t="array" ref="L57">IF(
    VLOOKUP(
        $A57,
        _xlfn._xlws.FILTER(
            INDIRECT("'"&amp;L$1&amp;"'!A2:G1000"), (INDIRECT("'"&amp;L$1&amp;"'!B2:B1000")=$B57) * (INDIRECT("'"&amp;L$1&amp;"'!C2:C1000")=$C57)
        ),
        5,
        FALSE
    )="",
    "",
    VLOOKUP(
        $A57,
        _xlfn._xlws.FILTER(
            INDIRECT("'"&amp;L$1&amp;"'!A2:G1000"), (INDIRECT("'"&amp;L$1&amp;"'!B2:B1000")=$B57) * (INDIRECT("'"&amp;L$1&amp;"'!C2:C1000")=$C57)
        ),7,
        FALSE
    )
)</f>
        <v/>
      </c>
      <c r="M57" s="50">
        <f t="array" ref="M57">IF(
    VLOOKUP(
        $A57,
        _xlfn._xlws.FILTER(
            INDIRECT("'"&amp;M$1&amp;"'!A2:G1000"), (INDIRECT("'"&amp;M$1&amp;"'!B2:B1000")=$B57) * (INDIRECT("'"&amp;M$1&amp;"'!C2:C1000")=$C57)
        ),
        5,
        FALSE
    )="",
    "",
    VLOOKUP(
        $A57,
        _xlfn._xlws.FILTER(
            INDIRECT("'"&amp;M$1&amp;"'!A2:G1000"), (INDIRECT("'"&amp;M$1&amp;"'!B2:B1000")=$B57) * (INDIRECT("'"&amp;M$1&amp;"'!C2:C1000")=$C57)
        ),7,
        FALSE
    )
)</f>
        <v/>
      </c>
      <c r="N57" s="50">
        <f t="array" ref="N57">IF(
    VLOOKUP(
        $A57,
        _xlfn._xlws.FILTER(
            INDIRECT("'"&amp;N$1&amp;"'!A2:G1000"), (INDIRECT("'"&amp;N$1&amp;"'!B2:B1000")=$B57) * (INDIRECT("'"&amp;N$1&amp;"'!C2:C1000")=$C57)
        ),
        5,
        FALSE
    )="",
    "",
    VLOOKUP(
        $A57,
        _xlfn._xlws.FILTER(
            INDIRECT("'"&amp;N$1&amp;"'!A2:G1000"), (INDIRECT("'"&amp;N$1&amp;"'!B2:B1000")=$B57) * (INDIRECT("'"&amp;N$1&amp;"'!C2:C1000")=$C57)
        ),7,
        FALSE
    )
)</f>
        <v/>
      </c>
      <c r="O57" s="50">
        <f t="array" ref="O57">IF(
    VLOOKUP(
        $A57,
        _xlfn._xlws.FILTER(
            INDIRECT("'"&amp;O$1&amp;"'!A2:G1000"), (INDIRECT("'"&amp;O$1&amp;"'!B2:B1000")=$B57) * (INDIRECT("'"&amp;O$1&amp;"'!C2:C1000")=$C57)
        ),
        5,
        FALSE
    )="",
    "",
    VLOOKUP(
        $A57,
        _xlfn._xlws.FILTER(
            INDIRECT("'"&amp;O$1&amp;"'!A2:G1000"), (INDIRECT("'"&amp;O$1&amp;"'!B2:B1000")=$B57) * (INDIRECT("'"&amp;O$1&amp;"'!C2:C1000")=$C57)
        ),7,
        FALSE
    )
)</f>
        <v/>
      </c>
      <c r="P57" s="50">
        <f t="array" ref="P57">IF(
    VLOOKUP(
        $A57,
        _xlfn._xlws.FILTER(
            INDIRECT("'"&amp;P$1&amp;"'!A2:G1000"), (INDIRECT("'"&amp;P$1&amp;"'!B2:B1000")=$B57) * (INDIRECT("'"&amp;P$1&amp;"'!C2:C1000")=$C57)
        ),
        5,
        FALSE
    )="",
    "",
    VLOOKUP(
        $A57,
        _xlfn._xlws.FILTER(
            INDIRECT("'"&amp;P$1&amp;"'!A2:G1000"), (INDIRECT("'"&amp;P$1&amp;"'!B2:B1000")=$B57) * (INDIRECT("'"&amp;P$1&amp;"'!C2:C1000")=$C57)
        ),7,
        FALSE
    )
)</f>
        <v/>
      </c>
      <c r="Q57" s="50">
        <f t="array" ref="Q57">IF(
    VLOOKUP(
        $A57,
        _xlfn._xlws.FILTER(
            INDIRECT("'"&amp;Q$1&amp;"'!A2:G1000"), (INDIRECT("'"&amp;Q$1&amp;"'!B2:B1000")=$B57) * (INDIRECT("'"&amp;Q$1&amp;"'!C2:C1000")=$C57)
        ),
        5,
        FALSE
    )="",
    "",
    VLOOKUP(
        $A57,
        _xlfn._xlws.FILTER(
            INDIRECT("'"&amp;Q$1&amp;"'!A2:G1000"), (INDIRECT("'"&amp;Q$1&amp;"'!B2:B1000")=$B57) * (INDIRECT("'"&amp;Q$1&amp;"'!C2:C1000")=$C57)
        ),7,
        FALSE
    )
)</f>
        <v/>
      </c>
    </row>
    <row r="58">
      <c r="A58" s="56" t="inlineStr">
        <is>
          <t>Luana</t>
        </is>
      </c>
      <c r="B58" s="50" t="inlineStr">
        <is>
          <t>Itaipulândia</t>
        </is>
      </c>
      <c r="C58" s="50" t="n">
        <v>1</v>
      </c>
      <c r="D58" s="50">
        <f t="array" ref="D58">IF(
    VLOOKUP(
        $A58,
        _xlfn._xlws.FILTER(
            INDIRECT("'"&amp;D$1&amp;"'!A2:G1000"), (INDIRECT("'"&amp;D$1&amp;"'!B2:B1000")=$B58) * (INDIRECT("'"&amp;D$1&amp;"'!C2:C1000")=$C58)
        ),
        5,
        FALSE
    )="",
    "",
    VLOOKUP(
        $A58,
        _xlfn._xlws.FILTER(
            INDIRECT("'"&amp;D$1&amp;"'!A2:G1000"), (INDIRECT("'"&amp;D$1&amp;"'!B2:B1000")=$B58) * (INDIRECT("'"&amp;D$1&amp;"'!C2:C1000")=$C58)
        ),7,
        FALSE
    )
)</f>
        <v/>
      </c>
      <c r="E58" s="50">
        <f t="array" ref="E58">IF(
    VLOOKUP(
        $A58,
        _xlfn._xlws.FILTER(
            INDIRECT("'"&amp;E$1&amp;"'!A2:G1000"), (INDIRECT("'"&amp;E$1&amp;"'!B2:B1000")=$B58) * (INDIRECT("'"&amp;E$1&amp;"'!C2:C1000")=$C58)
        ),
        5,
        FALSE
    )="",
    "",
    VLOOKUP(
        $A58,
        _xlfn._xlws.FILTER(
            INDIRECT("'"&amp;E$1&amp;"'!A2:G1000"), (INDIRECT("'"&amp;E$1&amp;"'!B2:B1000")=$B58) * (INDIRECT("'"&amp;E$1&amp;"'!C2:C1000")=$C58)
        ),7,
        FALSE
    )
)</f>
        <v/>
      </c>
      <c r="F58" s="50">
        <f t="array" ref="F58">IF(
    VLOOKUP(
        $A58,
        _xlfn._xlws.FILTER(
            INDIRECT("'"&amp;F$1&amp;"'!A2:G1000"), (INDIRECT("'"&amp;F$1&amp;"'!B2:B1000")=$B58) * (INDIRECT("'"&amp;F$1&amp;"'!C2:C1000")=$C58)
        ),
        5,
        FALSE
    )="",
    "",
    VLOOKUP(
        $A58,
        _xlfn._xlws.FILTER(
            INDIRECT("'"&amp;F$1&amp;"'!A2:G1000"), (INDIRECT("'"&amp;F$1&amp;"'!B2:B1000")=$B58) * (INDIRECT("'"&amp;F$1&amp;"'!C2:C1000")=$C58)
        ),7,
        FALSE
    )
)</f>
        <v/>
      </c>
      <c r="G58" s="50">
        <f t="array" ref="G58">IF(
    VLOOKUP(
        $A58,
        _xlfn._xlws.FILTER(
            INDIRECT("'"&amp;G$1&amp;"'!A2:G1000"), (INDIRECT("'"&amp;G$1&amp;"'!B2:B1000")=$B58) * (INDIRECT("'"&amp;G$1&amp;"'!C2:C1000")=$C58)
        ),
        5,
        FALSE
    )="",
    "",
    VLOOKUP(
        $A58,
        _xlfn._xlws.FILTER(
            INDIRECT("'"&amp;G$1&amp;"'!A2:G1000"), (INDIRECT("'"&amp;G$1&amp;"'!B2:B1000")=$B58) * (INDIRECT("'"&amp;G$1&amp;"'!C2:C1000")=$C58)
        ),7,
        FALSE
    )
)</f>
        <v/>
      </c>
      <c r="H58" s="50">
        <f t="array" ref="H58">IF(
    VLOOKUP(
        $A58,
        _xlfn._xlws.FILTER(
            INDIRECT("'"&amp;H$1&amp;"'!A2:G1000"), (INDIRECT("'"&amp;H$1&amp;"'!B2:B1000")=$B58) * (INDIRECT("'"&amp;H$1&amp;"'!C2:C1000")=$C58)
        ),
        5,
        FALSE
    )="",
    "",
    VLOOKUP(
        $A58,
        _xlfn._xlws.FILTER(
            INDIRECT("'"&amp;H$1&amp;"'!A2:G1000"), (INDIRECT("'"&amp;H$1&amp;"'!B2:B1000")=$B58) * (INDIRECT("'"&amp;H$1&amp;"'!C2:C1000")=$C58)
        ),7,
        FALSE
    )
)</f>
        <v/>
      </c>
      <c r="I58" s="50">
        <f t="array" ref="I58">IF(
    VLOOKUP(
        $A58,
        _xlfn._xlws.FILTER(
            INDIRECT("'"&amp;I$1&amp;"'!A2:G1000"), (INDIRECT("'"&amp;I$1&amp;"'!B2:B1000")=$B58) * (INDIRECT("'"&amp;I$1&amp;"'!C2:C1000")=$C58)
        ),
        5,
        FALSE
    )="",
    "",
    VLOOKUP(
        $A58,
        _xlfn._xlws.FILTER(
            INDIRECT("'"&amp;I$1&amp;"'!A2:G1000"), (INDIRECT("'"&amp;I$1&amp;"'!B2:B1000")=$B58) * (INDIRECT("'"&amp;I$1&amp;"'!C2:C1000")=$C58)
        ),7,
        FALSE
    )
)</f>
        <v/>
      </c>
      <c r="J58" s="50">
        <f t="array" ref="J58">IF(
    VLOOKUP(
        $A58,
        _xlfn._xlws.FILTER(
            INDIRECT("'"&amp;J$1&amp;"'!A2:G1000"), (INDIRECT("'"&amp;J$1&amp;"'!B2:B1000")=$B58) * (INDIRECT("'"&amp;J$1&amp;"'!C2:C1000")=$C58)
        ),
        5,
        FALSE
    )="",
    "",
    VLOOKUP(
        $A58,
        _xlfn._xlws.FILTER(
            INDIRECT("'"&amp;J$1&amp;"'!A2:G1000"), (INDIRECT("'"&amp;J$1&amp;"'!B2:B1000")=$B58) * (INDIRECT("'"&amp;J$1&amp;"'!C2:C1000")=$C58)
        ),7,
        FALSE
    )
)</f>
        <v/>
      </c>
      <c r="K58" s="50">
        <f t="array" ref="K58">IF(
    VLOOKUP(
        $A58,
        _xlfn._xlws.FILTER(
            INDIRECT("'"&amp;K$1&amp;"'!A2:G1000"), (INDIRECT("'"&amp;K$1&amp;"'!B2:B1000")=$B58) * (INDIRECT("'"&amp;K$1&amp;"'!C2:C1000")=$C58)
        ),
        5,
        FALSE
    )="",
    "",
    VLOOKUP(
        $A58,
        _xlfn._xlws.FILTER(
            INDIRECT("'"&amp;K$1&amp;"'!A2:G1000"), (INDIRECT("'"&amp;K$1&amp;"'!B2:B1000")=$B58) * (INDIRECT("'"&amp;K$1&amp;"'!C2:C1000")=$C58)
        ),7,
        FALSE
    )
)</f>
        <v/>
      </c>
      <c r="L58" s="50">
        <f t="array" ref="L58">IF(
    VLOOKUP(
        $A58,
        _xlfn._xlws.FILTER(
            INDIRECT("'"&amp;L$1&amp;"'!A2:G1000"), (INDIRECT("'"&amp;L$1&amp;"'!B2:B1000")=$B58) * (INDIRECT("'"&amp;L$1&amp;"'!C2:C1000")=$C58)
        ),
        5,
        FALSE
    )="",
    "",
    VLOOKUP(
        $A58,
        _xlfn._xlws.FILTER(
            INDIRECT("'"&amp;L$1&amp;"'!A2:G1000"), (INDIRECT("'"&amp;L$1&amp;"'!B2:B1000")=$B58) * (INDIRECT("'"&amp;L$1&amp;"'!C2:C1000")=$C58)
        ),7,
        FALSE
    )
)</f>
        <v/>
      </c>
      <c r="M58" s="50">
        <f t="array" ref="M58">IF(
    VLOOKUP(
        $A58,
        _xlfn._xlws.FILTER(
            INDIRECT("'"&amp;M$1&amp;"'!A2:G1000"), (INDIRECT("'"&amp;M$1&amp;"'!B2:B1000")=$B58) * (INDIRECT("'"&amp;M$1&amp;"'!C2:C1000")=$C58)
        ),
        5,
        FALSE
    )="",
    "",
    VLOOKUP(
        $A58,
        _xlfn._xlws.FILTER(
            INDIRECT("'"&amp;M$1&amp;"'!A2:G1000"), (INDIRECT("'"&amp;M$1&amp;"'!B2:B1000")=$B58) * (INDIRECT("'"&amp;M$1&amp;"'!C2:C1000")=$C58)
        ),7,
        FALSE
    )
)</f>
        <v/>
      </c>
      <c r="N58" s="50">
        <f t="array" ref="N58">IF(
    VLOOKUP(
        $A58,
        _xlfn._xlws.FILTER(
            INDIRECT("'"&amp;N$1&amp;"'!A2:G1000"), (INDIRECT("'"&amp;N$1&amp;"'!B2:B1000")=$B58) * (INDIRECT("'"&amp;N$1&amp;"'!C2:C1000")=$C58)
        ),
        5,
        FALSE
    )="",
    "",
    VLOOKUP(
        $A58,
        _xlfn._xlws.FILTER(
            INDIRECT("'"&amp;N$1&amp;"'!A2:G1000"), (INDIRECT("'"&amp;N$1&amp;"'!B2:B1000")=$B58) * (INDIRECT("'"&amp;N$1&amp;"'!C2:C1000")=$C58)
        ),7,
        FALSE
    )
)</f>
        <v/>
      </c>
      <c r="O58" s="50">
        <f t="array" ref="O58">IF(
    VLOOKUP(
        $A58,
        _xlfn._xlws.FILTER(
            INDIRECT("'"&amp;O$1&amp;"'!A2:G1000"), (INDIRECT("'"&amp;O$1&amp;"'!B2:B1000")=$B58) * (INDIRECT("'"&amp;O$1&amp;"'!C2:C1000")=$C58)
        ),
        5,
        FALSE
    )="",
    "",
    VLOOKUP(
        $A58,
        _xlfn._xlws.FILTER(
            INDIRECT("'"&amp;O$1&amp;"'!A2:G1000"), (INDIRECT("'"&amp;O$1&amp;"'!B2:B1000")=$B58) * (INDIRECT("'"&amp;O$1&amp;"'!C2:C1000")=$C58)
        ),7,
        FALSE
    )
)</f>
        <v/>
      </c>
      <c r="P58" s="50">
        <f t="array" ref="P58">IF(
    VLOOKUP(
        $A58,
        _xlfn._xlws.FILTER(
            INDIRECT("'"&amp;P$1&amp;"'!A2:G1000"), (INDIRECT("'"&amp;P$1&amp;"'!B2:B1000")=$B58) * (INDIRECT("'"&amp;P$1&amp;"'!C2:C1000")=$C58)
        ),
        5,
        FALSE
    )="",
    "",
    VLOOKUP(
        $A58,
        _xlfn._xlws.FILTER(
            INDIRECT("'"&amp;P$1&amp;"'!A2:G1000"), (INDIRECT("'"&amp;P$1&amp;"'!B2:B1000")=$B58) * (INDIRECT("'"&amp;P$1&amp;"'!C2:C1000")=$C58)
        ),7,
        FALSE
    )
)</f>
        <v/>
      </c>
      <c r="Q58" s="50">
        <f t="array" ref="Q58">IF(
    VLOOKUP(
        $A58,
        _xlfn._xlws.FILTER(
            INDIRECT("'"&amp;Q$1&amp;"'!A2:G1000"), (INDIRECT("'"&amp;Q$1&amp;"'!B2:B1000")=$B58) * (INDIRECT("'"&amp;Q$1&amp;"'!C2:C1000")=$C58)
        ),
        5,
        FALSE
    )="",
    "",
    VLOOKUP(
        $A58,
        _xlfn._xlws.FILTER(
            INDIRECT("'"&amp;Q$1&amp;"'!A2:G1000"), (INDIRECT("'"&amp;Q$1&amp;"'!B2:B1000")=$B58) * (INDIRECT("'"&amp;Q$1&amp;"'!C2:C1000")=$C58)
        ),7,
        FALSE
    )
)</f>
        <v/>
      </c>
    </row>
    <row r="59">
      <c r="A59" s="56" t="inlineStr">
        <is>
          <t>Luana</t>
        </is>
      </c>
      <c r="B59" s="50" t="inlineStr">
        <is>
          <t>Marechal Candido Rondon</t>
        </is>
      </c>
      <c r="C59" s="50" t="n">
        <v>1</v>
      </c>
      <c r="D59" s="50">
        <f t="array" ref="D59">IF(
    VLOOKUP(
        $A59,
        _xlfn._xlws.FILTER(
            INDIRECT("'"&amp;D$1&amp;"'!A2:G1000"), (INDIRECT("'"&amp;D$1&amp;"'!B2:B1000")=$B59) * (INDIRECT("'"&amp;D$1&amp;"'!C2:C1000")=$C59)
        ),
        5,
        FALSE
    )="",
    "",
    VLOOKUP(
        $A59,
        _xlfn._xlws.FILTER(
            INDIRECT("'"&amp;D$1&amp;"'!A2:G1000"), (INDIRECT("'"&amp;D$1&amp;"'!B2:B1000")=$B59) * (INDIRECT("'"&amp;D$1&amp;"'!C2:C1000")=$C59)
        ),7,
        FALSE
    )
)</f>
        <v/>
      </c>
      <c r="E59" s="50">
        <f t="array" ref="E59">IF(
    VLOOKUP(
        $A59,
        _xlfn._xlws.FILTER(
            INDIRECT("'"&amp;E$1&amp;"'!A2:G1000"), (INDIRECT("'"&amp;E$1&amp;"'!B2:B1000")=$B59) * (INDIRECT("'"&amp;E$1&amp;"'!C2:C1000")=$C59)
        ),
        5,
        FALSE
    )="",
    "",
    VLOOKUP(
        $A59,
        _xlfn._xlws.FILTER(
            INDIRECT("'"&amp;E$1&amp;"'!A2:G1000"), (INDIRECT("'"&amp;E$1&amp;"'!B2:B1000")=$B59) * (INDIRECT("'"&amp;E$1&amp;"'!C2:C1000")=$C59)
        ),7,
        FALSE
    )
)</f>
        <v/>
      </c>
      <c r="F59" s="50">
        <f t="array" ref="F59">IF(
    VLOOKUP(
        $A59,
        _xlfn._xlws.FILTER(
            INDIRECT("'"&amp;F$1&amp;"'!A2:G1000"), (INDIRECT("'"&amp;F$1&amp;"'!B2:B1000")=$B59) * (INDIRECT("'"&amp;F$1&amp;"'!C2:C1000")=$C59)
        ),
        5,
        FALSE
    )="",
    "",
    VLOOKUP(
        $A59,
        _xlfn._xlws.FILTER(
            INDIRECT("'"&amp;F$1&amp;"'!A2:G1000"), (INDIRECT("'"&amp;F$1&amp;"'!B2:B1000")=$B59) * (INDIRECT("'"&amp;F$1&amp;"'!C2:C1000")=$C59)
        ),7,
        FALSE
    )
)</f>
        <v/>
      </c>
      <c r="G59" s="50">
        <f t="array" ref="G59">IF(
    VLOOKUP(
        $A59,
        _xlfn._xlws.FILTER(
            INDIRECT("'"&amp;G$1&amp;"'!A2:G1000"), (INDIRECT("'"&amp;G$1&amp;"'!B2:B1000")=$B59) * (INDIRECT("'"&amp;G$1&amp;"'!C2:C1000")=$C59)
        ),
        5,
        FALSE
    )="",
    "",
    VLOOKUP(
        $A59,
        _xlfn._xlws.FILTER(
            INDIRECT("'"&amp;G$1&amp;"'!A2:G1000"), (INDIRECT("'"&amp;G$1&amp;"'!B2:B1000")=$B59) * (INDIRECT("'"&amp;G$1&amp;"'!C2:C1000")=$C59)
        ),7,
        FALSE
    )
)</f>
        <v/>
      </c>
      <c r="H59" s="50">
        <f t="array" ref="H59">IF(
    VLOOKUP(
        $A59,
        _xlfn._xlws.FILTER(
            INDIRECT("'"&amp;H$1&amp;"'!A2:G1000"), (INDIRECT("'"&amp;H$1&amp;"'!B2:B1000")=$B59) * (INDIRECT("'"&amp;H$1&amp;"'!C2:C1000")=$C59)
        ),
        5,
        FALSE
    )="",
    "",
    VLOOKUP(
        $A59,
        _xlfn._xlws.FILTER(
            INDIRECT("'"&amp;H$1&amp;"'!A2:G1000"), (INDIRECT("'"&amp;H$1&amp;"'!B2:B1000")=$B59) * (INDIRECT("'"&amp;H$1&amp;"'!C2:C1000")=$C59)
        ),7,
        FALSE
    )
)</f>
        <v/>
      </c>
      <c r="I59" s="50">
        <f t="array" ref="I59">IF(
    VLOOKUP(
        $A59,
        _xlfn._xlws.FILTER(
            INDIRECT("'"&amp;I$1&amp;"'!A2:G1000"), (INDIRECT("'"&amp;I$1&amp;"'!B2:B1000")=$B59) * (INDIRECT("'"&amp;I$1&amp;"'!C2:C1000")=$C59)
        ),
        5,
        FALSE
    )="",
    "",
    VLOOKUP(
        $A59,
        _xlfn._xlws.FILTER(
            INDIRECT("'"&amp;I$1&amp;"'!A2:G1000"), (INDIRECT("'"&amp;I$1&amp;"'!B2:B1000")=$B59) * (INDIRECT("'"&amp;I$1&amp;"'!C2:C1000")=$C59)
        ),7,
        FALSE
    )
)</f>
        <v/>
      </c>
      <c r="J59" s="50">
        <f t="array" ref="J59">IF(
    VLOOKUP(
        $A59,
        _xlfn._xlws.FILTER(
            INDIRECT("'"&amp;J$1&amp;"'!A2:G1000"), (INDIRECT("'"&amp;J$1&amp;"'!B2:B1000")=$B59) * (INDIRECT("'"&amp;J$1&amp;"'!C2:C1000")=$C59)
        ),
        5,
        FALSE
    )="",
    "",
    VLOOKUP(
        $A59,
        _xlfn._xlws.FILTER(
            INDIRECT("'"&amp;J$1&amp;"'!A2:G1000"), (INDIRECT("'"&amp;J$1&amp;"'!B2:B1000")=$B59) * (INDIRECT("'"&amp;J$1&amp;"'!C2:C1000")=$C59)
        ),7,
        FALSE
    )
)</f>
        <v/>
      </c>
      <c r="K59" s="50">
        <f t="array" ref="K59">IF(
    VLOOKUP(
        $A59,
        _xlfn._xlws.FILTER(
            INDIRECT("'"&amp;K$1&amp;"'!A2:G1000"), (INDIRECT("'"&amp;K$1&amp;"'!B2:B1000")=$B59) * (INDIRECT("'"&amp;K$1&amp;"'!C2:C1000")=$C59)
        ),
        5,
        FALSE
    )="",
    "",
    VLOOKUP(
        $A59,
        _xlfn._xlws.FILTER(
            INDIRECT("'"&amp;K$1&amp;"'!A2:G1000"), (INDIRECT("'"&amp;K$1&amp;"'!B2:B1000")=$B59) * (INDIRECT("'"&amp;K$1&amp;"'!C2:C1000")=$C59)
        ),7,
        FALSE
    )
)</f>
        <v/>
      </c>
      <c r="L59" s="50">
        <f t="array" ref="L59">IF(
    VLOOKUP(
        $A59,
        _xlfn._xlws.FILTER(
            INDIRECT("'"&amp;L$1&amp;"'!A2:G1000"), (INDIRECT("'"&amp;L$1&amp;"'!B2:B1000")=$B59) * (INDIRECT("'"&amp;L$1&amp;"'!C2:C1000")=$C59)
        ),
        5,
        FALSE
    )="",
    "",
    VLOOKUP(
        $A59,
        _xlfn._xlws.FILTER(
            INDIRECT("'"&amp;L$1&amp;"'!A2:G1000"), (INDIRECT("'"&amp;L$1&amp;"'!B2:B1000")=$B59) * (INDIRECT("'"&amp;L$1&amp;"'!C2:C1000")=$C59)
        ),7,
        FALSE
    )
)</f>
        <v/>
      </c>
      <c r="M59" s="50">
        <f t="array" ref="M59">IF(
    VLOOKUP(
        $A59,
        _xlfn._xlws.FILTER(
            INDIRECT("'"&amp;M$1&amp;"'!A2:G1000"), (INDIRECT("'"&amp;M$1&amp;"'!B2:B1000")=$B59) * (INDIRECT("'"&amp;M$1&amp;"'!C2:C1000")=$C59)
        ),
        5,
        FALSE
    )="",
    "",
    VLOOKUP(
        $A59,
        _xlfn._xlws.FILTER(
            INDIRECT("'"&amp;M$1&amp;"'!A2:G1000"), (INDIRECT("'"&amp;M$1&amp;"'!B2:B1000")=$B59) * (INDIRECT("'"&amp;M$1&amp;"'!C2:C1000")=$C59)
        ),7,
        FALSE
    )
)</f>
        <v/>
      </c>
      <c r="N59" s="50">
        <f t="array" ref="N59">IF(
    VLOOKUP(
        $A59,
        _xlfn._xlws.FILTER(
            INDIRECT("'"&amp;N$1&amp;"'!A2:G1000"), (INDIRECT("'"&amp;N$1&amp;"'!B2:B1000")=$B59) * (INDIRECT("'"&amp;N$1&amp;"'!C2:C1000")=$C59)
        ),
        5,
        FALSE
    )="",
    "",
    VLOOKUP(
        $A59,
        _xlfn._xlws.FILTER(
            INDIRECT("'"&amp;N$1&amp;"'!A2:G1000"), (INDIRECT("'"&amp;N$1&amp;"'!B2:B1000")=$B59) * (INDIRECT("'"&amp;N$1&amp;"'!C2:C1000")=$C59)
        ),7,
        FALSE
    )
)</f>
        <v/>
      </c>
      <c r="O59" s="50">
        <f t="array" ref="O59">IF(
    VLOOKUP(
        $A59,
        _xlfn._xlws.FILTER(
            INDIRECT("'"&amp;O$1&amp;"'!A2:G1000"), (INDIRECT("'"&amp;O$1&amp;"'!B2:B1000")=$B59) * (INDIRECT("'"&amp;O$1&amp;"'!C2:C1000")=$C59)
        ),
        5,
        FALSE
    )="",
    "",
    VLOOKUP(
        $A59,
        _xlfn._xlws.FILTER(
            INDIRECT("'"&amp;O$1&amp;"'!A2:G1000"), (INDIRECT("'"&amp;O$1&amp;"'!B2:B1000")=$B59) * (INDIRECT("'"&amp;O$1&amp;"'!C2:C1000")=$C59)
        ),7,
        FALSE
    )
)</f>
        <v/>
      </c>
      <c r="P59" s="50">
        <f t="array" ref="P59">IF(
    VLOOKUP(
        $A59,
        _xlfn._xlws.FILTER(
            INDIRECT("'"&amp;P$1&amp;"'!A2:G1000"), (INDIRECT("'"&amp;P$1&amp;"'!B2:B1000")=$B59) * (INDIRECT("'"&amp;P$1&amp;"'!C2:C1000")=$C59)
        ),
        5,
        FALSE
    )="",
    "",
    VLOOKUP(
        $A59,
        _xlfn._xlws.FILTER(
            INDIRECT("'"&amp;P$1&amp;"'!A2:G1000"), (INDIRECT("'"&amp;P$1&amp;"'!B2:B1000")=$B59) * (INDIRECT("'"&amp;P$1&amp;"'!C2:C1000")=$C59)
        ),7,
        FALSE
    )
)</f>
        <v/>
      </c>
      <c r="Q59" s="50">
        <f t="array" ref="Q59">IF(
    VLOOKUP(
        $A59,
        _xlfn._xlws.FILTER(
            INDIRECT("'"&amp;Q$1&amp;"'!A2:G1000"), (INDIRECT("'"&amp;Q$1&amp;"'!B2:B1000")=$B59) * (INDIRECT("'"&amp;Q$1&amp;"'!C2:C1000")=$C59)
        ),
        5,
        FALSE
    )="",
    "",
    VLOOKUP(
        $A59,
        _xlfn._xlws.FILTER(
            INDIRECT("'"&amp;Q$1&amp;"'!A2:G1000"), (INDIRECT("'"&amp;Q$1&amp;"'!B2:B1000")=$B59) * (INDIRECT("'"&amp;Q$1&amp;"'!C2:C1000")=$C59)
        ),7,
        FALSE
    )
)</f>
        <v/>
      </c>
    </row>
    <row r="60">
      <c r="A60" s="56" t="inlineStr">
        <is>
          <t>Luana</t>
        </is>
      </c>
      <c r="B60" s="50" t="inlineStr">
        <is>
          <t>Marechal Candido Rondon</t>
        </is>
      </c>
      <c r="C60" s="50" t="n">
        <v>2</v>
      </c>
      <c r="D60" s="50">
        <f t="array" ref="D60">IF(
    VLOOKUP(
        $A60,
        _xlfn._xlws.FILTER(
            INDIRECT("'"&amp;D$1&amp;"'!A2:G1000"), (INDIRECT("'"&amp;D$1&amp;"'!B2:B1000")=$B60) * (INDIRECT("'"&amp;D$1&amp;"'!C2:C1000")=$C60)
        ),
        5,
        FALSE
    )="",
    "",
    VLOOKUP(
        $A60,
        _xlfn._xlws.FILTER(
            INDIRECT("'"&amp;D$1&amp;"'!A2:G1000"), (INDIRECT("'"&amp;D$1&amp;"'!B2:B1000")=$B60) * (INDIRECT("'"&amp;D$1&amp;"'!C2:C1000")=$C60)
        ),7,
        FALSE
    )
)</f>
        <v/>
      </c>
      <c r="E60" s="50">
        <f t="array" ref="E60">IF(
    VLOOKUP(
        $A60,
        _xlfn._xlws.FILTER(
            INDIRECT("'"&amp;E$1&amp;"'!A2:G1000"), (INDIRECT("'"&amp;E$1&amp;"'!B2:B1000")=$B60) * (INDIRECT("'"&amp;E$1&amp;"'!C2:C1000")=$C60)
        ),
        5,
        FALSE
    )="",
    "",
    VLOOKUP(
        $A60,
        _xlfn._xlws.FILTER(
            INDIRECT("'"&amp;E$1&amp;"'!A2:G1000"), (INDIRECT("'"&amp;E$1&amp;"'!B2:B1000")=$B60) * (INDIRECT("'"&amp;E$1&amp;"'!C2:C1000")=$C60)
        ),7,
        FALSE
    )
)</f>
        <v/>
      </c>
      <c r="F60" s="50">
        <f t="array" ref="F60">IF(
    VLOOKUP(
        $A60,
        _xlfn._xlws.FILTER(
            INDIRECT("'"&amp;F$1&amp;"'!A2:G1000"), (INDIRECT("'"&amp;F$1&amp;"'!B2:B1000")=$B60) * (INDIRECT("'"&amp;F$1&amp;"'!C2:C1000")=$C60)
        ),
        5,
        FALSE
    )="",
    "",
    VLOOKUP(
        $A60,
        _xlfn._xlws.FILTER(
            INDIRECT("'"&amp;F$1&amp;"'!A2:G1000"), (INDIRECT("'"&amp;F$1&amp;"'!B2:B1000")=$B60) * (INDIRECT("'"&amp;F$1&amp;"'!C2:C1000")=$C60)
        ),7,
        FALSE
    )
)</f>
        <v/>
      </c>
      <c r="G60" s="50">
        <f t="array" ref="G60">IF(
    VLOOKUP(
        $A60,
        _xlfn._xlws.FILTER(
            INDIRECT("'"&amp;G$1&amp;"'!A2:G1000"), (INDIRECT("'"&amp;G$1&amp;"'!B2:B1000")=$B60) * (INDIRECT("'"&amp;G$1&amp;"'!C2:C1000")=$C60)
        ),
        5,
        FALSE
    )="",
    "",
    VLOOKUP(
        $A60,
        _xlfn._xlws.FILTER(
            INDIRECT("'"&amp;G$1&amp;"'!A2:G1000"), (INDIRECT("'"&amp;G$1&amp;"'!B2:B1000")=$B60) * (INDIRECT("'"&amp;G$1&amp;"'!C2:C1000")=$C60)
        ),7,
        FALSE
    )
)</f>
        <v/>
      </c>
      <c r="H60" s="50">
        <f t="array" ref="H60">IF(
    VLOOKUP(
        $A60,
        _xlfn._xlws.FILTER(
            INDIRECT("'"&amp;H$1&amp;"'!A2:G1000"), (INDIRECT("'"&amp;H$1&amp;"'!B2:B1000")=$B60) * (INDIRECT("'"&amp;H$1&amp;"'!C2:C1000")=$C60)
        ),
        5,
        FALSE
    )="",
    "",
    VLOOKUP(
        $A60,
        _xlfn._xlws.FILTER(
            INDIRECT("'"&amp;H$1&amp;"'!A2:G1000"), (INDIRECT("'"&amp;H$1&amp;"'!B2:B1000")=$B60) * (INDIRECT("'"&amp;H$1&amp;"'!C2:C1000")=$C60)
        ),7,
        FALSE
    )
)</f>
        <v/>
      </c>
      <c r="I60" s="50">
        <f t="array" ref="I60">IF(
    VLOOKUP(
        $A60,
        _xlfn._xlws.FILTER(
            INDIRECT("'"&amp;I$1&amp;"'!A2:G1000"), (INDIRECT("'"&amp;I$1&amp;"'!B2:B1000")=$B60) * (INDIRECT("'"&amp;I$1&amp;"'!C2:C1000")=$C60)
        ),
        5,
        FALSE
    )="",
    "",
    VLOOKUP(
        $A60,
        _xlfn._xlws.FILTER(
            INDIRECT("'"&amp;I$1&amp;"'!A2:G1000"), (INDIRECT("'"&amp;I$1&amp;"'!B2:B1000")=$B60) * (INDIRECT("'"&amp;I$1&amp;"'!C2:C1000")=$C60)
        ),7,
        FALSE
    )
)</f>
        <v/>
      </c>
      <c r="J60" s="50">
        <f t="array" ref="J60">IF(
    VLOOKUP(
        $A60,
        _xlfn._xlws.FILTER(
            INDIRECT("'"&amp;J$1&amp;"'!A2:G1000"), (INDIRECT("'"&amp;J$1&amp;"'!B2:B1000")=$B60) * (INDIRECT("'"&amp;J$1&amp;"'!C2:C1000")=$C60)
        ),
        5,
        FALSE
    )="",
    "",
    VLOOKUP(
        $A60,
        _xlfn._xlws.FILTER(
            INDIRECT("'"&amp;J$1&amp;"'!A2:G1000"), (INDIRECT("'"&amp;J$1&amp;"'!B2:B1000")=$B60) * (INDIRECT("'"&amp;J$1&amp;"'!C2:C1000")=$C60)
        ),7,
        FALSE
    )
)</f>
        <v/>
      </c>
      <c r="K60" s="50">
        <f t="array" ref="K60">IF(
    VLOOKUP(
        $A60,
        _xlfn._xlws.FILTER(
            INDIRECT("'"&amp;K$1&amp;"'!A2:G1000"), (INDIRECT("'"&amp;K$1&amp;"'!B2:B1000")=$B60) * (INDIRECT("'"&amp;K$1&amp;"'!C2:C1000")=$C60)
        ),
        5,
        FALSE
    )="",
    "",
    VLOOKUP(
        $A60,
        _xlfn._xlws.FILTER(
            INDIRECT("'"&amp;K$1&amp;"'!A2:G1000"), (INDIRECT("'"&amp;K$1&amp;"'!B2:B1000")=$B60) * (INDIRECT("'"&amp;K$1&amp;"'!C2:C1000")=$C60)
        ),7,
        FALSE
    )
)</f>
        <v/>
      </c>
      <c r="L60" s="50">
        <f t="array" ref="L60">IF(
    VLOOKUP(
        $A60,
        _xlfn._xlws.FILTER(
            INDIRECT("'"&amp;L$1&amp;"'!A2:G1000"), (INDIRECT("'"&amp;L$1&amp;"'!B2:B1000")=$B60) * (INDIRECT("'"&amp;L$1&amp;"'!C2:C1000")=$C60)
        ),
        5,
        FALSE
    )="",
    "",
    VLOOKUP(
        $A60,
        _xlfn._xlws.FILTER(
            INDIRECT("'"&amp;L$1&amp;"'!A2:G1000"), (INDIRECT("'"&amp;L$1&amp;"'!B2:B1000")=$B60) * (INDIRECT("'"&amp;L$1&amp;"'!C2:C1000")=$C60)
        ),7,
        FALSE
    )
)</f>
        <v/>
      </c>
      <c r="M60" s="50">
        <f t="array" ref="M60">IF(
    VLOOKUP(
        $A60,
        _xlfn._xlws.FILTER(
            INDIRECT("'"&amp;M$1&amp;"'!A2:G1000"), (INDIRECT("'"&amp;M$1&amp;"'!B2:B1000")=$B60) * (INDIRECT("'"&amp;M$1&amp;"'!C2:C1000")=$C60)
        ),
        5,
        FALSE
    )="",
    "",
    VLOOKUP(
        $A60,
        _xlfn._xlws.FILTER(
            INDIRECT("'"&amp;M$1&amp;"'!A2:G1000"), (INDIRECT("'"&amp;M$1&amp;"'!B2:B1000")=$B60) * (INDIRECT("'"&amp;M$1&amp;"'!C2:C1000")=$C60)
        ),7,
        FALSE
    )
)</f>
        <v/>
      </c>
      <c r="N60" s="50">
        <f t="array" ref="N60">IF(
    VLOOKUP(
        $A60,
        _xlfn._xlws.FILTER(
            INDIRECT("'"&amp;N$1&amp;"'!A2:G1000"), (INDIRECT("'"&amp;N$1&amp;"'!B2:B1000")=$B60) * (INDIRECT("'"&amp;N$1&amp;"'!C2:C1000")=$C60)
        ),
        5,
        FALSE
    )="",
    "",
    VLOOKUP(
        $A60,
        _xlfn._xlws.FILTER(
            INDIRECT("'"&amp;N$1&amp;"'!A2:G1000"), (INDIRECT("'"&amp;N$1&amp;"'!B2:B1000")=$B60) * (INDIRECT("'"&amp;N$1&amp;"'!C2:C1000")=$C60)
        ),7,
        FALSE
    )
)</f>
        <v/>
      </c>
      <c r="O60" s="50">
        <f t="array" ref="O60">IF(
    VLOOKUP(
        $A60,
        _xlfn._xlws.FILTER(
            INDIRECT("'"&amp;O$1&amp;"'!A2:G1000"), (INDIRECT("'"&amp;O$1&amp;"'!B2:B1000")=$B60) * (INDIRECT("'"&amp;O$1&amp;"'!C2:C1000")=$C60)
        ),
        5,
        FALSE
    )="",
    "",
    VLOOKUP(
        $A60,
        _xlfn._xlws.FILTER(
            INDIRECT("'"&amp;O$1&amp;"'!A2:G1000"), (INDIRECT("'"&amp;O$1&amp;"'!B2:B1000")=$B60) * (INDIRECT("'"&amp;O$1&amp;"'!C2:C1000")=$C60)
        ),7,
        FALSE
    )
)</f>
        <v/>
      </c>
      <c r="P60" s="50">
        <f t="array" ref="P60">IF(
    VLOOKUP(
        $A60,
        _xlfn._xlws.FILTER(
            INDIRECT("'"&amp;P$1&amp;"'!A2:G1000"), (INDIRECT("'"&amp;P$1&amp;"'!B2:B1000")=$B60) * (INDIRECT("'"&amp;P$1&amp;"'!C2:C1000")=$C60)
        ),
        5,
        FALSE
    )="",
    "",
    VLOOKUP(
        $A60,
        _xlfn._xlws.FILTER(
            INDIRECT("'"&amp;P$1&amp;"'!A2:G1000"), (INDIRECT("'"&amp;P$1&amp;"'!B2:B1000")=$B60) * (INDIRECT("'"&amp;P$1&amp;"'!C2:C1000")=$C60)
        ),7,
        FALSE
    )
)</f>
        <v/>
      </c>
      <c r="Q60" s="50">
        <f t="array" ref="Q60">IF(
    VLOOKUP(
        $A60,
        _xlfn._xlws.FILTER(
            INDIRECT("'"&amp;Q$1&amp;"'!A2:G1000"), (INDIRECT("'"&amp;Q$1&amp;"'!B2:B1000")=$B60) * (INDIRECT("'"&amp;Q$1&amp;"'!C2:C1000")=$C60)
        ),
        5,
        FALSE
    )="",
    "",
    VLOOKUP(
        $A60,
        _xlfn._xlws.FILTER(
            INDIRECT("'"&amp;Q$1&amp;"'!A2:G1000"), (INDIRECT("'"&amp;Q$1&amp;"'!B2:B1000")=$B60) * (INDIRECT("'"&amp;Q$1&amp;"'!C2:C1000")=$C60)
        ),7,
        FALSE
    )
)</f>
        <v/>
      </c>
    </row>
    <row r="61">
      <c r="A61" s="56" t="inlineStr">
        <is>
          <t>Luana</t>
        </is>
      </c>
      <c r="B61" s="50" t="inlineStr">
        <is>
          <t>Matelândia</t>
        </is>
      </c>
      <c r="C61" s="50" t="n">
        <v>1</v>
      </c>
      <c r="D61" s="50">
        <f t="array" ref="D61">IF(
    VLOOKUP(
        $A61,
        _xlfn._xlws.FILTER(
            INDIRECT("'"&amp;D$1&amp;"'!A2:G1000"), (INDIRECT("'"&amp;D$1&amp;"'!B2:B1000")=$B61) * (INDIRECT("'"&amp;D$1&amp;"'!C2:C1000")=$C61)
        ),
        5,
        FALSE
    )="",
    "",
    VLOOKUP(
        $A61,
        _xlfn._xlws.FILTER(
            INDIRECT("'"&amp;D$1&amp;"'!A2:G1000"), (INDIRECT("'"&amp;D$1&amp;"'!B2:B1000")=$B61) * (INDIRECT("'"&amp;D$1&amp;"'!C2:C1000")=$C61)
        ),7,
        FALSE
    )
)</f>
        <v/>
      </c>
      <c r="E61" s="50">
        <f t="array" ref="E61">IF(
    VLOOKUP(
        $A61,
        _xlfn._xlws.FILTER(
            INDIRECT("'"&amp;E$1&amp;"'!A2:G1000"), (INDIRECT("'"&amp;E$1&amp;"'!B2:B1000")=$B61) * (INDIRECT("'"&amp;E$1&amp;"'!C2:C1000")=$C61)
        ),
        5,
        FALSE
    )="",
    "",
    VLOOKUP(
        $A61,
        _xlfn._xlws.FILTER(
            INDIRECT("'"&amp;E$1&amp;"'!A2:G1000"), (INDIRECT("'"&amp;E$1&amp;"'!B2:B1000")=$B61) * (INDIRECT("'"&amp;E$1&amp;"'!C2:C1000")=$C61)
        ),7,
        FALSE
    )
)</f>
        <v/>
      </c>
      <c r="F61" s="50">
        <f t="array" ref="F61">IF(
    VLOOKUP(
        $A61,
        _xlfn._xlws.FILTER(
            INDIRECT("'"&amp;F$1&amp;"'!A2:G1000"), (INDIRECT("'"&amp;F$1&amp;"'!B2:B1000")=$B61) * (INDIRECT("'"&amp;F$1&amp;"'!C2:C1000")=$C61)
        ),
        5,
        FALSE
    )="",
    "",
    VLOOKUP(
        $A61,
        _xlfn._xlws.FILTER(
            INDIRECT("'"&amp;F$1&amp;"'!A2:G1000"), (INDIRECT("'"&amp;F$1&amp;"'!B2:B1000")=$B61) * (INDIRECT("'"&amp;F$1&amp;"'!C2:C1000")=$C61)
        ),7,
        FALSE
    )
)</f>
        <v/>
      </c>
      <c r="G61" s="50">
        <f t="array" ref="G61">IF(
    VLOOKUP(
        $A61,
        _xlfn._xlws.FILTER(
            INDIRECT("'"&amp;G$1&amp;"'!A2:G1000"), (INDIRECT("'"&amp;G$1&amp;"'!B2:B1000")=$B61) * (INDIRECT("'"&amp;G$1&amp;"'!C2:C1000")=$C61)
        ),
        5,
        FALSE
    )="",
    "",
    VLOOKUP(
        $A61,
        _xlfn._xlws.FILTER(
            INDIRECT("'"&amp;G$1&amp;"'!A2:G1000"), (INDIRECT("'"&amp;G$1&amp;"'!B2:B1000")=$B61) * (INDIRECT("'"&amp;G$1&amp;"'!C2:C1000")=$C61)
        ),7,
        FALSE
    )
)</f>
        <v/>
      </c>
      <c r="H61" s="50">
        <f t="array" ref="H61">IF(
    VLOOKUP(
        $A61,
        _xlfn._xlws.FILTER(
            INDIRECT("'"&amp;H$1&amp;"'!A2:G1000"), (INDIRECT("'"&amp;H$1&amp;"'!B2:B1000")=$B61) * (INDIRECT("'"&amp;H$1&amp;"'!C2:C1000")=$C61)
        ),
        5,
        FALSE
    )="",
    "",
    VLOOKUP(
        $A61,
        _xlfn._xlws.FILTER(
            INDIRECT("'"&amp;H$1&amp;"'!A2:G1000"), (INDIRECT("'"&amp;H$1&amp;"'!B2:B1000")=$B61) * (INDIRECT("'"&amp;H$1&amp;"'!C2:C1000")=$C61)
        ),7,
        FALSE
    )
)</f>
        <v/>
      </c>
      <c r="I61" s="50">
        <f t="array" ref="I61">IF(
    VLOOKUP(
        $A61,
        _xlfn._xlws.FILTER(
            INDIRECT("'"&amp;I$1&amp;"'!A2:G1000"), (INDIRECT("'"&amp;I$1&amp;"'!B2:B1000")=$B61) * (INDIRECT("'"&amp;I$1&amp;"'!C2:C1000")=$C61)
        ),
        5,
        FALSE
    )="",
    "",
    VLOOKUP(
        $A61,
        _xlfn._xlws.FILTER(
            INDIRECT("'"&amp;I$1&amp;"'!A2:G1000"), (INDIRECT("'"&amp;I$1&amp;"'!B2:B1000")=$B61) * (INDIRECT("'"&amp;I$1&amp;"'!C2:C1000")=$C61)
        ),7,
        FALSE
    )
)</f>
        <v/>
      </c>
      <c r="J61" s="50">
        <f t="array" ref="J61">IF(
    VLOOKUP(
        $A61,
        _xlfn._xlws.FILTER(
            INDIRECT("'"&amp;J$1&amp;"'!A2:G1000"), (INDIRECT("'"&amp;J$1&amp;"'!B2:B1000")=$B61) * (INDIRECT("'"&amp;J$1&amp;"'!C2:C1000")=$C61)
        ),
        5,
        FALSE
    )="",
    "",
    VLOOKUP(
        $A61,
        _xlfn._xlws.FILTER(
            INDIRECT("'"&amp;J$1&amp;"'!A2:G1000"), (INDIRECT("'"&amp;J$1&amp;"'!B2:B1000")=$B61) * (INDIRECT("'"&amp;J$1&amp;"'!C2:C1000")=$C61)
        ),7,
        FALSE
    )
)</f>
        <v/>
      </c>
      <c r="K61" s="50">
        <f t="array" ref="K61">IF(
    VLOOKUP(
        $A61,
        _xlfn._xlws.FILTER(
            INDIRECT("'"&amp;K$1&amp;"'!A2:G1000"), (INDIRECT("'"&amp;K$1&amp;"'!B2:B1000")=$B61) * (INDIRECT("'"&amp;K$1&amp;"'!C2:C1000")=$C61)
        ),
        5,
        FALSE
    )="",
    "",
    VLOOKUP(
        $A61,
        _xlfn._xlws.FILTER(
            INDIRECT("'"&amp;K$1&amp;"'!A2:G1000"), (INDIRECT("'"&amp;K$1&amp;"'!B2:B1000")=$B61) * (INDIRECT("'"&amp;K$1&amp;"'!C2:C1000")=$C61)
        ),7,
        FALSE
    )
)</f>
        <v/>
      </c>
      <c r="L61" s="50">
        <f t="array" ref="L61">IF(
    VLOOKUP(
        $A61,
        _xlfn._xlws.FILTER(
            INDIRECT("'"&amp;L$1&amp;"'!A2:G1000"), (INDIRECT("'"&amp;L$1&amp;"'!B2:B1000")=$B61) * (INDIRECT("'"&amp;L$1&amp;"'!C2:C1000")=$C61)
        ),
        5,
        FALSE
    )="",
    "",
    VLOOKUP(
        $A61,
        _xlfn._xlws.FILTER(
            INDIRECT("'"&amp;L$1&amp;"'!A2:G1000"), (INDIRECT("'"&amp;L$1&amp;"'!B2:B1000")=$B61) * (INDIRECT("'"&amp;L$1&amp;"'!C2:C1000")=$C61)
        ),7,
        FALSE
    )
)</f>
        <v/>
      </c>
      <c r="M61" s="50">
        <f t="array" ref="M61">IF(
    VLOOKUP(
        $A61,
        _xlfn._xlws.FILTER(
            INDIRECT("'"&amp;M$1&amp;"'!A2:G1000"), (INDIRECT("'"&amp;M$1&amp;"'!B2:B1000")=$B61) * (INDIRECT("'"&amp;M$1&amp;"'!C2:C1000")=$C61)
        ),
        5,
        FALSE
    )="",
    "",
    VLOOKUP(
        $A61,
        _xlfn._xlws.FILTER(
            INDIRECT("'"&amp;M$1&amp;"'!A2:G1000"), (INDIRECT("'"&amp;M$1&amp;"'!B2:B1000")=$B61) * (INDIRECT("'"&amp;M$1&amp;"'!C2:C1000")=$C61)
        ),7,
        FALSE
    )
)</f>
        <v/>
      </c>
      <c r="N61" s="50">
        <f t="array" ref="N61">IF(
    VLOOKUP(
        $A61,
        _xlfn._xlws.FILTER(
            INDIRECT("'"&amp;N$1&amp;"'!A2:G1000"), (INDIRECT("'"&amp;N$1&amp;"'!B2:B1000")=$B61) * (INDIRECT("'"&amp;N$1&amp;"'!C2:C1000")=$C61)
        ),
        5,
        FALSE
    )="",
    "",
    VLOOKUP(
        $A61,
        _xlfn._xlws.FILTER(
            INDIRECT("'"&amp;N$1&amp;"'!A2:G1000"), (INDIRECT("'"&amp;N$1&amp;"'!B2:B1000")=$B61) * (INDIRECT("'"&amp;N$1&amp;"'!C2:C1000")=$C61)
        ),7,
        FALSE
    )
)</f>
        <v/>
      </c>
      <c r="O61" s="50">
        <f t="array" ref="O61">IF(
    VLOOKUP(
        $A61,
        _xlfn._xlws.FILTER(
            INDIRECT("'"&amp;O$1&amp;"'!A2:G1000"), (INDIRECT("'"&amp;O$1&amp;"'!B2:B1000")=$B61) * (INDIRECT("'"&amp;O$1&amp;"'!C2:C1000")=$C61)
        ),
        5,
        FALSE
    )="",
    "",
    VLOOKUP(
        $A61,
        _xlfn._xlws.FILTER(
            INDIRECT("'"&amp;O$1&amp;"'!A2:G1000"), (INDIRECT("'"&amp;O$1&amp;"'!B2:B1000")=$B61) * (INDIRECT("'"&amp;O$1&amp;"'!C2:C1000")=$C61)
        ),7,
        FALSE
    )
)</f>
        <v/>
      </c>
      <c r="P61" s="50">
        <f t="array" ref="P61">IF(
    VLOOKUP(
        $A61,
        _xlfn._xlws.FILTER(
            INDIRECT("'"&amp;P$1&amp;"'!A2:G1000"), (INDIRECT("'"&amp;P$1&amp;"'!B2:B1000")=$B61) * (INDIRECT("'"&amp;P$1&amp;"'!C2:C1000")=$C61)
        ),
        5,
        FALSE
    )="",
    "",
    VLOOKUP(
        $A61,
        _xlfn._xlws.FILTER(
            INDIRECT("'"&amp;P$1&amp;"'!A2:G1000"), (INDIRECT("'"&amp;P$1&amp;"'!B2:B1000")=$B61) * (INDIRECT("'"&amp;P$1&amp;"'!C2:C1000")=$C61)
        ),7,
        FALSE
    )
)</f>
        <v/>
      </c>
      <c r="Q61" s="50">
        <f t="array" ref="Q61">IF(
    VLOOKUP(
        $A61,
        _xlfn._xlws.FILTER(
            INDIRECT("'"&amp;Q$1&amp;"'!A2:G1000"), (INDIRECT("'"&amp;Q$1&amp;"'!B2:B1000")=$B61) * (INDIRECT("'"&amp;Q$1&amp;"'!C2:C1000")=$C61)
        ),
        5,
        FALSE
    )="",
    "",
    VLOOKUP(
        $A61,
        _xlfn._xlws.FILTER(
            INDIRECT("'"&amp;Q$1&amp;"'!A2:G1000"), (INDIRECT("'"&amp;Q$1&amp;"'!B2:B1000")=$B61) * (INDIRECT("'"&amp;Q$1&amp;"'!C2:C1000")=$C61)
        ),7,
        FALSE
    )
)</f>
        <v/>
      </c>
    </row>
    <row r="62">
      <c r="A62" s="56" t="inlineStr">
        <is>
          <t>Luana</t>
        </is>
      </c>
      <c r="B62" s="50" t="inlineStr">
        <is>
          <t>Missal</t>
        </is>
      </c>
      <c r="C62" s="50" t="n">
        <v>1</v>
      </c>
      <c r="D62" s="50">
        <f t="array" ref="D62">IF(
    VLOOKUP(
        $A62,
        _xlfn._xlws.FILTER(
            INDIRECT("'"&amp;D$1&amp;"'!A2:G1000"), (INDIRECT("'"&amp;D$1&amp;"'!B2:B1000")=$B62) * (INDIRECT("'"&amp;D$1&amp;"'!C2:C1000")=$C62)
        ),
        5,
        FALSE
    )="",
    "",
    VLOOKUP(
        $A62,
        _xlfn._xlws.FILTER(
            INDIRECT("'"&amp;D$1&amp;"'!A2:G1000"), (INDIRECT("'"&amp;D$1&amp;"'!B2:B1000")=$B62) * (INDIRECT("'"&amp;D$1&amp;"'!C2:C1000")=$C62)
        ),7,
        FALSE
    )
)</f>
        <v/>
      </c>
      <c r="E62" s="50">
        <f t="array" ref="E62">IF(
    VLOOKUP(
        $A62,
        _xlfn._xlws.FILTER(
            INDIRECT("'"&amp;E$1&amp;"'!A2:G1000"), (INDIRECT("'"&amp;E$1&amp;"'!B2:B1000")=$B62) * (INDIRECT("'"&amp;E$1&amp;"'!C2:C1000")=$C62)
        ),
        5,
        FALSE
    )="",
    "",
    VLOOKUP(
        $A62,
        _xlfn._xlws.FILTER(
            INDIRECT("'"&amp;E$1&amp;"'!A2:G1000"), (INDIRECT("'"&amp;E$1&amp;"'!B2:B1000")=$B62) * (INDIRECT("'"&amp;E$1&amp;"'!C2:C1000")=$C62)
        ),7,
        FALSE
    )
)</f>
        <v/>
      </c>
      <c r="F62" s="50">
        <f t="array" ref="F62">IF(
    VLOOKUP(
        $A62,
        _xlfn._xlws.FILTER(
            INDIRECT("'"&amp;F$1&amp;"'!A2:G1000"), (INDIRECT("'"&amp;F$1&amp;"'!B2:B1000")=$B62) * (INDIRECT("'"&amp;F$1&amp;"'!C2:C1000")=$C62)
        ),
        5,
        FALSE
    )="",
    "",
    VLOOKUP(
        $A62,
        _xlfn._xlws.FILTER(
            INDIRECT("'"&amp;F$1&amp;"'!A2:G1000"), (INDIRECT("'"&amp;F$1&amp;"'!B2:B1000")=$B62) * (INDIRECT("'"&amp;F$1&amp;"'!C2:C1000")=$C62)
        ),7,
        FALSE
    )
)</f>
        <v/>
      </c>
      <c r="G62" s="50">
        <f t="array" ref="G62">IF(
    VLOOKUP(
        $A62,
        _xlfn._xlws.FILTER(
            INDIRECT("'"&amp;G$1&amp;"'!A2:G1000"), (INDIRECT("'"&amp;G$1&amp;"'!B2:B1000")=$B62) * (INDIRECT("'"&amp;G$1&amp;"'!C2:C1000")=$C62)
        ),
        5,
        FALSE
    )="",
    "",
    VLOOKUP(
        $A62,
        _xlfn._xlws.FILTER(
            INDIRECT("'"&amp;G$1&amp;"'!A2:G1000"), (INDIRECT("'"&amp;G$1&amp;"'!B2:B1000")=$B62) * (INDIRECT("'"&amp;G$1&amp;"'!C2:C1000")=$C62)
        ),7,
        FALSE
    )
)</f>
        <v/>
      </c>
      <c r="H62" s="50">
        <f t="array" ref="H62">IF(
    VLOOKUP(
        $A62,
        _xlfn._xlws.FILTER(
            INDIRECT("'"&amp;H$1&amp;"'!A2:G1000"), (INDIRECT("'"&amp;H$1&amp;"'!B2:B1000")=$B62) * (INDIRECT("'"&amp;H$1&amp;"'!C2:C1000")=$C62)
        ),
        5,
        FALSE
    )="",
    "",
    VLOOKUP(
        $A62,
        _xlfn._xlws.FILTER(
            INDIRECT("'"&amp;H$1&amp;"'!A2:G1000"), (INDIRECT("'"&amp;H$1&amp;"'!B2:B1000")=$B62) * (INDIRECT("'"&amp;H$1&amp;"'!C2:C1000")=$C62)
        ),7,
        FALSE
    )
)</f>
        <v/>
      </c>
      <c r="I62" s="50">
        <f t="array" ref="I62">IF(
    VLOOKUP(
        $A62,
        _xlfn._xlws.FILTER(
            INDIRECT("'"&amp;I$1&amp;"'!A2:G1000"), (INDIRECT("'"&amp;I$1&amp;"'!B2:B1000")=$B62) * (INDIRECT("'"&amp;I$1&amp;"'!C2:C1000")=$C62)
        ),
        5,
        FALSE
    )="",
    "",
    VLOOKUP(
        $A62,
        _xlfn._xlws.FILTER(
            INDIRECT("'"&amp;I$1&amp;"'!A2:G1000"), (INDIRECT("'"&amp;I$1&amp;"'!B2:B1000")=$B62) * (INDIRECT("'"&amp;I$1&amp;"'!C2:C1000")=$C62)
        ),7,
        FALSE
    )
)</f>
        <v/>
      </c>
      <c r="J62" s="50">
        <f t="array" ref="J62">IF(
    VLOOKUP(
        $A62,
        _xlfn._xlws.FILTER(
            INDIRECT("'"&amp;J$1&amp;"'!A2:G1000"), (INDIRECT("'"&amp;J$1&amp;"'!B2:B1000")=$B62) * (INDIRECT("'"&amp;J$1&amp;"'!C2:C1000")=$C62)
        ),
        5,
        FALSE
    )="",
    "",
    VLOOKUP(
        $A62,
        _xlfn._xlws.FILTER(
            INDIRECT("'"&amp;J$1&amp;"'!A2:G1000"), (INDIRECT("'"&amp;J$1&amp;"'!B2:B1000")=$B62) * (INDIRECT("'"&amp;J$1&amp;"'!C2:C1000")=$C62)
        ),7,
        FALSE
    )
)</f>
        <v/>
      </c>
      <c r="K62" s="50">
        <f t="array" ref="K62">IF(
    VLOOKUP(
        $A62,
        _xlfn._xlws.FILTER(
            INDIRECT("'"&amp;K$1&amp;"'!A2:G1000"), (INDIRECT("'"&amp;K$1&amp;"'!B2:B1000")=$B62) * (INDIRECT("'"&amp;K$1&amp;"'!C2:C1000")=$C62)
        ),
        5,
        FALSE
    )="",
    "",
    VLOOKUP(
        $A62,
        _xlfn._xlws.FILTER(
            INDIRECT("'"&amp;K$1&amp;"'!A2:G1000"), (INDIRECT("'"&amp;K$1&amp;"'!B2:B1000")=$B62) * (INDIRECT("'"&amp;K$1&amp;"'!C2:C1000")=$C62)
        ),7,
        FALSE
    )
)</f>
        <v/>
      </c>
      <c r="L62" s="50">
        <f t="array" ref="L62">IF(
    VLOOKUP(
        $A62,
        _xlfn._xlws.FILTER(
            INDIRECT("'"&amp;L$1&amp;"'!A2:G1000"), (INDIRECT("'"&amp;L$1&amp;"'!B2:B1000")=$B62) * (INDIRECT("'"&amp;L$1&amp;"'!C2:C1000")=$C62)
        ),
        5,
        FALSE
    )="",
    "",
    VLOOKUP(
        $A62,
        _xlfn._xlws.FILTER(
            INDIRECT("'"&amp;L$1&amp;"'!A2:G1000"), (INDIRECT("'"&amp;L$1&amp;"'!B2:B1000")=$B62) * (INDIRECT("'"&amp;L$1&amp;"'!C2:C1000")=$C62)
        ),7,
        FALSE
    )
)</f>
        <v/>
      </c>
      <c r="M62" s="50">
        <f t="array" ref="M62">IF(
    VLOOKUP(
        $A62,
        _xlfn._xlws.FILTER(
            INDIRECT("'"&amp;M$1&amp;"'!A2:G1000"), (INDIRECT("'"&amp;M$1&amp;"'!B2:B1000")=$B62) * (INDIRECT("'"&amp;M$1&amp;"'!C2:C1000")=$C62)
        ),
        5,
        FALSE
    )="",
    "",
    VLOOKUP(
        $A62,
        _xlfn._xlws.FILTER(
            INDIRECT("'"&amp;M$1&amp;"'!A2:G1000"), (INDIRECT("'"&amp;M$1&amp;"'!B2:B1000")=$B62) * (INDIRECT("'"&amp;M$1&amp;"'!C2:C1000")=$C62)
        ),7,
        FALSE
    )
)</f>
        <v/>
      </c>
      <c r="N62" s="50">
        <f t="array" ref="N62">IF(
    VLOOKUP(
        $A62,
        _xlfn._xlws.FILTER(
            INDIRECT("'"&amp;N$1&amp;"'!A2:G1000"), (INDIRECT("'"&amp;N$1&amp;"'!B2:B1000")=$B62) * (INDIRECT("'"&amp;N$1&amp;"'!C2:C1000")=$C62)
        ),
        5,
        FALSE
    )="",
    "",
    VLOOKUP(
        $A62,
        _xlfn._xlws.FILTER(
            INDIRECT("'"&amp;N$1&amp;"'!A2:G1000"), (INDIRECT("'"&amp;N$1&amp;"'!B2:B1000")=$B62) * (INDIRECT("'"&amp;N$1&amp;"'!C2:C1000")=$C62)
        ),7,
        FALSE
    )
)</f>
        <v/>
      </c>
      <c r="O62" s="50">
        <f t="array" ref="O62">IF(
    VLOOKUP(
        $A62,
        _xlfn._xlws.FILTER(
            INDIRECT("'"&amp;O$1&amp;"'!A2:G1000"), (INDIRECT("'"&amp;O$1&amp;"'!B2:B1000")=$B62) * (INDIRECT("'"&amp;O$1&amp;"'!C2:C1000")=$C62)
        ),
        5,
        FALSE
    )="",
    "",
    VLOOKUP(
        $A62,
        _xlfn._xlws.FILTER(
            INDIRECT("'"&amp;O$1&amp;"'!A2:G1000"), (INDIRECT("'"&amp;O$1&amp;"'!B2:B1000")=$B62) * (INDIRECT("'"&amp;O$1&amp;"'!C2:C1000")=$C62)
        ),7,
        FALSE
    )
)</f>
        <v/>
      </c>
      <c r="P62" s="50">
        <f t="array" ref="P62">IF(
    VLOOKUP(
        $A62,
        _xlfn._xlws.FILTER(
            INDIRECT("'"&amp;P$1&amp;"'!A2:G1000"), (INDIRECT("'"&amp;P$1&amp;"'!B2:B1000")=$B62) * (INDIRECT("'"&amp;P$1&amp;"'!C2:C1000")=$C62)
        ),
        5,
        FALSE
    )="",
    "",
    VLOOKUP(
        $A62,
        _xlfn._xlws.FILTER(
            INDIRECT("'"&amp;P$1&amp;"'!A2:G1000"), (INDIRECT("'"&amp;P$1&amp;"'!B2:B1000")=$B62) * (INDIRECT("'"&amp;P$1&amp;"'!C2:C1000")=$C62)
        ),7,
        FALSE
    )
)</f>
        <v/>
      </c>
      <c r="Q62" s="50">
        <f t="array" ref="Q62">IF(
    VLOOKUP(
        $A62,
        _xlfn._xlws.FILTER(
            INDIRECT("'"&amp;Q$1&amp;"'!A2:G1000"), (INDIRECT("'"&amp;Q$1&amp;"'!B2:B1000")=$B62) * (INDIRECT("'"&amp;Q$1&amp;"'!C2:C1000")=$C62)
        ),
        5,
        FALSE
    )="",
    "",
    VLOOKUP(
        $A62,
        _xlfn._xlws.FILTER(
            INDIRECT("'"&amp;Q$1&amp;"'!A2:G1000"), (INDIRECT("'"&amp;Q$1&amp;"'!B2:B1000")=$B62) * (INDIRECT("'"&amp;Q$1&amp;"'!C2:C1000")=$C62)
        ),7,
        FALSE
    )
)</f>
        <v/>
      </c>
    </row>
    <row r="63">
      <c r="A63" s="56" t="inlineStr">
        <is>
          <t>Luana</t>
        </is>
      </c>
      <c r="B63" s="50" t="inlineStr">
        <is>
          <t>Pato Bragado</t>
        </is>
      </c>
      <c r="C63" s="50" t="n">
        <v>1</v>
      </c>
      <c r="D63" s="50">
        <f t="array" ref="D63">IF(
    VLOOKUP(
        $A63,
        _xlfn._xlws.FILTER(
            INDIRECT("'"&amp;D$1&amp;"'!A2:G1000"), (INDIRECT("'"&amp;D$1&amp;"'!B2:B1000")=$B63) * (INDIRECT("'"&amp;D$1&amp;"'!C2:C1000")=$C63)
        ),
        5,
        FALSE
    )="",
    "",
    VLOOKUP(
        $A63,
        _xlfn._xlws.FILTER(
            INDIRECT("'"&amp;D$1&amp;"'!A2:G1000"), (INDIRECT("'"&amp;D$1&amp;"'!B2:B1000")=$B63) * (INDIRECT("'"&amp;D$1&amp;"'!C2:C1000")=$C63)
        ),7,
        FALSE
    )
)</f>
        <v/>
      </c>
      <c r="E63" s="50">
        <f t="array" ref="E63">IF(
    VLOOKUP(
        $A63,
        _xlfn._xlws.FILTER(
            INDIRECT("'"&amp;E$1&amp;"'!A2:G1000"), (INDIRECT("'"&amp;E$1&amp;"'!B2:B1000")=$B63) * (INDIRECT("'"&amp;E$1&amp;"'!C2:C1000")=$C63)
        ),
        5,
        FALSE
    )="",
    "",
    VLOOKUP(
        $A63,
        _xlfn._xlws.FILTER(
            INDIRECT("'"&amp;E$1&amp;"'!A2:G1000"), (INDIRECT("'"&amp;E$1&amp;"'!B2:B1000")=$B63) * (INDIRECT("'"&amp;E$1&amp;"'!C2:C1000")=$C63)
        ),7,
        FALSE
    )
)</f>
        <v/>
      </c>
      <c r="F63" s="50">
        <f t="array" ref="F63">IF(
    VLOOKUP(
        $A63,
        _xlfn._xlws.FILTER(
            INDIRECT("'"&amp;F$1&amp;"'!A2:G1000"), (INDIRECT("'"&amp;F$1&amp;"'!B2:B1000")=$B63) * (INDIRECT("'"&amp;F$1&amp;"'!C2:C1000")=$C63)
        ),
        5,
        FALSE
    )="",
    "",
    VLOOKUP(
        $A63,
        _xlfn._xlws.FILTER(
            INDIRECT("'"&amp;F$1&amp;"'!A2:G1000"), (INDIRECT("'"&amp;F$1&amp;"'!B2:B1000")=$B63) * (INDIRECT("'"&amp;F$1&amp;"'!C2:C1000")=$C63)
        ),7,
        FALSE
    )
)</f>
        <v/>
      </c>
      <c r="G63" s="50">
        <f t="array" ref="G63">IF(
    VLOOKUP(
        $A63,
        _xlfn._xlws.FILTER(
            INDIRECT("'"&amp;G$1&amp;"'!A2:G1000"), (INDIRECT("'"&amp;G$1&amp;"'!B2:B1000")=$B63) * (INDIRECT("'"&amp;G$1&amp;"'!C2:C1000")=$C63)
        ),
        5,
        FALSE
    )="",
    "",
    VLOOKUP(
        $A63,
        _xlfn._xlws.FILTER(
            INDIRECT("'"&amp;G$1&amp;"'!A2:G1000"), (INDIRECT("'"&amp;G$1&amp;"'!B2:B1000")=$B63) * (INDIRECT("'"&amp;G$1&amp;"'!C2:C1000")=$C63)
        ),7,
        FALSE
    )
)</f>
        <v/>
      </c>
      <c r="H63" s="50">
        <f t="array" ref="H63">IF(
    VLOOKUP(
        $A63,
        _xlfn._xlws.FILTER(
            INDIRECT("'"&amp;H$1&amp;"'!A2:G1000"), (INDIRECT("'"&amp;H$1&amp;"'!B2:B1000")=$B63) * (INDIRECT("'"&amp;H$1&amp;"'!C2:C1000")=$C63)
        ),
        5,
        FALSE
    )="",
    "",
    VLOOKUP(
        $A63,
        _xlfn._xlws.FILTER(
            INDIRECT("'"&amp;H$1&amp;"'!A2:G1000"), (INDIRECT("'"&amp;H$1&amp;"'!B2:B1000")=$B63) * (INDIRECT("'"&amp;H$1&amp;"'!C2:C1000")=$C63)
        ),7,
        FALSE
    )
)</f>
        <v/>
      </c>
      <c r="I63" s="50">
        <f t="array" ref="I63">IF(
    VLOOKUP(
        $A63,
        _xlfn._xlws.FILTER(
            INDIRECT("'"&amp;I$1&amp;"'!A2:G1000"), (INDIRECT("'"&amp;I$1&amp;"'!B2:B1000")=$B63) * (INDIRECT("'"&amp;I$1&amp;"'!C2:C1000")=$C63)
        ),
        5,
        FALSE
    )="",
    "",
    VLOOKUP(
        $A63,
        _xlfn._xlws.FILTER(
            INDIRECT("'"&amp;I$1&amp;"'!A2:G1000"), (INDIRECT("'"&amp;I$1&amp;"'!B2:B1000")=$B63) * (INDIRECT("'"&amp;I$1&amp;"'!C2:C1000")=$C63)
        ),7,
        FALSE
    )
)</f>
        <v/>
      </c>
      <c r="J63" s="50">
        <f t="array" ref="J63">IF(
    VLOOKUP(
        $A63,
        _xlfn._xlws.FILTER(
            INDIRECT("'"&amp;J$1&amp;"'!A2:G1000"), (INDIRECT("'"&amp;J$1&amp;"'!B2:B1000")=$B63) * (INDIRECT("'"&amp;J$1&amp;"'!C2:C1000")=$C63)
        ),
        5,
        FALSE
    )="",
    "",
    VLOOKUP(
        $A63,
        _xlfn._xlws.FILTER(
            INDIRECT("'"&amp;J$1&amp;"'!A2:G1000"), (INDIRECT("'"&amp;J$1&amp;"'!B2:B1000")=$B63) * (INDIRECT("'"&amp;J$1&amp;"'!C2:C1000")=$C63)
        ),7,
        FALSE
    )
)</f>
        <v/>
      </c>
      <c r="K63" s="50">
        <f t="array" ref="K63">IF(
    VLOOKUP(
        $A63,
        _xlfn._xlws.FILTER(
            INDIRECT("'"&amp;K$1&amp;"'!A2:G1000"), (INDIRECT("'"&amp;K$1&amp;"'!B2:B1000")=$B63) * (INDIRECT("'"&amp;K$1&amp;"'!C2:C1000")=$C63)
        ),
        5,
        FALSE
    )="",
    "",
    VLOOKUP(
        $A63,
        _xlfn._xlws.FILTER(
            INDIRECT("'"&amp;K$1&amp;"'!A2:G1000"), (INDIRECT("'"&amp;K$1&amp;"'!B2:B1000")=$B63) * (INDIRECT("'"&amp;K$1&amp;"'!C2:C1000")=$C63)
        ),7,
        FALSE
    )
)</f>
        <v/>
      </c>
      <c r="L63" s="50">
        <f t="array" ref="L63">IF(
    VLOOKUP(
        $A63,
        _xlfn._xlws.FILTER(
            INDIRECT("'"&amp;L$1&amp;"'!A2:G1000"), (INDIRECT("'"&amp;L$1&amp;"'!B2:B1000")=$B63) * (INDIRECT("'"&amp;L$1&amp;"'!C2:C1000")=$C63)
        ),
        5,
        FALSE
    )="",
    "",
    VLOOKUP(
        $A63,
        _xlfn._xlws.FILTER(
            INDIRECT("'"&amp;L$1&amp;"'!A2:G1000"), (INDIRECT("'"&amp;L$1&amp;"'!B2:B1000")=$B63) * (INDIRECT("'"&amp;L$1&amp;"'!C2:C1000")=$C63)
        ),7,
        FALSE
    )
)</f>
        <v/>
      </c>
      <c r="M63" s="50">
        <f t="array" ref="M63">IF(
    VLOOKUP(
        $A63,
        _xlfn._xlws.FILTER(
            INDIRECT("'"&amp;M$1&amp;"'!A2:G1000"), (INDIRECT("'"&amp;M$1&amp;"'!B2:B1000")=$B63) * (INDIRECT("'"&amp;M$1&amp;"'!C2:C1000")=$C63)
        ),
        5,
        FALSE
    )="",
    "",
    VLOOKUP(
        $A63,
        _xlfn._xlws.FILTER(
            INDIRECT("'"&amp;M$1&amp;"'!A2:G1000"), (INDIRECT("'"&amp;M$1&amp;"'!B2:B1000")=$B63) * (INDIRECT("'"&amp;M$1&amp;"'!C2:C1000")=$C63)
        ),7,
        FALSE
    )
)</f>
        <v/>
      </c>
      <c r="N63" s="50">
        <f t="array" ref="N63">IF(
    VLOOKUP(
        $A63,
        _xlfn._xlws.FILTER(
            INDIRECT("'"&amp;N$1&amp;"'!A2:G1000"), (INDIRECT("'"&amp;N$1&amp;"'!B2:B1000")=$B63) * (INDIRECT("'"&amp;N$1&amp;"'!C2:C1000")=$C63)
        ),
        5,
        FALSE
    )="",
    "",
    VLOOKUP(
        $A63,
        _xlfn._xlws.FILTER(
            INDIRECT("'"&amp;N$1&amp;"'!A2:G1000"), (INDIRECT("'"&amp;N$1&amp;"'!B2:B1000")=$B63) * (INDIRECT("'"&amp;N$1&amp;"'!C2:C1000")=$C63)
        ),7,
        FALSE
    )
)</f>
        <v/>
      </c>
      <c r="O63" s="50">
        <f t="array" ref="O63">IF(
    VLOOKUP(
        $A63,
        _xlfn._xlws.FILTER(
            INDIRECT("'"&amp;O$1&amp;"'!A2:G1000"), (INDIRECT("'"&amp;O$1&amp;"'!B2:B1000")=$B63) * (INDIRECT("'"&amp;O$1&amp;"'!C2:C1000")=$C63)
        ),
        5,
        FALSE
    )="",
    "",
    VLOOKUP(
        $A63,
        _xlfn._xlws.FILTER(
            INDIRECT("'"&amp;O$1&amp;"'!A2:G1000"), (INDIRECT("'"&amp;O$1&amp;"'!B2:B1000")=$B63) * (INDIRECT("'"&amp;O$1&amp;"'!C2:C1000")=$C63)
        ),7,
        FALSE
    )
)</f>
        <v/>
      </c>
      <c r="P63" s="50">
        <f t="array" ref="P63">IF(
    VLOOKUP(
        $A63,
        _xlfn._xlws.FILTER(
            INDIRECT("'"&amp;P$1&amp;"'!A2:G1000"), (INDIRECT("'"&amp;P$1&amp;"'!B2:B1000")=$B63) * (INDIRECT("'"&amp;P$1&amp;"'!C2:C1000")=$C63)
        ),
        5,
        FALSE
    )="",
    "",
    VLOOKUP(
        $A63,
        _xlfn._xlws.FILTER(
            INDIRECT("'"&amp;P$1&amp;"'!A2:G1000"), (INDIRECT("'"&amp;P$1&amp;"'!B2:B1000")=$B63) * (INDIRECT("'"&amp;P$1&amp;"'!C2:C1000")=$C63)
        ),7,
        FALSE
    )
)</f>
        <v/>
      </c>
      <c r="Q63" s="50">
        <f t="array" ref="Q63">IF(
    VLOOKUP(
        $A63,
        _xlfn._xlws.FILTER(
            INDIRECT("'"&amp;Q$1&amp;"'!A2:G1000"), (INDIRECT("'"&amp;Q$1&amp;"'!B2:B1000")=$B63) * (INDIRECT("'"&amp;Q$1&amp;"'!C2:C1000")=$C63)
        ),
        5,
        FALSE
    )="",
    "",
    VLOOKUP(
        $A63,
        _xlfn._xlws.FILTER(
            INDIRECT("'"&amp;Q$1&amp;"'!A2:G1000"), (INDIRECT("'"&amp;Q$1&amp;"'!B2:B1000")=$B63) * (INDIRECT("'"&amp;Q$1&amp;"'!C2:C1000")=$C63)
        ),7,
        FALSE
    )
)</f>
        <v/>
      </c>
    </row>
    <row r="64">
      <c r="A64" s="56" t="inlineStr">
        <is>
          <t>Luana</t>
        </is>
      </c>
      <c r="B64" s="50" t="inlineStr">
        <is>
          <t>Ramilândia</t>
        </is>
      </c>
      <c r="C64" s="50" t="n">
        <v>1</v>
      </c>
      <c r="D64" s="50">
        <f t="array" ref="D64">IF(
    VLOOKUP(
        $A64,
        _xlfn._xlws.FILTER(
            INDIRECT("'"&amp;D$1&amp;"'!A2:G1000"), (INDIRECT("'"&amp;D$1&amp;"'!B2:B1000")=$B64) * (INDIRECT("'"&amp;D$1&amp;"'!C2:C1000")=$C64)
        ),
        5,
        FALSE
    )="",
    "",
    VLOOKUP(
        $A64,
        _xlfn._xlws.FILTER(
            INDIRECT("'"&amp;D$1&amp;"'!A2:G1000"), (INDIRECT("'"&amp;D$1&amp;"'!B2:B1000")=$B64) * (INDIRECT("'"&amp;D$1&amp;"'!C2:C1000")=$C64)
        ),7,
        FALSE
    )
)</f>
        <v/>
      </c>
      <c r="E64" s="50">
        <f t="array" ref="E64">IF(
    VLOOKUP(
        $A64,
        _xlfn._xlws.FILTER(
            INDIRECT("'"&amp;E$1&amp;"'!A2:G1000"), (INDIRECT("'"&amp;E$1&amp;"'!B2:B1000")=$B64) * (INDIRECT("'"&amp;E$1&amp;"'!C2:C1000")=$C64)
        ),
        5,
        FALSE
    )="",
    "",
    VLOOKUP(
        $A64,
        _xlfn._xlws.FILTER(
            INDIRECT("'"&amp;E$1&amp;"'!A2:G1000"), (INDIRECT("'"&amp;E$1&amp;"'!B2:B1000")=$B64) * (INDIRECT("'"&amp;E$1&amp;"'!C2:C1000")=$C64)
        ),7,
        FALSE
    )
)</f>
        <v/>
      </c>
      <c r="F64" s="50">
        <f t="array" ref="F64">IF(
    VLOOKUP(
        $A64,
        _xlfn._xlws.FILTER(
            INDIRECT("'"&amp;F$1&amp;"'!A2:G1000"), (INDIRECT("'"&amp;F$1&amp;"'!B2:B1000")=$B64) * (INDIRECT("'"&amp;F$1&amp;"'!C2:C1000")=$C64)
        ),
        5,
        FALSE
    )="",
    "",
    VLOOKUP(
        $A64,
        _xlfn._xlws.FILTER(
            INDIRECT("'"&amp;F$1&amp;"'!A2:G1000"), (INDIRECT("'"&amp;F$1&amp;"'!B2:B1000")=$B64) * (INDIRECT("'"&amp;F$1&amp;"'!C2:C1000")=$C64)
        ),7,
        FALSE
    )
)</f>
        <v/>
      </c>
      <c r="G64" s="50">
        <f t="array" ref="G64">IF(
    VLOOKUP(
        $A64,
        _xlfn._xlws.FILTER(
            INDIRECT("'"&amp;G$1&amp;"'!A2:G1000"), (INDIRECT("'"&amp;G$1&amp;"'!B2:B1000")=$B64) * (INDIRECT("'"&amp;G$1&amp;"'!C2:C1000")=$C64)
        ),
        5,
        FALSE
    )="",
    "",
    VLOOKUP(
        $A64,
        _xlfn._xlws.FILTER(
            INDIRECT("'"&amp;G$1&amp;"'!A2:G1000"), (INDIRECT("'"&amp;G$1&amp;"'!B2:B1000")=$B64) * (INDIRECT("'"&amp;G$1&amp;"'!C2:C1000")=$C64)
        ),7,
        FALSE
    )
)</f>
        <v/>
      </c>
      <c r="H64" s="50">
        <f t="array" ref="H64">IF(
    VLOOKUP(
        $A64,
        _xlfn._xlws.FILTER(
            INDIRECT("'"&amp;H$1&amp;"'!A2:G1000"), (INDIRECT("'"&amp;H$1&amp;"'!B2:B1000")=$B64) * (INDIRECT("'"&amp;H$1&amp;"'!C2:C1000")=$C64)
        ),
        5,
        FALSE
    )="",
    "",
    VLOOKUP(
        $A64,
        _xlfn._xlws.FILTER(
            INDIRECT("'"&amp;H$1&amp;"'!A2:G1000"), (INDIRECT("'"&amp;H$1&amp;"'!B2:B1000")=$B64) * (INDIRECT("'"&amp;H$1&amp;"'!C2:C1000")=$C64)
        ),7,
        FALSE
    )
)</f>
        <v/>
      </c>
      <c r="I64" s="50">
        <f t="array" ref="I64">IF(
    VLOOKUP(
        $A64,
        _xlfn._xlws.FILTER(
            INDIRECT("'"&amp;I$1&amp;"'!A2:G1000"), (INDIRECT("'"&amp;I$1&amp;"'!B2:B1000")=$B64) * (INDIRECT("'"&amp;I$1&amp;"'!C2:C1000")=$C64)
        ),
        5,
        FALSE
    )="",
    "",
    VLOOKUP(
        $A64,
        _xlfn._xlws.FILTER(
            INDIRECT("'"&amp;I$1&amp;"'!A2:G1000"), (INDIRECT("'"&amp;I$1&amp;"'!B2:B1000")=$B64) * (INDIRECT("'"&amp;I$1&amp;"'!C2:C1000")=$C64)
        ),7,
        FALSE
    )
)</f>
        <v/>
      </c>
      <c r="J64" s="50">
        <f t="array" ref="J64">IF(
    VLOOKUP(
        $A64,
        _xlfn._xlws.FILTER(
            INDIRECT("'"&amp;J$1&amp;"'!A2:G1000"), (INDIRECT("'"&amp;J$1&amp;"'!B2:B1000")=$B64) * (INDIRECT("'"&amp;J$1&amp;"'!C2:C1000")=$C64)
        ),
        5,
        FALSE
    )="",
    "",
    VLOOKUP(
        $A64,
        _xlfn._xlws.FILTER(
            INDIRECT("'"&amp;J$1&amp;"'!A2:G1000"), (INDIRECT("'"&amp;J$1&amp;"'!B2:B1000")=$B64) * (INDIRECT("'"&amp;J$1&amp;"'!C2:C1000")=$C64)
        ),7,
        FALSE
    )
)</f>
        <v/>
      </c>
      <c r="K64" s="50">
        <f t="array" ref="K64">IF(
    VLOOKUP(
        $A64,
        _xlfn._xlws.FILTER(
            INDIRECT("'"&amp;K$1&amp;"'!A2:G1000"), (INDIRECT("'"&amp;K$1&amp;"'!B2:B1000")=$B64) * (INDIRECT("'"&amp;K$1&amp;"'!C2:C1000")=$C64)
        ),
        5,
        FALSE
    )="",
    "",
    VLOOKUP(
        $A64,
        _xlfn._xlws.FILTER(
            INDIRECT("'"&amp;K$1&amp;"'!A2:G1000"), (INDIRECT("'"&amp;K$1&amp;"'!B2:B1000")=$B64) * (INDIRECT("'"&amp;K$1&amp;"'!C2:C1000")=$C64)
        ),7,
        FALSE
    )
)</f>
        <v/>
      </c>
      <c r="L64" s="50">
        <f t="array" ref="L64">IF(
    VLOOKUP(
        $A64,
        _xlfn._xlws.FILTER(
            INDIRECT("'"&amp;L$1&amp;"'!A2:G1000"), (INDIRECT("'"&amp;L$1&amp;"'!B2:B1000")=$B64) * (INDIRECT("'"&amp;L$1&amp;"'!C2:C1000")=$C64)
        ),
        5,
        FALSE
    )="",
    "",
    VLOOKUP(
        $A64,
        _xlfn._xlws.FILTER(
            INDIRECT("'"&amp;L$1&amp;"'!A2:G1000"), (INDIRECT("'"&amp;L$1&amp;"'!B2:B1000")=$B64) * (INDIRECT("'"&amp;L$1&amp;"'!C2:C1000")=$C64)
        ),7,
        FALSE
    )
)</f>
        <v/>
      </c>
      <c r="M64" s="50">
        <f t="array" ref="M64">IF(
    VLOOKUP(
        $A64,
        _xlfn._xlws.FILTER(
            INDIRECT("'"&amp;M$1&amp;"'!A2:G1000"), (INDIRECT("'"&amp;M$1&amp;"'!B2:B1000")=$B64) * (INDIRECT("'"&amp;M$1&amp;"'!C2:C1000")=$C64)
        ),
        5,
        FALSE
    )="",
    "",
    VLOOKUP(
        $A64,
        _xlfn._xlws.FILTER(
            INDIRECT("'"&amp;M$1&amp;"'!A2:G1000"), (INDIRECT("'"&amp;M$1&amp;"'!B2:B1000")=$B64) * (INDIRECT("'"&amp;M$1&amp;"'!C2:C1000")=$C64)
        ),7,
        FALSE
    )
)</f>
        <v/>
      </c>
      <c r="N64" s="50">
        <f t="array" ref="N64">IF(
    VLOOKUP(
        $A64,
        _xlfn._xlws.FILTER(
            INDIRECT("'"&amp;N$1&amp;"'!A2:G1000"), (INDIRECT("'"&amp;N$1&amp;"'!B2:B1000")=$B64) * (INDIRECT("'"&amp;N$1&amp;"'!C2:C1000")=$C64)
        ),
        5,
        FALSE
    )="",
    "",
    VLOOKUP(
        $A64,
        _xlfn._xlws.FILTER(
            INDIRECT("'"&amp;N$1&amp;"'!A2:G1000"), (INDIRECT("'"&amp;N$1&amp;"'!B2:B1000")=$B64) * (INDIRECT("'"&amp;N$1&amp;"'!C2:C1000")=$C64)
        ),7,
        FALSE
    )
)</f>
        <v/>
      </c>
      <c r="O64" s="50">
        <f t="array" ref="O64">IF(
    VLOOKUP(
        $A64,
        _xlfn._xlws.FILTER(
            INDIRECT("'"&amp;O$1&amp;"'!A2:G1000"), (INDIRECT("'"&amp;O$1&amp;"'!B2:B1000")=$B64) * (INDIRECT("'"&amp;O$1&amp;"'!C2:C1000")=$C64)
        ),
        5,
        FALSE
    )="",
    "",
    VLOOKUP(
        $A64,
        _xlfn._xlws.FILTER(
            INDIRECT("'"&amp;O$1&amp;"'!A2:G1000"), (INDIRECT("'"&amp;O$1&amp;"'!B2:B1000")=$B64) * (INDIRECT("'"&amp;O$1&amp;"'!C2:C1000")=$C64)
        ),7,
        FALSE
    )
)</f>
        <v/>
      </c>
      <c r="P64" s="50">
        <f t="array" ref="P64">IF(
    VLOOKUP(
        $A64,
        _xlfn._xlws.FILTER(
            INDIRECT("'"&amp;P$1&amp;"'!A2:G1000"), (INDIRECT("'"&amp;P$1&amp;"'!B2:B1000")=$B64) * (INDIRECT("'"&amp;P$1&amp;"'!C2:C1000")=$C64)
        ),
        5,
        FALSE
    )="",
    "",
    VLOOKUP(
        $A64,
        _xlfn._xlws.FILTER(
            INDIRECT("'"&amp;P$1&amp;"'!A2:G1000"), (INDIRECT("'"&amp;P$1&amp;"'!B2:B1000")=$B64) * (INDIRECT("'"&amp;P$1&amp;"'!C2:C1000")=$C64)
        ),7,
        FALSE
    )
)</f>
        <v/>
      </c>
      <c r="Q64" s="50">
        <f t="array" ref="Q64">IF(
    VLOOKUP(
        $A64,
        _xlfn._xlws.FILTER(
            INDIRECT("'"&amp;Q$1&amp;"'!A2:G1000"), (INDIRECT("'"&amp;Q$1&amp;"'!B2:B1000")=$B64) * (INDIRECT("'"&amp;Q$1&amp;"'!C2:C1000")=$C64)
        ),
        5,
        FALSE
    )="",
    "",
    VLOOKUP(
        $A64,
        _xlfn._xlws.FILTER(
            INDIRECT("'"&amp;Q$1&amp;"'!A2:G1000"), (INDIRECT("'"&amp;Q$1&amp;"'!B2:B1000")=$B64) * (INDIRECT("'"&amp;Q$1&amp;"'!C2:C1000")=$C64)
        ),7,
        FALSE
    )
)</f>
        <v/>
      </c>
    </row>
    <row r="65" ht="15.75" customHeight="1">
      <c r="A65" s="56" t="inlineStr">
        <is>
          <t>Luana</t>
        </is>
      </c>
      <c r="B65" s="50" t="inlineStr">
        <is>
          <t>Santa Helena</t>
        </is>
      </c>
      <c r="C65" s="50" t="n">
        <v>1</v>
      </c>
      <c r="D65" s="50">
        <f t="array" ref="D65">IF(
    VLOOKUP(
        $A65,
        _xlfn._xlws.FILTER(
            INDIRECT("'"&amp;D$1&amp;"'!A2:G1000"), (INDIRECT("'"&amp;D$1&amp;"'!B2:B1000")=$B65) * (INDIRECT("'"&amp;D$1&amp;"'!C2:C1000")=$C65)
        ),
        5,
        FALSE
    )="",
    "",
    VLOOKUP(
        $A65,
        _xlfn._xlws.FILTER(
            INDIRECT("'"&amp;D$1&amp;"'!A2:G1000"), (INDIRECT("'"&amp;D$1&amp;"'!B2:B1000")=$B65) * (INDIRECT("'"&amp;D$1&amp;"'!C2:C1000")=$C65)
        ),7,
        FALSE
    )
)</f>
        <v/>
      </c>
      <c r="E65" s="50">
        <f t="array" ref="E65">IF(
    VLOOKUP(
        $A65,
        _xlfn._xlws.FILTER(
            INDIRECT("'"&amp;E$1&amp;"'!A2:G1000"), (INDIRECT("'"&amp;E$1&amp;"'!B2:B1000")=$B65) * (INDIRECT("'"&amp;E$1&amp;"'!C2:C1000")=$C65)
        ),
        5,
        FALSE
    )="",
    "",
    VLOOKUP(
        $A65,
        _xlfn._xlws.FILTER(
            INDIRECT("'"&amp;E$1&amp;"'!A2:G1000"), (INDIRECT("'"&amp;E$1&amp;"'!B2:B1000")=$B65) * (INDIRECT("'"&amp;E$1&amp;"'!C2:C1000")=$C65)
        ),7,
        FALSE
    )
)</f>
        <v/>
      </c>
      <c r="F65" s="50">
        <f t="array" ref="F65">IF(
    VLOOKUP(
        $A65,
        _xlfn._xlws.FILTER(
            INDIRECT("'"&amp;F$1&amp;"'!A2:G1000"), (INDIRECT("'"&amp;F$1&amp;"'!B2:B1000")=$B65) * (INDIRECT("'"&amp;F$1&amp;"'!C2:C1000")=$C65)
        ),
        5,
        FALSE
    )="",
    "",
    VLOOKUP(
        $A65,
        _xlfn._xlws.FILTER(
            INDIRECT("'"&amp;F$1&amp;"'!A2:G1000"), (INDIRECT("'"&amp;F$1&amp;"'!B2:B1000")=$B65) * (INDIRECT("'"&amp;F$1&amp;"'!C2:C1000")=$C65)
        ),7,
        FALSE
    )
)</f>
        <v/>
      </c>
      <c r="G65" s="50">
        <f t="array" ref="G65">IF(
    VLOOKUP(
        $A65,
        _xlfn._xlws.FILTER(
            INDIRECT("'"&amp;G$1&amp;"'!A2:G1000"), (INDIRECT("'"&amp;G$1&amp;"'!B2:B1000")=$B65) * (INDIRECT("'"&amp;G$1&amp;"'!C2:C1000")=$C65)
        ),
        5,
        FALSE
    )="",
    "",
    VLOOKUP(
        $A65,
        _xlfn._xlws.FILTER(
            INDIRECT("'"&amp;G$1&amp;"'!A2:G1000"), (INDIRECT("'"&amp;G$1&amp;"'!B2:B1000")=$B65) * (INDIRECT("'"&amp;G$1&amp;"'!C2:C1000")=$C65)
        ),7,
        FALSE
    )
)</f>
        <v/>
      </c>
      <c r="H65" s="50">
        <f t="array" ref="H65">IF(
    VLOOKUP(
        $A65,
        _xlfn._xlws.FILTER(
            INDIRECT("'"&amp;H$1&amp;"'!A2:G1000"), (INDIRECT("'"&amp;H$1&amp;"'!B2:B1000")=$B65) * (INDIRECT("'"&amp;H$1&amp;"'!C2:C1000")=$C65)
        ),
        5,
        FALSE
    )="",
    "",
    VLOOKUP(
        $A65,
        _xlfn._xlws.FILTER(
            INDIRECT("'"&amp;H$1&amp;"'!A2:G1000"), (INDIRECT("'"&amp;H$1&amp;"'!B2:B1000")=$B65) * (INDIRECT("'"&amp;H$1&amp;"'!C2:C1000")=$C65)
        ),7,
        FALSE
    )
)</f>
        <v/>
      </c>
      <c r="I65" s="50">
        <f t="array" ref="I65">IF(
    VLOOKUP(
        $A65,
        _xlfn._xlws.FILTER(
            INDIRECT("'"&amp;I$1&amp;"'!A2:G1000"), (INDIRECT("'"&amp;I$1&amp;"'!B2:B1000")=$B65) * (INDIRECT("'"&amp;I$1&amp;"'!C2:C1000")=$C65)
        ),
        5,
        FALSE
    )="",
    "",
    VLOOKUP(
        $A65,
        _xlfn._xlws.FILTER(
            INDIRECT("'"&amp;I$1&amp;"'!A2:G1000"), (INDIRECT("'"&amp;I$1&amp;"'!B2:B1000")=$B65) * (INDIRECT("'"&amp;I$1&amp;"'!C2:C1000")=$C65)
        ),7,
        FALSE
    )
)</f>
        <v/>
      </c>
      <c r="J65" s="50">
        <f t="array" ref="J65">IF(
    VLOOKUP(
        $A65,
        _xlfn._xlws.FILTER(
            INDIRECT("'"&amp;J$1&amp;"'!A2:G1000"), (INDIRECT("'"&amp;J$1&amp;"'!B2:B1000")=$B65) * (INDIRECT("'"&amp;J$1&amp;"'!C2:C1000")=$C65)
        ),
        5,
        FALSE
    )="",
    "",
    VLOOKUP(
        $A65,
        _xlfn._xlws.FILTER(
            INDIRECT("'"&amp;J$1&amp;"'!A2:G1000"), (INDIRECT("'"&amp;J$1&amp;"'!B2:B1000")=$B65) * (INDIRECT("'"&amp;J$1&amp;"'!C2:C1000")=$C65)
        ),7,
        FALSE
    )
)</f>
        <v/>
      </c>
      <c r="K65" s="50">
        <f t="array" ref="K65">IF(
    VLOOKUP(
        $A65,
        _xlfn._xlws.FILTER(
            INDIRECT("'"&amp;K$1&amp;"'!A2:G1000"), (INDIRECT("'"&amp;K$1&amp;"'!B2:B1000")=$B65) * (INDIRECT("'"&amp;K$1&amp;"'!C2:C1000")=$C65)
        ),
        5,
        FALSE
    )="",
    "",
    VLOOKUP(
        $A65,
        _xlfn._xlws.FILTER(
            INDIRECT("'"&amp;K$1&amp;"'!A2:G1000"), (INDIRECT("'"&amp;K$1&amp;"'!B2:B1000")=$B65) * (INDIRECT("'"&amp;K$1&amp;"'!C2:C1000")=$C65)
        ),7,
        FALSE
    )
)</f>
        <v/>
      </c>
      <c r="L65" s="50">
        <f t="array" ref="L65">IF(
    VLOOKUP(
        $A65,
        _xlfn._xlws.FILTER(
            INDIRECT("'"&amp;L$1&amp;"'!A2:G1000"), (INDIRECT("'"&amp;L$1&amp;"'!B2:B1000")=$B65) * (INDIRECT("'"&amp;L$1&amp;"'!C2:C1000")=$C65)
        ),
        5,
        FALSE
    )="",
    "",
    VLOOKUP(
        $A65,
        _xlfn._xlws.FILTER(
            INDIRECT("'"&amp;L$1&amp;"'!A2:G1000"), (INDIRECT("'"&amp;L$1&amp;"'!B2:B1000")=$B65) * (INDIRECT("'"&amp;L$1&amp;"'!C2:C1000")=$C65)
        ),7,
        FALSE
    )
)</f>
        <v/>
      </c>
      <c r="M65" s="50">
        <f t="array" ref="M65">IF(
    VLOOKUP(
        $A65,
        _xlfn._xlws.FILTER(
            INDIRECT("'"&amp;M$1&amp;"'!A2:G1000"), (INDIRECT("'"&amp;M$1&amp;"'!B2:B1000")=$B65) * (INDIRECT("'"&amp;M$1&amp;"'!C2:C1000")=$C65)
        ),
        5,
        FALSE
    )="",
    "",
    VLOOKUP(
        $A65,
        _xlfn._xlws.FILTER(
            INDIRECT("'"&amp;M$1&amp;"'!A2:G1000"), (INDIRECT("'"&amp;M$1&amp;"'!B2:B1000")=$B65) * (INDIRECT("'"&amp;M$1&amp;"'!C2:C1000")=$C65)
        ),7,
        FALSE
    )
)</f>
        <v/>
      </c>
      <c r="N65" s="50">
        <f t="array" ref="N65">IF(
    VLOOKUP(
        $A65,
        _xlfn._xlws.FILTER(
            INDIRECT("'"&amp;N$1&amp;"'!A2:G1000"), (INDIRECT("'"&amp;N$1&amp;"'!B2:B1000")=$B65) * (INDIRECT("'"&amp;N$1&amp;"'!C2:C1000")=$C65)
        ),
        5,
        FALSE
    )="",
    "",
    VLOOKUP(
        $A65,
        _xlfn._xlws.FILTER(
            INDIRECT("'"&amp;N$1&amp;"'!A2:G1000"), (INDIRECT("'"&amp;N$1&amp;"'!B2:B1000")=$B65) * (INDIRECT("'"&amp;N$1&amp;"'!C2:C1000")=$C65)
        ),7,
        FALSE
    )
)</f>
        <v/>
      </c>
      <c r="O65" s="50">
        <f t="array" ref="O65">IF(
    VLOOKUP(
        $A65,
        _xlfn._xlws.FILTER(
            INDIRECT("'"&amp;O$1&amp;"'!A2:G1000"), (INDIRECT("'"&amp;O$1&amp;"'!B2:B1000")=$B65) * (INDIRECT("'"&amp;O$1&amp;"'!C2:C1000")=$C65)
        ),
        5,
        FALSE
    )="",
    "",
    VLOOKUP(
        $A65,
        _xlfn._xlws.FILTER(
            INDIRECT("'"&amp;O$1&amp;"'!A2:G1000"), (INDIRECT("'"&amp;O$1&amp;"'!B2:B1000")=$B65) * (INDIRECT("'"&amp;O$1&amp;"'!C2:C1000")=$C65)
        ),7,
        FALSE
    )
)</f>
        <v/>
      </c>
      <c r="P65" s="50">
        <f t="array" ref="P65">IF(
    VLOOKUP(
        $A65,
        _xlfn._xlws.FILTER(
            INDIRECT("'"&amp;P$1&amp;"'!A2:G1000"), (INDIRECT("'"&amp;P$1&amp;"'!B2:B1000")=$B65) * (INDIRECT("'"&amp;P$1&amp;"'!C2:C1000")=$C65)
        ),
        5,
        FALSE
    )="",
    "",
    VLOOKUP(
        $A65,
        _xlfn._xlws.FILTER(
            INDIRECT("'"&amp;P$1&amp;"'!A2:G1000"), (INDIRECT("'"&amp;P$1&amp;"'!B2:B1000")=$B65) * (INDIRECT("'"&amp;P$1&amp;"'!C2:C1000")=$C65)
        ),7,
        FALSE
    )
)</f>
        <v/>
      </c>
      <c r="Q65" s="50">
        <f t="array" ref="Q65">IF(
    VLOOKUP(
        $A65,
        _xlfn._xlws.FILTER(
            INDIRECT("'"&amp;Q$1&amp;"'!A2:G1000"), (INDIRECT("'"&amp;Q$1&amp;"'!B2:B1000")=$B65) * (INDIRECT("'"&amp;Q$1&amp;"'!C2:C1000")=$C65)
        ),
        5,
        FALSE
    )="",
    "",
    VLOOKUP(
        $A65,
        _xlfn._xlws.FILTER(
            INDIRECT("'"&amp;Q$1&amp;"'!A2:G1000"), (INDIRECT("'"&amp;Q$1&amp;"'!B2:B1000")=$B65) * (INDIRECT("'"&amp;Q$1&amp;"'!C2:C1000")=$C65)
        ),7,
        FALSE
    )
)</f>
        <v/>
      </c>
    </row>
    <row r="66">
      <c r="A66" s="56" t="inlineStr">
        <is>
          <t>Luana</t>
        </is>
      </c>
      <c r="B66" s="50" t="inlineStr">
        <is>
          <t>São Pedro do Iguaçu</t>
        </is>
      </c>
      <c r="C66" s="50" t="n">
        <v>1</v>
      </c>
      <c r="D66" s="50">
        <f t="array" ref="D66">IF(
    VLOOKUP(
        $A66,
        _xlfn._xlws.FILTER(
            INDIRECT("'"&amp;D$1&amp;"'!A2:G1000"), (INDIRECT("'"&amp;D$1&amp;"'!B2:B1000")=$B66) * (INDIRECT("'"&amp;D$1&amp;"'!C2:C1000")=$C66)
        ),
        5,
        FALSE
    )="",
    "",
    VLOOKUP(
        $A66,
        _xlfn._xlws.FILTER(
            INDIRECT("'"&amp;D$1&amp;"'!A2:G1000"), (INDIRECT("'"&amp;D$1&amp;"'!B2:B1000")=$B66) * (INDIRECT("'"&amp;D$1&amp;"'!C2:C1000")=$C66)
        ),7,
        FALSE
    )
)</f>
        <v/>
      </c>
      <c r="E66" s="50">
        <f t="array" ref="E66">IF(
    VLOOKUP(
        $A66,
        _xlfn._xlws.FILTER(
            INDIRECT("'"&amp;E$1&amp;"'!A2:G1000"), (INDIRECT("'"&amp;E$1&amp;"'!B2:B1000")=$B66) * (INDIRECT("'"&amp;E$1&amp;"'!C2:C1000")=$C66)
        ),
        5,
        FALSE
    )="",
    "",
    VLOOKUP(
        $A66,
        _xlfn._xlws.FILTER(
            INDIRECT("'"&amp;E$1&amp;"'!A2:G1000"), (INDIRECT("'"&amp;E$1&amp;"'!B2:B1000")=$B66) * (INDIRECT("'"&amp;E$1&amp;"'!C2:C1000")=$C66)
        ),7,
        FALSE
    )
)</f>
        <v/>
      </c>
      <c r="F66" s="50">
        <f t="array" ref="F66">IF(
    VLOOKUP(
        $A66,
        _xlfn._xlws.FILTER(
            INDIRECT("'"&amp;F$1&amp;"'!A2:G1000"), (INDIRECT("'"&amp;F$1&amp;"'!B2:B1000")=$B66) * (INDIRECT("'"&amp;F$1&amp;"'!C2:C1000")=$C66)
        ),
        5,
        FALSE
    )="",
    "",
    VLOOKUP(
        $A66,
        _xlfn._xlws.FILTER(
            INDIRECT("'"&amp;F$1&amp;"'!A2:G1000"), (INDIRECT("'"&amp;F$1&amp;"'!B2:B1000")=$B66) * (INDIRECT("'"&amp;F$1&amp;"'!C2:C1000")=$C66)
        ),7,
        FALSE
    )
)</f>
        <v/>
      </c>
      <c r="G66" s="50">
        <f t="array" ref="G66">IF(
    VLOOKUP(
        $A66,
        _xlfn._xlws.FILTER(
            INDIRECT("'"&amp;G$1&amp;"'!A2:G1000"), (INDIRECT("'"&amp;G$1&amp;"'!B2:B1000")=$B66) * (INDIRECT("'"&amp;G$1&amp;"'!C2:C1000")=$C66)
        ),
        5,
        FALSE
    )="",
    "",
    VLOOKUP(
        $A66,
        _xlfn._xlws.FILTER(
            INDIRECT("'"&amp;G$1&amp;"'!A2:G1000"), (INDIRECT("'"&amp;G$1&amp;"'!B2:B1000")=$B66) * (INDIRECT("'"&amp;G$1&amp;"'!C2:C1000")=$C66)
        ),7,
        FALSE
    )
)</f>
        <v/>
      </c>
      <c r="H66" s="50">
        <f t="array" ref="H66">IF(
    VLOOKUP(
        $A66,
        _xlfn._xlws.FILTER(
            INDIRECT("'"&amp;H$1&amp;"'!A2:G1000"), (INDIRECT("'"&amp;H$1&amp;"'!B2:B1000")=$B66) * (INDIRECT("'"&amp;H$1&amp;"'!C2:C1000")=$C66)
        ),
        5,
        FALSE
    )="",
    "",
    VLOOKUP(
        $A66,
        _xlfn._xlws.FILTER(
            INDIRECT("'"&amp;H$1&amp;"'!A2:G1000"), (INDIRECT("'"&amp;H$1&amp;"'!B2:B1000")=$B66) * (INDIRECT("'"&amp;H$1&amp;"'!C2:C1000")=$C66)
        ),7,
        FALSE
    )
)</f>
        <v/>
      </c>
      <c r="I66" s="50">
        <f t="array" ref="I66">IF(
    VLOOKUP(
        $A66,
        _xlfn._xlws.FILTER(
            INDIRECT("'"&amp;I$1&amp;"'!A2:G1000"), (INDIRECT("'"&amp;I$1&amp;"'!B2:B1000")=$B66) * (INDIRECT("'"&amp;I$1&amp;"'!C2:C1000")=$C66)
        ),
        5,
        FALSE
    )="",
    "",
    VLOOKUP(
        $A66,
        _xlfn._xlws.FILTER(
            INDIRECT("'"&amp;I$1&amp;"'!A2:G1000"), (INDIRECT("'"&amp;I$1&amp;"'!B2:B1000")=$B66) * (INDIRECT("'"&amp;I$1&amp;"'!C2:C1000")=$C66)
        ),7,
        FALSE
    )
)</f>
        <v/>
      </c>
      <c r="J66" s="50">
        <f t="array" ref="J66">IF(
    VLOOKUP(
        $A66,
        _xlfn._xlws.FILTER(
            INDIRECT("'"&amp;J$1&amp;"'!A2:G1000"), (INDIRECT("'"&amp;J$1&amp;"'!B2:B1000")=$B66) * (INDIRECT("'"&amp;J$1&amp;"'!C2:C1000")=$C66)
        ),
        5,
        FALSE
    )="",
    "",
    VLOOKUP(
        $A66,
        _xlfn._xlws.FILTER(
            INDIRECT("'"&amp;J$1&amp;"'!A2:G1000"), (INDIRECT("'"&amp;J$1&amp;"'!B2:B1000")=$B66) * (INDIRECT("'"&amp;J$1&amp;"'!C2:C1000")=$C66)
        ),7,
        FALSE
    )
)</f>
        <v/>
      </c>
      <c r="K66" s="50">
        <f t="array" ref="K66">IF(
    VLOOKUP(
        $A66,
        _xlfn._xlws.FILTER(
            INDIRECT("'"&amp;K$1&amp;"'!A2:G1000"), (INDIRECT("'"&amp;K$1&amp;"'!B2:B1000")=$B66) * (INDIRECT("'"&amp;K$1&amp;"'!C2:C1000")=$C66)
        ),
        5,
        FALSE
    )="",
    "",
    VLOOKUP(
        $A66,
        _xlfn._xlws.FILTER(
            INDIRECT("'"&amp;K$1&amp;"'!A2:G1000"), (INDIRECT("'"&amp;K$1&amp;"'!B2:B1000")=$B66) * (INDIRECT("'"&amp;K$1&amp;"'!C2:C1000")=$C66)
        ),7,
        FALSE
    )
)</f>
        <v/>
      </c>
      <c r="L66" s="50">
        <f t="array" ref="L66">IF(
    VLOOKUP(
        $A66,
        _xlfn._xlws.FILTER(
            INDIRECT("'"&amp;L$1&amp;"'!A2:G1000"), (INDIRECT("'"&amp;L$1&amp;"'!B2:B1000")=$B66) * (INDIRECT("'"&amp;L$1&amp;"'!C2:C1000")=$C66)
        ),
        5,
        FALSE
    )="",
    "",
    VLOOKUP(
        $A66,
        _xlfn._xlws.FILTER(
            INDIRECT("'"&amp;L$1&amp;"'!A2:G1000"), (INDIRECT("'"&amp;L$1&amp;"'!B2:B1000")=$B66) * (INDIRECT("'"&amp;L$1&amp;"'!C2:C1000")=$C66)
        ),7,
        FALSE
    )
)</f>
        <v/>
      </c>
      <c r="M66" s="50">
        <f t="array" ref="M66">IF(
    VLOOKUP(
        $A66,
        _xlfn._xlws.FILTER(
            INDIRECT("'"&amp;M$1&amp;"'!A2:G1000"), (INDIRECT("'"&amp;M$1&amp;"'!B2:B1000")=$B66) * (INDIRECT("'"&amp;M$1&amp;"'!C2:C1000")=$C66)
        ),
        5,
        FALSE
    )="",
    "",
    VLOOKUP(
        $A66,
        _xlfn._xlws.FILTER(
            INDIRECT("'"&amp;M$1&amp;"'!A2:G1000"), (INDIRECT("'"&amp;M$1&amp;"'!B2:B1000")=$B66) * (INDIRECT("'"&amp;M$1&amp;"'!C2:C1000")=$C66)
        ),7,
        FALSE
    )
)</f>
        <v/>
      </c>
      <c r="N66" s="50">
        <f t="array" ref="N66">IF(
    VLOOKUP(
        $A66,
        _xlfn._xlws.FILTER(
            INDIRECT("'"&amp;N$1&amp;"'!A2:G1000"), (INDIRECT("'"&amp;N$1&amp;"'!B2:B1000")=$B66) * (INDIRECT("'"&amp;N$1&amp;"'!C2:C1000")=$C66)
        ),
        5,
        FALSE
    )="",
    "",
    VLOOKUP(
        $A66,
        _xlfn._xlws.FILTER(
            INDIRECT("'"&amp;N$1&amp;"'!A2:G1000"), (INDIRECT("'"&amp;N$1&amp;"'!B2:B1000")=$B66) * (INDIRECT("'"&amp;N$1&amp;"'!C2:C1000")=$C66)
        ),7,
        FALSE
    )
)</f>
        <v/>
      </c>
      <c r="O66" s="50">
        <f t="array" ref="O66">IF(
    VLOOKUP(
        $A66,
        _xlfn._xlws.FILTER(
            INDIRECT("'"&amp;O$1&amp;"'!A2:G1000"), (INDIRECT("'"&amp;O$1&amp;"'!B2:B1000")=$B66) * (INDIRECT("'"&amp;O$1&amp;"'!C2:C1000")=$C66)
        ),
        5,
        FALSE
    )="",
    "",
    VLOOKUP(
        $A66,
        _xlfn._xlws.FILTER(
            INDIRECT("'"&amp;O$1&amp;"'!A2:G1000"), (INDIRECT("'"&amp;O$1&amp;"'!B2:B1000")=$B66) * (INDIRECT("'"&amp;O$1&amp;"'!C2:C1000")=$C66)
        ),7,
        FALSE
    )
)</f>
        <v/>
      </c>
      <c r="P66" s="50">
        <f t="array" ref="P66">IF(
    VLOOKUP(
        $A66,
        _xlfn._xlws.FILTER(
            INDIRECT("'"&amp;P$1&amp;"'!A2:G1000"), (INDIRECT("'"&amp;P$1&amp;"'!B2:B1000")=$B66) * (INDIRECT("'"&amp;P$1&amp;"'!C2:C1000")=$C66)
        ),
        5,
        FALSE
    )="",
    "",
    VLOOKUP(
        $A66,
        _xlfn._xlws.FILTER(
            INDIRECT("'"&amp;P$1&amp;"'!A2:G1000"), (INDIRECT("'"&amp;P$1&amp;"'!B2:B1000")=$B66) * (INDIRECT("'"&amp;P$1&amp;"'!C2:C1000")=$C66)
        ),7,
        FALSE
    )
)</f>
        <v/>
      </c>
      <c r="Q66" s="50">
        <f t="array" ref="Q66">IF(
    VLOOKUP(
        $A66,
        _xlfn._xlws.FILTER(
            INDIRECT("'"&amp;Q$1&amp;"'!A2:G1000"), (INDIRECT("'"&amp;Q$1&amp;"'!B2:B1000")=$B66) * (INDIRECT("'"&amp;Q$1&amp;"'!C2:C1000")=$C66)
        ),
        5,
        FALSE
    )="",
    "",
    VLOOKUP(
        $A66,
        _xlfn._xlws.FILTER(
            INDIRECT("'"&amp;Q$1&amp;"'!A2:G1000"), (INDIRECT("'"&amp;Q$1&amp;"'!B2:B1000")=$B66) * (INDIRECT("'"&amp;Q$1&amp;"'!C2:C1000")=$C66)
        ),7,
        FALSE
    )
)</f>
        <v/>
      </c>
    </row>
    <row r="67">
      <c r="A67" s="56" t="inlineStr">
        <is>
          <t>Luana</t>
        </is>
      </c>
      <c r="B67" s="50" t="inlineStr">
        <is>
          <t>Vera Cruz do Oeste</t>
        </is>
      </c>
      <c r="C67" s="50" t="n">
        <v>1</v>
      </c>
      <c r="D67" s="50">
        <f t="array" ref="D67">IF(
    VLOOKUP(
        $A67,
        _xlfn._xlws.FILTER(
            INDIRECT("'"&amp;D$1&amp;"'!A2:G1000"), (INDIRECT("'"&amp;D$1&amp;"'!B2:B1000")=$B67) * (INDIRECT("'"&amp;D$1&amp;"'!C2:C1000")=$C67)
        ),
        5,
        FALSE
    )="",
    "",
    VLOOKUP(
        $A67,
        _xlfn._xlws.FILTER(
            INDIRECT("'"&amp;D$1&amp;"'!A2:G1000"), (INDIRECT("'"&amp;D$1&amp;"'!B2:B1000")=$B67) * (INDIRECT("'"&amp;D$1&amp;"'!C2:C1000")=$C67)
        ),7,
        FALSE
    )
)</f>
        <v/>
      </c>
      <c r="E67" s="50">
        <f t="array" ref="E67">IF(
    VLOOKUP(
        $A67,
        _xlfn._xlws.FILTER(
            INDIRECT("'"&amp;E$1&amp;"'!A2:G1000"), (INDIRECT("'"&amp;E$1&amp;"'!B2:B1000")=$B67) * (INDIRECT("'"&amp;E$1&amp;"'!C2:C1000")=$C67)
        ),
        5,
        FALSE
    )="",
    "",
    VLOOKUP(
        $A67,
        _xlfn._xlws.FILTER(
            INDIRECT("'"&amp;E$1&amp;"'!A2:G1000"), (INDIRECT("'"&amp;E$1&amp;"'!B2:B1000")=$B67) * (INDIRECT("'"&amp;E$1&amp;"'!C2:C1000")=$C67)
        ),7,
        FALSE
    )
)</f>
        <v/>
      </c>
      <c r="F67" s="50">
        <f t="array" ref="F67">IF(
    VLOOKUP(
        $A67,
        _xlfn._xlws.FILTER(
            INDIRECT("'"&amp;F$1&amp;"'!A2:G1000"), (INDIRECT("'"&amp;F$1&amp;"'!B2:B1000")=$B67) * (INDIRECT("'"&amp;F$1&amp;"'!C2:C1000")=$C67)
        ),
        5,
        FALSE
    )="",
    "",
    VLOOKUP(
        $A67,
        _xlfn._xlws.FILTER(
            INDIRECT("'"&amp;F$1&amp;"'!A2:G1000"), (INDIRECT("'"&amp;F$1&amp;"'!B2:B1000")=$B67) * (INDIRECT("'"&amp;F$1&amp;"'!C2:C1000")=$C67)
        ),7,
        FALSE
    )
)</f>
        <v/>
      </c>
      <c r="G67" s="50">
        <f t="array" ref="G67">IF(
    VLOOKUP(
        $A67,
        _xlfn._xlws.FILTER(
            INDIRECT("'"&amp;G$1&amp;"'!A2:G1000"), (INDIRECT("'"&amp;G$1&amp;"'!B2:B1000")=$B67) * (INDIRECT("'"&amp;G$1&amp;"'!C2:C1000")=$C67)
        ),
        5,
        FALSE
    )="",
    "",
    VLOOKUP(
        $A67,
        _xlfn._xlws.FILTER(
            INDIRECT("'"&amp;G$1&amp;"'!A2:G1000"), (INDIRECT("'"&amp;G$1&amp;"'!B2:B1000")=$B67) * (INDIRECT("'"&amp;G$1&amp;"'!C2:C1000")=$C67)
        ),7,
        FALSE
    )
)</f>
        <v/>
      </c>
      <c r="H67" s="50">
        <f t="array" ref="H67">IF(
    VLOOKUP(
        $A67,
        _xlfn._xlws.FILTER(
            INDIRECT("'"&amp;H$1&amp;"'!A2:G1000"), (INDIRECT("'"&amp;H$1&amp;"'!B2:B1000")=$B67) * (INDIRECT("'"&amp;H$1&amp;"'!C2:C1000")=$C67)
        ),
        5,
        FALSE
    )="",
    "",
    VLOOKUP(
        $A67,
        _xlfn._xlws.FILTER(
            INDIRECT("'"&amp;H$1&amp;"'!A2:G1000"), (INDIRECT("'"&amp;H$1&amp;"'!B2:B1000")=$B67) * (INDIRECT("'"&amp;H$1&amp;"'!C2:C1000")=$C67)
        ),7,
        FALSE
    )
)</f>
        <v/>
      </c>
      <c r="I67" s="50">
        <f t="array" ref="I67">IF(
    VLOOKUP(
        $A67,
        _xlfn._xlws.FILTER(
            INDIRECT("'"&amp;I$1&amp;"'!A2:G1000"), (INDIRECT("'"&amp;I$1&amp;"'!B2:B1000")=$B67) * (INDIRECT("'"&amp;I$1&amp;"'!C2:C1000")=$C67)
        ),
        5,
        FALSE
    )="",
    "",
    VLOOKUP(
        $A67,
        _xlfn._xlws.FILTER(
            INDIRECT("'"&amp;I$1&amp;"'!A2:G1000"), (INDIRECT("'"&amp;I$1&amp;"'!B2:B1000")=$B67) * (INDIRECT("'"&amp;I$1&amp;"'!C2:C1000")=$C67)
        ),7,
        FALSE
    )
)</f>
        <v/>
      </c>
      <c r="J67" s="50">
        <f t="array" ref="J67">IF(
    VLOOKUP(
        $A67,
        _xlfn._xlws.FILTER(
            INDIRECT("'"&amp;J$1&amp;"'!A2:G1000"), (INDIRECT("'"&amp;J$1&amp;"'!B2:B1000")=$B67) * (INDIRECT("'"&amp;J$1&amp;"'!C2:C1000")=$C67)
        ),
        5,
        FALSE
    )="",
    "",
    VLOOKUP(
        $A67,
        _xlfn._xlws.FILTER(
            INDIRECT("'"&amp;J$1&amp;"'!A2:G1000"), (INDIRECT("'"&amp;J$1&amp;"'!B2:B1000")=$B67) * (INDIRECT("'"&amp;J$1&amp;"'!C2:C1000")=$C67)
        ),7,
        FALSE
    )
)</f>
        <v/>
      </c>
      <c r="K67" s="50">
        <f t="array" ref="K67">IF(
    VLOOKUP(
        $A67,
        _xlfn._xlws.FILTER(
            INDIRECT("'"&amp;K$1&amp;"'!A2:G1000"), (INDIRECT("'"&amp;K$1&amp;"'!B2:B1000")=$B67) * (INDIRECT("'"&amp;K$1&amp;"'!C2:C1000")=$C67)
        ),
        5,
        FALSE
    )="",
    "",
    VLOOKUP(
        $A67,
        _xlfn._xlws.FILTER(
            INDIRECT("'"&amp;K$1&amp;"'!A2:G1000"), (INDIRECT("'"&amp;K$1&amp;"'!B2:B1000")=$B67) * (INDIRECT("'"&amp;K$1&amp;"'!C2:C1000")=$C67)
        ),7,
        FALSE
    )
)</f>
        <v/>
      </c>
      <c r="L67" s="50">
        <f t="array" ref="L67">IF(
    VLOOKUP(
        $A67,
        _xlfn._xlws.FILTER(
            INDIRECT("'"&amp;L$1&amp;"'!A2:G1000"), (INDIRECT("'"&amp;L$1&amp;"'!B2:B1000")=$B67) * (INDIRECT("'"&amp;L$1&amp;"'!C2:C1000")=$C67)
        ),
        5,
        FALSE
    )="",
    "",
    VLOOKUP(
        $A67,
        _xlfn._xlws.FILTER(
            INDIRECT("'"&amp;L$1&amp;"'!A2:G1000"), (INDIRECT("'"&amp;L$1&amp;"'!B2:B1000")=$B67) * (INDIRECT("'"&amp;L$1&amp;"'!C2:C1000")=$C67)
        ),7,
        FALSE
    )
)</f>
        <v/>
      </c>
      <c r="M67" s="50">
        <f t="array" ref="M67">IF(
    VLOOKUP(
        $A67,
        _xlfn._xlws.FILTER(
            INDIRECT("'"&amp;M$1&amp;"'!A2:G1000"), (INDIRECT("'"&amp;M$1&amp;"'!B2:B1000")=$B67) * (INDIRECT("'"&amp;M$1&amp;"'!C2:C1000")=$C67)
        ),
        5,
        FALSE
    )="",
    "",
    VLOOKUP(
        $A67,
        _xlfn._xlws.FILTER(
            INDIRECT("'"&amp;M$1&amp;"'!A2:G1000"), (INDIRECT("'"&amp;M$1&amp;"'!B2:B1000")=$B67) * (INDIRECT("'"&amp;M$1&amp;"'!C2:C1000")=$C67)
        ),7,
        FALSE
    )
)</f>
        <v/>
      </c>
      <c r="N67" s="50">
        <f t="array" ref="N67">IF(
    VLOOKUP(
        $A67,
        _xlfn._xlws.FILTER(
            INDIRECT("'"&amp;N$1&amp;"'!A2:G1000"), (INDIRECT("'"&amp;N$1&amp;"'!B2:B1000")=$B67) * (INDIRECT("'"&amp;N$1&amp;"'!C2:C1000")=$C67)
        ),
        5,
        FALSE
    )="",
    "",
    VLOOKUP(
        $A67,
        _xlfn._xlws.FILTER(
            INDIRECT("'"&amp;N$1&amp;"'!A2:G1000"), (INDIRECT("'"&amp;N$1&amp;"'!B2:B1000")=$B67) * (INDIRECT("'"&amp;N$1&amp;"'!C2:C1000")=$C67)
        ),7,
        FALSE
    )
)</f>
        <v/>
      </c>
      <c r="O67" s="50">
        <f t="array" ref="O67">IF(
    VLOOKUP(
        $A67,
        _xlfn._xlws.FILTER(
            INDIRECT("'"&amp;O$1&amp;"'!A2:G1000"), (INDIRECT("'"&amp;O$1&amp;"'!B2:B1000")=$B67) * (INDIRECT("'"&amp;O$1&amp;"'!C2:C1000")=$C67)
        ),
        5,
        FALSE
    )="",
    "",
    VLOOKUP(
        $A67,
        _xlfn._xlws.FILTER(
            INDIRECT("'"&amp;O$1&amp;"'!A2:G1000"), (INDIRECT("'"&amp;O$1&amp;"'!B2:B1000")=$B67) * (INDIRECT("'"&amp;O$1&amp;"'!C2:C1000")=$C67)
        ),7,
        FALSE
    )
)</f>
        <v/>
      </c>
      <c r="P67" s="50">
        <f t="array" ref="P67">IF(
    VLOOKUP(
        $A67,
        _xlfn._xlws.FILTER(
            INDIRECT("'"&amp;P$1&amp;"'!A2:G1000"), (INDIRECT("'"&amp;P$1&amp;"'!B2:B1000")=$B67) * (INDIRECT("'"&amp;P$1&amp;"'!C2:C1000")=$C67)
        ),
        5,
        FALSE
    )="",
    "",
    VLOOKUP(
        $A67,
        _xlfn._xlws.FILTER(
            INDIRECT("'"&amp;P$1&amp;"'!A2:G1000"), (INDIRECT("'"&amp;P$1&amp;"'!B2:B1000")=$B67) * (INDIRECT("'"&amp;P$1&amp;"'!C2:C1000")=$C67)
        ),7,
        FALSE
    )
)</f>
        <v/>
      </c>
      <c r="Q67" s="50">
        <f t="array" ref="Q67">IF(
    VLOOKUP(
        $A67,
        _xlfn._xlws.FILTER(
            INDIRECT("'"&amp;Q$1&amp;"'!A2:G1000"), (INDIRECT("'"&amp;Q$1&amp;"'!B2:B1000")=$B67) * (INDIRECT("'"&amp;Q$1&amp;"'!C2:C1000")=$C67)
        ),
        5,
        FALSE
    )="",
    "",
    VLOOKUP(
        $A67,
        _xlfn._xlws.FILTER(
            INDIRECT("'"&amp;Q$1&amp;"'!A2:G1000"), (INDIRECT("'"&amp;Q$1&amp;"'!B2:B1000")=$B67) * (INDIRECT("'"&amp;Q$1&amp;"'!C2:C1000")=$C67)
        ),7,
        FALSE
    )
)</f>
        <v/>
      </c>
    </row>
    <row r="68">
      <c r="A68" s="87" t="n"/>
      <c r="B68" s="87" t="n"/>
      <c r="C68" s="87" t="n"/>
    </row>
    <row r="69" ht="15.75" customHeight="1">
      <c r="A69" s="110" t="inlineStr">
        <is>
          <t>Regional</t>
        </is>
      </c>
      <c r="B69" s="98" t="inlineStr">
        <is>
          <t>Municípios</t>
        </is>
      </c>
      <c r="C69" s="98" t="inlineStr">
        <is>
          <t>UVR</t>
        </is>
      </c>
      <c r="D69" s="111" t="inlineStr">
        <is>
          <t>11.24</t>
        </is>
      </c>
      <c r="E69" s="111" t="inlineStr">
        <is>
          <t>12.24</t>
        </is>
      </c>
      <c r="F69" s="111" t="inlineStr">
        <is>
          <t>01.25</t>
        </is>
      </c>
      <c r="G69" s="111" t="inlineStr">
        <is>
          <t>02.25</t>
        </is>
      </c>
      <c r="H69" s="111" t="inlineStr">
        <is>
          <t>03.25</t>
        </is>
      </c>
      <c r="I69" s="111" t="inlineStr">
        <is>
          <t>04.25</t>
        </is>
      </c>
      <c r="J69" s="111" t="inlineStr">
        <is>
          <t>05.25</t>
        </is>
      </c>
      <c r="K69" s="111" t="inlineStr">
        <is>
          <t>06.25</t>
        </is>
      </c>
      <c r="L69" s="111" t="inlineStr">
        <is>
          <t>07.25</t>
        </is>
      </c>
      <c r="M69" s="111" t="inlineStr">
        <is>
          <t>08.25</t>
        </is>
      </c>
      <c r="N69" s="111" t="inlineStr">
        <is>
          <t>09.25</t>
        </is>
      </c>
      <c r="O69" s="111" t="inlineStr">
        <is>
          <t>10.25</t>
        </is>
      </c>
      <c r="P69" s="111" t="inlineStr">
        <is>
          <t>11.25</t>
        </is>
      </c>
      <c r="Q69" s="111" t="inlineStr">
        <is>
          <t>12.25</t>
        </is>
      </c>
    </row>
    <row r="70">
      <c r="A70" s="58" t="inlineStr">
        <is>
          <t>Valquiria</t>
        </is>
      </c>
      <c r="B70" s="50" t="inlineStr">
        <is>
          <t>Capitão Leonidas Marques</t>
        </is>
      </c>
      <c r="C70" s="50" t="n">
        <v>1</v>
      </c>
      <c r="D70" s="50">
        <f t="array" ref="D70">IF(
    VLOOKUP(
        $A70,
        _xlfn._xlws.FILTER(
            INDIRECT("'"&amp;D$1&amp;"'!A2:G1000"), (INDIRECT("'"&amp;D$1&amp;"'!B2:B1000")=$B70) * (INDIRECT("'"&amp;D$1&amp;"'!C2:C1000")=$C70)
        ),
        5,
        FALSE
    )="",
    "",
    VLOOKUP(
        $A70,
        _xlfn._xlws.FILTER(
            INDIRECT("'"&amp;D$1&amp;"'!A2:G1000"), (INDIRECT("'"&amp;D$1&amp;"'!B2:B1000")=$B70) * (INDIRECT("'"&amp;D$1&amp;"'!C2:C1000")=$C70)
        ),7,
        FALSE
    )
)</f>
        <v/>
      </c>
      <c r="E70" s="50">
        <f t="array" ref="E70">IF(
    VLOOKUP(
        $A70,
        _xlfn._xlws.FILTER(
            INDIRECT("'"&amp;E$1&amp;"'!A2:G1000"), (INDIRECT("'"&amp;E$1&amp;"'!B2:B1000")=$B70) * (INDIRECT("'"&amp;E$1&amp;"'!C2:C1000")=$C70)
        ),
        5,
        FALSE
    )="",
    "",
    VLOOKUP(
        $A70,
        _xlfn._xlws.FILTER(
            INDIRECT("'"&amp;E$1&amp;"'!A2:G1000"), (INDIRECT("'"&amp;E$1&amp;"'!B2:B1000")=$B70) * (INDIRECT("'"&amp;E$1&amp;"'!C2:C1000")=$C70)
        ),7,
        FALSE
    )
)</f>
        <v/>
      </c>
      <c r="F70" s="50">
        <f t="array" ref="F70">IF(
    VLOOKUP(
        $A70,
        _xlfn._xlws.FILTER(
            INDIRECT("'"&amp;F$1&amp;"'!A2:G1000"), (INDIRECT("'"&amp;F$1&amp;"'!B2:B1000")=$B70) * (INDIRECT("'"&amp;F$1&amp;"'!C2:C1000")=$C70)
        ),
        5,
        FALSE
    )="",
    "",
    VLOOKUP(
        $A70,
        _xlfn._xlws.FILTER(
            INDIRECT("'"&amp;F$1&amp;"'!A2:G1000"), (INDIRECT("'"&amp;F$1&amp;"'!B2:B1000")=$B70) * (INDIRECT("'"&amp;F$1&amp;"'!C2:C1000")=$C70)
        ),7,
        FALSE
    )
)</f>
        <v/>
      </c>
      <c r="G70" s="50">
        <f t="array" ref="G70">IF(
    VLOOKUP(
        $A70,
        _xlfn._xlws.FILTER(
            INDIRECT("'"&amp;G$1&amp;"'!A2:G1000"), (INDIRECT("'"&amp;G$1&amp;"'!B2:B1000")=$B70) * (INDIRECT("'"&amp;G$1&amp;"'!C2:C1000")=$C70)
        ),
        5,
        FALSE
    )="",
    "",
    VLOOKUP(
        $A70,
        _xlfn._xlws.FILTER(
            INDIRECT("'"&amp;G$1&amp;"'!A2:G1000"), (INDIRECT("'"&amp;G$1&amp;"'!B2:B1000")=$B70) * (INDIRECT("'"&amp;G$1&amp;"'!C2:C1000")=$C70)
        ),7,
        FALSE
    )
)</f>
        <v/>
      </c>
      <c r="H70" s="50">
        <f t="array" ref="H70">IF(
    VLOOKUP(
        $A70,
        _xlfn._xlws.FILTER(
            INDIRECT("'"&amp;H$1&amp;"'!A2:G1000"), (INDIRECT("'"&amp;H$1&amp;"'!B2:B1000")=$B70) * (INDIRECT("'"&amp;H$1&amp;"'!C2:C1000")=$C70)
        ),
        5,
        FALSE
    )="",
    "",
    VLOOKUP(
        $A70,
        _xlfn._xlws.FILTER(
            INDIRECT("'"&amp;H$1&amp;"'!A2:G1000"), (INDIRECT("'"&amp;H$1&amp;"'!B2:B1000")=$B70) * (INDIRECT("'"&amp;H$1&amp;"'!C2:C1000")=$C70)
        ),7,
        FALSE
    )
)</f>
        <v/>
      </c>
      <c r="I70" s="50">
        <f t="array" ref="I70">IF(
    VLOOKUP(
        $A70,
        _xlfn._xlws.FILTER(
            INDIRECT("'"&amp;I$1&amp;"'!A2:G1000"), (INDIRECT("'"&amp;I$1&amp;"'!B2:B1000")=$B70) * (INDIRECT("'"&amp;I$1&amp;"'!C2:C1000")=$C70)
        ),
        5,
        FALSE
    )="",
    "",
    VLOOKUP(
        $A70,
        _xlfn._xlws.FILTER(
            INDIRECT("'"&amp;I$1&amp;"'!A2:G1000"), (INDIRECT("'"&amp;I$1&amp;"'!B2:B1000")=$B70) * (INDIRECT("'"&amp;I$1&amp;"'!C2:C1000")=$C70)
        ),7,
        FALSE
    )
)</f>
        <v/>
      </c>
      <c r="J70" s="50">
        <f t="array" ref="J70">IF(
    VLOOKUP(
        $A70,
        _xlfn._xlws.FILTER(
            INDIRECT("'"&amp;J$1&amp;"'!A2:G1000"), (INDIRECT("'"&amp;J$1&amp;"'!B2:B1000")=$B70) * (INDIRECT("'"&amp;J$1&amp;"'!C2:C1000")=$C70)
        ),
        5,
        FALSE
    )="",
    "",
    VLOOKUP(
        $A70,
        _xlfn._xlws.FILTER(
            INDIRECT("'"&amp;J$1&amp;"'!A2:G1000"), (INDIRECT("'"&amp;J$1&amp;"'!B2:B1000")=$B70) * (INDIRECT("'"&amp;J$1&amp;"'!C2:C1000")=$C70)
        ),7,
        FALSE
    )
)</f>
        <v/>
      </c>
      <c r="K70" s="50">
        <f t="array" ref="K70">IF(
    VLOOKUP(
        $A70,
        _xlfn._xlws.FILTER(
            INDIRECT("'"&amp;K$1&amp;"'!A2:G1000"), (INDIRECT("'"&amp;K$1&amp;"'!B2:B1000")=$B70) * (INDIRECT("'"&amp;K$1&amp;"'!C2:C1000")=$C70)
        ),
        5,
        FALSE
    )="",
    "",
    VLOOKUP(
        $A70,
        _xlfn._xlws.FILTER(
            INDIRECT("'"&amp;K$1&amp;"'!A2:G1000"), (INDIRECT("'"&amp;K$1&amp;"'!B2:B1000")=$B70) * (INDIRECT("'"&amp;K$1&amp;"'!C2:C1000")=$C70)
        ),7,
        FALSE
    )
)</f>
        <v/>
      </c>
      <c r="L70" s="50">
        <f t="array" ref="L70">IF(
    VLOOKUP(
        $A70,
        _xlfn._xlws.FILTER(
            INDIRECT("'"&amp;L$1&amp;"'!A2:G1000"), (INDIRECT("'"&amp;L$1&amp;"'!B2:B1000")=$B70) * (INDIRECT("'"&amp;L$1&amp;"'!C2:C1000")=$C70)
        ),
        5,
        FALSE
    )="",
    "",
    VLOOKUP(
        $A70,
        _xlfn._xlws.FILTER(
            INDIRECT("'"&amp;L$1&amp;"'!A2:G1000"), (INDIRECT("'"&amp;L$1&amp;"'!B2:B1000")=$B70) * (INDIRECT("'"&amp;L$1&amp;"'!C2:C1000")=$C70)
        ),7,
        FALSE
    )
)</f>
        <v/>
      </c>
      <c r="M70" s="50">
        <f t="array" ref="M70">IF(
    VLOOKUP(
        $A70,
        _xlfn._xlws.FILTER(
            INDIRECT("'"&amp;M$1&amp;"'!A2:G1000"), (INDIRECT("'"&amp;M$1&amp;"'!B2:B1000")=$B70) * (INDIRECT("'"&amp;M$1&amp;"'!C2:C1000")=$C70)
        ),
        5,
        FALSE
    )="",
    "",
    VLOOKUP(
        $A70,
        _xlfn._xlws.FILTER(
            INDIRECT("'"&amp;M$1&amp;"'!A2:G1000"), (INDIRECT("'"&amp;M$1&amp;"'!B2:B1000")=$B70) * (INDIRECT("'"&amp;M$1&amp;"'!C2:C1000")=$C70)
        ),7,
        FALSE
    )
)</f>
        <v/>
      </c>
      <c r="N70" s="50">
        <f t="array" ref="N70">IF(
    VLOOKUP(
        $A70,
        _xlfn._xlws.FILTER(
            INDIRECT("'"&amp;N$1&amp;"'!A2:G1000"), (INDIRECT("'"&amp;N$1&amp;"'!B2:B1000")=$B70) * (INDIRECT("'"&amp;N$1&amp;"'!C2:C1000")=$C70)
        ),
        5,
        FALSE
    )="",
    "",
    VLOOKUP(
        $A70,
        _xlfn._xlws.FILTER(
            INDIRECT("'"&amp;N$1&amp;"'!A2:G1000"), (INDIRECT("'"&amp;N$1&amp;"'!B2:B1000")=$B70) * (INDIRECT("'"&amp;N$1&amp;"'!C2:C1000")=$C70)
        ),7,
        FALSE
    )
)</f>
        <v/>
      </c>
      <c r="O70" s="50">
        <f t="array" ref="O70">IF(
    VLOOKUP(
        $A70,
        _xlfn._xlws.FILTER(
            INDIRECT("'"&amp;O$1&amp;"'!A2:G1000"), (INDIRECT("'"&amp;O$1&amp;"'!B2:B1000")=$B70) * (INDIRECT("'"&amp;O$1&amp;"'!C2:C1000")=$C70)
        ),
        5,
        FALSE
    )="",
    "",
    VLOOKUP(
        $A70,
        _xlfn._xlws.FILTER(
            INDIRECT("'"&amp;O$1&amp;"'!A2:G1000"), (INDIRECT("'"&amp;O$1&amp;"'!B2:B1000")=$B70) * (INDIRECT("'"&amp;O$1&amp;"'!C2:C1000")=$C70)
        ),7,
        FALSE
    )
)</f>
        <v/>
      </c>
      <c r="P70" s="50">
        <f t="array" ref="P70">IF(
    VLOOKUP(
        $A70,
        _xlfn._xlws.FILTER(
            INDIRECT("'"&amp;P$1&amp;"'!A2:G1000"), (INDIRECT("'"&amp;P$1&amp;"'!B2:B1000")=$B70) * (INDIRECT("'"&amp;P$1&amp;"'!C2:C1000")=$C70)
        ),
        5,
        FALSE
    )="",
    "",
    VLOOKUP(
        $A70,
        _xlfn._xlws.FILTER(
            INDIRECT("'"&amp;P$1&amp;"'!A2:G1000"), (INDIRECT("'"&amp;P$1&amp;"'!B2:B1000")=$B70) * (INDIRECT("'"&amp;P$1&amp;"'!C2:C1000")=$C70)
        ),7,
        FALSE
    )
)</f>
        <v/>
      </c>
      <c r="Q70" s="50">
        <f t="array" ref="Q70">IF(
    VLOOKUP(
        $A70,
        _xlfn._xlws.FILTER(
            INDIRECT("'"&amp;Q$1&amp;"'!A2:G1000"), (INDIRECT("'"&amp;Q$1&amp;"'!B2:B1000")=$B70) * (INDIRECT("'"&amp;Q$1&amp;"'!C2:C1000")=$C70)
        ),
        5,
        FALSE
    )="",
    "",
    VLOOKUP(
        $A70,
        _xlfn._xlws.FILTER(
            INDIRECT("'"&amp;Q$1&amp;"'!A2:G1000"), (INDIRECT("'"&amp;Q$1&amp;"'!B2:B1000")=$B70) * (INDIRECT("'"&amp;Q$1&amp;"'!C2:C1000")=$C70)
        ),7,
        FALSE
    )
)</f>
        <v/>
      </c>
    </row>
    <row r="71">
      <c r="A71" s="58" t="inlineStr">
        <is>
          <t>Valquiria</t>
        </is>
      </c>
      <c r="B71" s="50" t="inlineStr">
        <is>
          <t>Cascavel</t>
        </is>
      </c>
      <c r="C71" s="50" t="n">
        <v>1</v>
      </c>
      <c r="D71" s="50">
        <f t="array" ref="D71">IF(
    VLOOKUP(
        $A71,
        _xlfn._xlws.FILTER(
            INDIRECT("'"&amp;D$1&amp;"'!A2:G1000"), (INDIRECT("'"&amp;D$1&amp;"'!B2:B1000")=$B71) * (INDIRECT("'"&amp;D$1&amp;"'!C2:C1000")=$C71)
        ),
        5,
        FALSE
    )="",
    "",
    VLOOKUP(
        $A71,
        _xlfn._xlws.FILTER(
            INDIRECT("'"&amp;D$1&amp;"'!A2:G1000"), (INDIRECT("'"&amp;D$1&amp;"'!B2:B1000")=$B71) * (INDIRECT("'"&amp;D$1&amp;"'!C2:C1000")=$C71)
        ),7,
        FALSE
    )
)</f>
        <v/>
      </c>
      <c r="E71" s="50">
        <f t="array" ref="E71">IF(
    VLOOKUP(
        $A71,
        _xlfn._xlws.FILTER(
            INDIRECT("'"&amp;E$1&amp;"'!A2:G1000"), (INDIRECT("'"&amp;E$1&amp;"'!B2:B1000")=$B71) * (INDIRECT("'"&amp;E$1&amp;"'!C2:C1000")=$C71)
        ),
        5,
        FALSE
    )="",
    "",
    VLOOKUP(
        $A71,
        _xlfn._xlws.FILTER(
            INDIRECT("'"&amp;E$1&amp;"'!A2:G1000"), (INDIRECT("'"&amp;E$1&amp;"'!B2:B1000")=$B71) * (INDIRECT("'"&amp;E$1&amp;"'!C2:C1000")=$C71)
        ),7,
        FALSE
    )
)</f>
        <v/>
      </c>
      <c r="F71" s="50">
        <f t="array" ref="F71">IF(
    VLOOKUP(
        $A71,
        _xlfn._xlws.FILTER(
            INDIRECT("'"&amp;F$1&amp;"'!A2:G1000"), (INDIRECT("'"&amp;F$1&amp;"'!B2:B1000")=$B71) * (INDIRECT("'"&amp;F$1&amp;"'!C2:C1000")=$C71)
        ),
        5,
        FALSE
    )="",
    "",
    VLOOKUP(
        $A71,
        _xlfn._xlws.FILTER(
            INDIRECT("'"&amp;F$1&amp;"'!A2:G1000"), (INDIRECT("'"&amp;F$1&amp;"'!B2:B1000")=$B71) * (INDIRECT("'"&amp;F$1&amp;"'!C2:C1000")=$C71)
        ),7,
        FALSE
    )
)</f>
        <v/>
      </c>
      <c r="G71" s="50">
        <f t="array" ref="G71">IF(
    VLOOKUP(
        $A71,
        _xlfn._xlws.FILTER(
            INDIRECT("'"&amp;G$1&amp;"'!A2:G1000"), (INDIRECT("'"&amp;G$1&amp;"'!B2:B1000")=$B71) * (INDIRECT("'"&amp;G$1&amp;"'!C2:C1000")=$C71)
        ),
        5,
        FALSE
    )="",
    "",
    VLOOKUP(
        $A71,
        _xlfn._xlws.FILTER(
            INDIRECT("'"&amp;G$1&amp;"'!A2:G1000"), (INDIRECT("'"&amp;G$1&amp;"'!B2:B1000")=$B71) * (INDIRECT("'"&amp;G$1&amp;"'!C2:C1000")=$C71)
        ),7,
        FALSE
    )
)</f>
        <v/>
      </c>
      <c r="H71" s="50">
        <f t="array" ref="H71">IF(
    VLOOKUP(
        $A71,
        _xlfn._xlws.FILTER(
            INDIRECT("'"&amp;H$1&amp;"'!A2:G1000"), (INDIRECT("'"&amp;H$1&amp;"'!B2:B1000")=$B71) * (INDIRECT("'"&amp;H$1&amp;"'!C2:C1000")=$C71)
        ),
        5,
        FALSE
    )="",
    "",
    VLOOKUP(
        $A71,
        _xlfn._xlws.FILTER(
            INDIRECT("'"&amp;H$1&amp;"'!A2:G1000"), (INDIRECT("'"&amp;H$1&amp;"'!B2:B1000")=$B71) * (INDIRECT("'"&amp;H$1&amp;"'!C2:C1000")=$C71)
        ),7,
        FALSE
    )
)</f>
        <v/>
      </c>
      <c r="I71" s="50">
        <f t="array" ref="I71">IF(
    VLOOKUP(
        $A71,
        _xlfn._xlws.FILTER(
            INDIRECT("'"&amp;I$1&amp;"'!A2:G1000"), (INDIRECT("'"&amp;I$1&amp;"'!B2:B1000")=$B71) * (INDIRECT("'"&amp;I$1&amp;"'!C2:C1000")=$C71)
        ),
        5,
        FALSE
    )="",
    "",
    VLOOKUP(
        $A71,
        _xlfn._xlws.FILTER(
            INDIRECT("'"&amp;I$1&amp;"'!A2:G1000"), (INDIRECT("'"&amp;I$1&amp;"'!B2:B1000")=$B71) * (INDIRECT("'"&amp;I$1&amp;"'!C2:C1000")=$C71)
        ),7,
        FALSE
    )
)</f>
        <v/>
      </c>
      <c r="J71" s="50">
        <f t="array" ref="J71">IF(
    VLOOKUP(
        $A71,
        _xlfn._xlws.FILTER(
            INDIRECT("'"&amp;J$1&amp;"'!A2:G1000"), (INDIRECT("'"&amp;J$1&amp;"'!B2:B1000")=$B71) * (INDIRECT("'"&amp;J$1&amp;"'!C2:C1000")=$C71)
        ),
        5,
        FALSE
    )="",
    "",
    VLOOKUP(
        $A71,
        _xlfn._xlws.FILTER(
            INDIRECT("'"&amp;J$1&amp;"'!A2:G1000"), (INDIRECT("'"&amp;J$1&amp;"'!B2:B1000")=$B71) * (INDIRECT("'"&amp;J$1&amp;"'!C2:C1000")=$C71)
        ),7,
        FALSE
    )
)</f>
        <v/>
      </c>
      <c r="K71" s="50">
        <f t="array" ref="K71">IF(
    VLOOKUP(
        $A71,
        _xlfn._xlws.FILTER(
            INDIRECT("'"&amp;K$1&amp;"'!A2:G1000"), (INDIRECT("'"&amp;K$1&amp;"'!B2:B1000")=$B71) * (INDIRECT("'"&amp;K$1&amp;"'!C2:C1000")=$C71)
        ),
        5,
        FALSE
    )="",
    "",
    VLOOKUP(
        $A71,
        _xlfn._xlws.FILTER(
            INDIRECT("'"&amp;K$1&amp;"'!A2:G1000"), (INDIRECT("'"&amp;K$1&amp;"'!B2:B1000")=$B71) * (INDIRECT("'"&amp;K$1&amp;"'!C2:C1000")=$C71)
        ),7,
        FALSE
    )
)</f>
        <v/>
      </c>
      <c r="L71" s="50">
        <f t="array" ref="L71">IF(
    VLOOKUP(
        $A71,
        _xlfn._xlws.FILTER(
            INDIRECT("'"&amp;L$1&amp;"'!A2:G1000"), (INDIRECT("'"&amp;L$1&amp;"'!B2:B1000")=$B71) * (INDIRECT("'"&amp;L$1&amp;"'!C2:C1000")=$C71)
        ),
        5,
        FALSE
    )="",
    "",
    VLOOKUP(
        $A71,
        _xlfn._xlws.FILTER(
            INDIRECT("'"&amp;L$1&amp;"'!A2:G1000"), (INDIRECT("'"&amp;L$1&amp;"'!B2:B1000")=$B71) * (INDIRECT("'"&amp;L$1&amp;"'!C2:C1000")=$C71)
        ),7,
        FALSE
    )
)</f>
        <v/>
      </c>
      <c r="M71" s="50">
        <f t="array" ref="M71">IF(
    VLOOKUP(
        $A71,
        _xlfn._xlws.FILTER(
            INDIRECT("'"&amp;M$1&amp;"'!A2:G1000"), (INDIRECT("'"&amp;M$1&amp;"'!B2:B1000")=$B71) * (INDIRECT("'"&amp;M$1&amp;"'!C2:C1000")=$C71)
        ),
        5,
        FALSE
    )="",
    "",
    VLOOKUP(
        $A71,
        _xlfn._xlws.FILTER(
            INDIRECT("'"&amp;M$1&amp;"'!A2:G1000"), (INDIRECT("'"&amp;M$1&amp;"'!B2:B1000")=$B71) * (INDIRECT("'"&amp;M$1&amp;"'!C2:C1000")=$C71)
        ),7,
        FALSE
    )
)</f>
        <v/>
      </c>
      <c r="N71" s="50">
        <f t="array" ref="N71">IF(
    VLOOKUP(
        $A71,
        _xlfn._xlws.FILTER(
            INDIRECT("'"&amp;N$1&amp;"'!A2:G1000"), (INDIRECT("'"&amp;N$1&amp;"'!B2:B1000")=$B71) * (INDIRECT("'"&amp;N$1&amp;"'!C2:C1000")=$C71)
        ),
        5,
        FALSE
    )="",
    "",
    VLOOKUP(
        $A71,
        _xlfn._xlws.FILTER(
            INDIRECT("'"&amp;N$1&amp;"'!A2:G1000"), (INDIRECT("'"&amp;N$1&amp;"'!B2:B1000")=$B71) * (INDIRECT("'"&amp;N$1&amp;"'!C2:C1000")=$C71)
        ),7,
        FALSE
    )
)</f>
        <v/>
      </c>
      <c r="O71" s="50">
        <f t="array" ref="O71">IF(
    VLOOKUP(
        $A71,
        _xlfn._xlws.FILTER(
            INDIRECT("'"&amp;O$1&amp;"'!A2:G1000"), (INDIRECT("'"&amp;O$1&amp;"'!B2:B1000")=$B71) * (INDIRECT("'"&amp;O$1&amp;"'!C2:C1000")=$C71)
        ),
        5,
        FALSE
    )="",
    "",
    VLOOKUP(
        $A71,
        _xlfn._xlws.FILTER(
            INDIRECT("'"&amp;O$1&amp;"'!A2:G1000"), (INDIRECT("'"&amp;O$1&amp;"'!B2:B1000")=$B71) * (INDIRECT("'"&amp;O$1&amp;"'!C2:C1000")=$C71)
        ),7,
        FALSE
    )
)</f>
        <v/>
      </c>
      <c r="P71" s="50">
        <f t="array" ref="P71">IF(
    VLOOKUP(
        $A71,
        _xlfn._xlws.FILTER(
            INDIRECT("'"&amp;P$1&amp;"'!A2:G1000"), (INDIRECT("'"&amp;P$1&amp;"'!B2:B1000")=$B71) * (INDIRECT("'"&amp;P$1&amp;"'!C2:C1000")=$C71)
        ),
        5,
        FALSE
    )="",
    "",
    VLOOKUP(
        $A71,
        _xlfn._xlws.FILTER(
            INDIRECT("'"&amp;P$1&amp;"'!A2:G1000"), (INDIRECT("'"&amp;P$1&amp;"'!B2:B1000")=$B71) * (INDIRECT("'"&amp;P$1&amp;"'!C2:C1000")=$C71)
        ),7,
        FALSE
    )
)</f>
        <v/>
      </c>
      <c r="Q71" s="50">
        <f t="array" ref="Q71">IF(
    VLOOKUP(
        $A71,
        _xlfn._xlws.FILTER(
            INDIRECT("'"&amp;Q$1&amp;"'!A2:G1000"), (INDIRECT("'"&amp;Q$1&amp;"'!B2:B1000")=$B71) * (INDIRECT("'"&amp;Q$1&amp;"'!C2:C1000")=$C71)
        ),
        5,
        FALSE
    )="",
    "",
    VLOOKUP(
        $A71,
        _xlfn._xlws.FILTER(
            INDIRECT("'"&amp;Q$1&amp;"'!A2:G1000"), (INDIRECT("'"&amp;Q$1&amp;"'!B2:B1000")=$B71) * (INDIRECT("'"&amp;Q$1&amp;"'!C2:C1000")=$C71)
        ),7,
        FALSE
    )
)</f>
        <v/>
      </c>
    </row>
    <row r="72">
      <c r="A72" s="58" t="inlineStr">
        <is>
          <t>Valquiria</t>
        </is>
      </c>
      <c r="B72" s="50" t="inlineStr">
        <is>
          <t>Cascavel</t>
        </is>
      </c>
      <c r="C72" s="50" t="n">
        <v>2</v>
      </c>
      <c r="D72" s="50">
        <f t="array" ref="D72">IF(
    VLOOKUP(
        $A72,
        _xlfn._xlws.FILTER(
            INDIRECT("'"&amp;D$1&amp;"'!A2:G1000"), (INDIRECT("'"&amp;D$1&amp;"'!B2:B1000")=$B72) * (INDIRECT("'"&amp;D$1&amp;"'!C2:C1000")=$C72)
        ),
        5,
        FALSE
    )="",
    "",
    VLOOKUP(
        $A72,
        _xlfn._xlws.FILTER(
            INDIRECT("'"&amp;D$1&amp;"'!A2:G1000"), (INDIRECT("'"&amp;D$1&amp;"'!B2:B1000")=$B72) * (INDIRECT("'"&amp;D$1&amp;"'!C2:C1000")=$C72)
        ),7,
        FALSE
    )
)</f>
        <v/>
      </c>
      <c r="E72" s="50">
        <f t="array" ref="E72">IF(
    VLOOKUP(
        $A72,
        _xlfn._xlws.FILTER(
            INDIRECT("'"&amp;E$1&amp;"'!A2:G1000"), (INDIRECT("'"&amp;E$1&amp;"'!B2:B1000")=$B72) * (INDIRECT("'"&amp;E$1&amp;"'!C2:C1000")=$C72)
        ),
        5,
        FALSE
    )="",
    "",
    VLOOKUP(
        $A72,
        _xlfn._xlws.FILTER(
            INDIRECT("'"&amp;E$1&amp;"'!A2:G1000"), (INDIRECT("'"&amp;E$1&amp;"'!B2:B1000")=$B72) * (INDIRECT("'"&amp;E$1&amp;"'!C2:C1000")=$C72)
        ),7,
        FALSE
    )
)</f>
        <v/>
      </c>
      <c r="F72" s="50">
        <f t="array" ref="F72">IF(
    VLOOKUP(
        $A72,
        _xlfn._xlws.FILTER(
            INDIRECT("'"&amp;F$1&amp;"'!A2:G1000"), (INDIRECT("'"&amp;F$1&amp;"'!B2:B1000")=$B72) * (INDIRECT("'"&amp;F$1&amp;"'!C2:C1000")=$C72)
        ),
        5,
        FALSE
    )="",
    "",
    VLOOKUP(
        $A72,
        _xlfn._xlws.FILTER(
            INDIRECT("'"&amp;F$1&amp;"'!A2:G1000"), (INDIRECT("'"&amp;F$1&amp;"'!B2:B1000")=$B72) * (INDIRECT("'"&amp;F$1&amp;"'!C2:C1000")=$C72)
        ),7,
        FALSE
    )
)</f>
        <v/>
      </c>
      <c r="G72" s="50">
        <f t="array" ref="G72">IF(
    VLOOKUP(
        $A72,
        _xlfn._xlws.FILTER(
            INDIRECT("'"&amp;G$1&amp;"'!A2:G1000"), (INDIRECT("'"&amp;G$1&amp;"'!B2:B1000")=$B72) * (INDIRECT("'"&amp;G$1&amp;"'!C2:C1000")=$C72)
        ),
        5,
        FALSE
    )="",
    "",
    VLOOKUP(
        $A72,
        _xlfn._xlws.FILTER(
            INDIRECT("'"&amp;G$1&amp;"'!A2:G1000"), (INDIRECT("'"&amp;G$1&amp;"'!B2:B1000")=$B72) * (INDIRECT("'"&amp;G$1&amp;"'!C2:C1000")=$C72)
        ),7,
        FALSE
    )
)</f>
        <v/>
      </c>
      <c r="H72" s="50">
        <f t="array" ref="H72">IF(
    VLOOKUP(
        $A72,
        _xlfn._xlws.FILTER(
            INDIRECT("'"&amp;H$1&amp;"'!A2:G1000"), (INDIRECT("'"&amp;H$1&amp;"'!B2:B1000")=$B72) * (INDIRECT("'"&amp;H$1&amp;"'!C2:C1000")=$C72)
        ),
        5,
        FALSE
    )="",
    "",
    VLOOKUP(
        $A72,
        _xlfn._xlws.FILTER(
            INDIRECT("'"&amp;H$1&amp;"'!A2:G1000"), (INDIRECT("'"&amp;H$1&amp;"'!B2:B1000")=$B72) * (INDIRECT("'"&amp;H$1&amp;"'!C2:C1000")=$C72)
        ),7,
        FALSE
    )
)</f>
        <v/>
      </c>
      <c r="I72" s="50">
        <f t="array" ref="I72">IF(
    VLOOKUP(
        $A72,
        _xlfn._xlws.FILTER(
            INDIRECT("'"&amp;I$1&amp;"'!A2:G1000"), (INDIRECT("'"&amp;I$1&amp;"'!B2:B1000")=$B72) * (INDIRECT("'"&amp;I$1&amp;"'!C2:C1000")=$C72)
        ),
        5,
        FALSE
    )="",
    "",
    VLOOKUP(
        $A72,
        _xlfn._xlws.FILTER(
            INDIRECT("'"&amp;I$1&amp;"'!A2:G1000"), (INDIRECT("'"&amp;I$1&amp;"'!B2:B1000")=$B72) * (INDIRECT("'"&amp;I$1&amp;"'!C2:C1000")=$C72)
        ),7,
        FALSE
    )
)</f>
        <v/>
      </c>
      <c r="J72" s="50">
        <f t="array" ref="J72">IF(
    VLOOKUP(
        $A72,
        _xlfn._xlws.FILTER(
            INDIRECT("'"&amp;J$1&amp;"'!A2:G1000"), (INDIRECT("'"&amp;J$1&amp;"'!B2:B1000")=$B72) * (INDIRECT("'"&amp;J$1&amp;"'!C2:C1000")=$C72)
        ),
        5,
        FALSE
    )="",
    "",
    VLOOKUP(
        $A72,
        _xlfn._xlws.FILTER(
            INDIRECT("'"&amp;J$1&amp;"'!A2:G1000"), (INDIRECT("'"&amp;J$1&amp;"'!B2:B1000")=$B72) * (INDIRECT("'"&amp;J$1&amp;"'!C2:C1000")=$C72)
        ),7,
        FALSE
    )
)</f>
        <v/>
      </c>
      <c r="K72" s="50">
        <f t="array" ref="K72">IF(
    VLOOKUP(
        $A72,
        _xlfn._xlws.FILTER(
            INDIRECT("'"&amp;K$1&amp;"'!A2:G1000"), (INDIRECT("'"&amp;K$1&amp;"'!B2:B1000")=$B72) * (INDIRECT("'"&amp;K$1&amp;"'!C2:C1000")=$C72)
        ),
        5,
        FALSE
    )="",
    "",
    VLOOKUP(
        $A72,
        _xlfn._xlws.FILTER(
            INDIRECT("'"&amp;K$1&amp;"'!A2:G1000"), (INDIRECT("'"&amp;K$1&amp;"'!B2:B1000")=$B72) * (INDIRECT("'"&amp;K$1&amp;"'!C2:C1000")=$C72)
        ),7,
        FALSE
    )
)</f>
        <v/>
      </c>
      <c r="L72" s="50">
        <f t="array" ref="L72">IF(
    VLOOKUP(
        $A72,
        _xlfn._xlws.FILTER(
            INDIRECT("'"&amp;L$1&amp;"'!A2:G1000"), (INDIRECT("'"&amp;L$1&amp;"'!B2:B1000")=$B72) * (INDIRECT("'"&amp;L$1&amp;"'!C2:C1000")=$C72)
        ),
        5,
        FALSE
    )="",
    "",
    VLOOKUP(
        $A72,
        _xlfn._xlws.FILTER(
            INDIRECT("'"&amp;L$1&amp;"'!A2:G1000"), (INDIRECT("'"&amp;L$1&amp;"'!B2:B1000")=$B72) * (INDIRECT("'"&amp;L$1&amp;"'!C2:C1000")=$C72)
        ),7,
        FALSE
    )
)</f>
        <v/>
      </c>
      <c r="M72" s="50">
        <f t="array" ref="M72">IF(
    VLOOKUP(
        $A72,
        _xlfn._xlws.FILTER(
            INDIRECT("'"&amp;M$1&amp;"'!A2:G1000"), (INDIRECT("'"&amp;M$1&amp;"'!B2:B1000")=$B72) * (INDIRECT("'"&amp;M$1&amp;"'!C2:C1000")=$C72)
        ),
        5,
        FALSE
    )="",
    "",
    VLOOKUP(
        $A72,
        _xlfn._xlws.FILTER(
            INDIRECT("'"&amp;M$1&amp;"'!A2:G1000"), (INDIRECT("'"&amp;M$1&amp;"'!B2:B1000")=$B72) * (INDIRECT("'"&amp;M$1&amp;"'!C2:C1000")=$C72)
        ),7,
        FALSE
    )
)</f>
        <v/>
      </c>
      <c r="N72" s="50">
        <f t="array" ref="N72">IF(
    VLOOKUP(
        $A72,
        _xlfn._xlws.FILTER(
            INDIRECT("'"&amp;N$1&amp;"'!A2:G1000"), (INDIRECT("'"&amp;N$1&amp;"'!B2:B1000")=$B72) * (INDIRECT("'"&amp;N$1&amp;"'!C2:C1000")=$C72)
        ),
        5,
        FALSE
    )="",
    "",
    VLOOKUP(
        $A72,
        _xlfn._xlws.FILTER(
            INDIRECT("'"&amp;N$1&amp;"'!A2:G1000"), (INDIRECT("'"&amp;N$1&amp;"'!B2:B1000")=$B72) * (INDIRECT("'"&amp;N$1&amp;"'!C2:C1000")=$C72)
        ),7,
        FALSE
    )
)</f>
        <v/>
      </c>
      <c r="O72" s="50">
        <f t="array" ref="O72">IF(
    VLOOKUP(
        $A72,
        _xlfn._xlws.FILTER(
            INDIRECT("'"&amp;O$1&amp;"'!A2:G1000"), (INDIRECT("'"&amp;O$1&amp;"'!B2:B1000")=$B72) * (INDIRECT("'"&amp;O$1&amp;"'!C2:C1000")=$C72)
        ),
        5,
        FALSE
    )="",
    "",
    VLOOKUP(
        $A72,
        _xlfn._xlws.FILTER(
            INDIRECT("'"&amp;O$1&amp;"'!A2:G1000"), (INDIRECT("'"&amp;O$1&amp;"'!B2:B1000")=$B72) * (INDIRECT("'"&amp;O$1&amp;"'!C2:C1000")=$C72)
        ),7,
        FALSE
    )
)</f>
        <v/>
      </c>
      <c r="P72" s="50">
        <f t="array" ref="P72">IF(
    VLOOKUP(
        $A72,
        _xlfn._xlws.FILTER(
            INDIRECT("'"&amp;P$1&amp;"'!A2:G1000"), (INDIRECT("'"&amp;P$1&amp;"'!B2:B1000")=$B72) * (INDIRECT("'"&amp;P$1&amp;"'!C2:C1000")=$C72)
        ),
        5,
        FALSE
    )="",
    "",
    VLOOKUP(
        $A72,
        _xlfn._xlws.FILTER(
            INDIRECT("'"&amp;P$1&amp;"'!A2:G1000"), (INDIRECT("'"&amp;P$1&amp;"'!B2:B1000")=$B72) * (INDIRECT("'"&amp;P$1&amp;"'!C2:C1000")=$C72)
        ),7,
        FALSE
    )
)</f>
        <v/>
      </c>
      <c r="Q72" s="50">
        <f t="array" ref="Q72">IF(
    VLOOKUP(
        $A72,
        _xlfn._xlws.FILTER(
            INDIRECT("'"&amp;Q$1&amp;"'!A2:G1000"), (INDIRECT("'"&amp;Q$1&amp;"'!B2:B1000")=$B72) * (INDIRECT("'"&amp;Q$1&amp;"'!C2:C1000")=$C72)
        ),
        5,
        FALSE
    )="",
    "",
    VLOOKUP(
        $A72,
        _xlfn._xlws.FILTER(
            INDIRECT("'"&amp;Q$1&amp;"'!A2:G1000"), (INDIRECT("'"&amp;Q$1&amp;"'!B2:B1000")=$B72) * (INDIRECT("'"&amp;Q$1&amp;"'!C2:C1000")=$C72)
        ),7,
        FALSE
    )
)</f>
        <v/>
      </c>
    </row>
    <row r="73">
      <c r="A73" s="58" t="inlineStr">
        <is>
          <t>Valquiria</t>
        </is>
      </c>
      <c r="B73" s="50" t="inlineStr">
        <is>
          <t>Cascavel</t>
        </is>
      </c>
      <c r="C73" s="50" t="n">
        <v>3</v>
      </c>
      <c r="D73" s="50">
        <f t="array" ref="D73">IF(
    VLOOKUP(
        $A73,
        _xlfn._xlws.FILTER(
            INDIRECT("'"&amp;D$1&amp;"'!A2:G1000"), (INDIRECT("'"&amp;D$1&amp;"'!B2:B1000")=$B73) * (INDIRECT("'"&amp;D$1&amp;"'!C2:C1000")=$C73)
        ),
        5,
        FALSE
    )="",
    "",
    VLOOKUP(
        $A73,
        _xlfn._xlws.FILTER(
            INDIRECT("'"&amp;D$1&amp;"'!A2:G1000"), (INDIRECT("'"&amp;D$1&amp;"'!B2:B1000")=$B73) * (INDIRECT("'"&amp;D$1&amp;"'!C2:C1000")=$C73)
        ),7,
        FALSE
    )
)</f>
        <v/>
      </c>
      <c r="E73" s="50">
        <f t="array" ref="E73">IF(
    VLOOKUP(
        $A73,
        _xlfn._xlws.FILTER(
            INDIRECT("'"&amp;E$1&amp;"'!A2:G1000"), (INDIRECT("'"&amp;E$1&amp;"'!B2:B1000")=$B73) * (INDIRECT("'"&amp;E$1&amp;"'!C2:C1000")=$C73)
        ),
        5,
        FALSE
    )="",
    "",
    VLOOKUP(
        $A73,
        _xlfn._xlws.FILTER(
            INDIRECT("'"&amp;E$1&amp;"'!A2:G1000"), (INDIRECT("'"&amp;E$1&amp;"'!B2:B1000")=$B73) * (INDIRECT("'"&amp;E$1&amp;"'!C2:C1000")=$C73)
        ),7,
        FALSE
    )
)</f>
        <v/>
      </c>
      <c r="F73" s="50">
        <f t="array" ref="F73">IF(
    VLOOKUP(
        $A73,
        _xlfn._xlws.FILTER(
            INDIRECT("'"&amp;F$1&amp;"'!A2:G1000"), (INDIRECT("'"&amp;F$1&amp;"'!B2:B1000")=$B73) * (INDIRECT("'"&amp;F$1&amp;"'!C2:C1000")=$C73)
        ),
        5,
        FALSE
    )="",
    "",
    VLOOKUP(
        $A73,
        _xlfn._xlws.FILTER(
            INDIRECT("'"&amp;F$1&amp;"'!A2:G1000"), (INDIRECT("'"&amp;F$1&amp;"'!B2:B1000")=$B73) * (INDIRECT("'"&amp;F$1&amp;"'!C2:C1000")=$C73)
        ),7,
        FALSE
    )
)</f>
        <v/>
      </c>
      <c r="G73" s="50">
        <f t="array" ref="G73">IF(
    VLOOKUP(
        $A73,
        _xlfn._xlws.FILTER(
            INDIRECT("'"&amp;G$1&amp;"'!A2:G1000"), (INDIRECT("'"&amp;G$1&amp;"'!B2:B1000")=$B73) * (INDIRECT("'"&amp;G$1&amp;"'!C2:C1000")=$C73)
        ),
        5,
        FALSE
    )="",
    "",
    VLOOKUP(
        $A73,
        _xlfn._xlws.FILTER(
            INDIRECT("'"&amp;G$1&amp;"'!A2:G1000"), (INDIRECT("'"&amp;G$1&amp;"'!B2:B1000")=$B73) * (INDIRECT("'"&amp;G$1&amp;"'!C2:C1000")=$C73)
        ),7,
        FALSE
    )
)</f>
        <v/>
      </c>
      <c r="H73" s="50">
        <f t="array" ref="H73">IF(
    VLOOKUP(
        $A73,
        _xlfn._xlws.FILTER(
            INDIRECT("'"&amp;H$1&amp;"'!A2:G1000"), (INDIRECT("'"&amp;H$1&amp;"'!B2:B1000")=$B73) * (INDIRECT("'"&amp;H$1&amp;"'!C2:C1000")=$C73)
        ),
        5,
        FALSE
    )="",
    "",
    VLOOKUP(
        $A73,
        _xlfn._xlws.FILTER(
            INDIRECT("'"&amp;H$1&amp;"'!A2:G1000"), (INDIRECT("'"&amp;H$1&amp;"'!B2:B1000")=$B73) * (INDIRECT("'"&amp;H$1&amp;"'!C2:C1000")=$C73)
        ),7,
        FALSE
    )
)</f>
        <v/>
      </c>
      <c r="I73" s="50">
        <f t="array" ref="I73">IF(
    VLOOKUP(
        $A73,
        _xlfn._xlws.FILTER(
            INDIRECT("'"&amp;I$1&amp;"'!A2:G1000"), (INDIRECT("'"&amp;I$1&amp;"'!B2:B1000")=$B73) * (INDIRECT("'"&amp;I$1&amp;"'!C2:C1000")=$C73)
        ),
        5,
        FALSE
    )="",
    "",
    VLOOKUP(
        $A73,
        _xlfn._xlws.FILTER(
            INDIRECT("'"&amp;I$1&amp;"'!A2:G1000"), (INDIRECT("'"&amp;I$1&amp;"'!B2:B1000")=$B73) * (INDIRECT("'"&amp;I$1&amp;"'!C2:C1000")=$C73)
        ),7,
        FALSE
    )
)</f>
        <v/>
      </c>
      <c r="J73" s="50">
        <f t="array" ref="J73">IF(
    VLOOKUP(
        $A73,
        _xlfn._xlws.FILTER(
            INDIRECT("'"&amp;J$1&amp;"'!A2:G1000"), (INDIRECT("'"&amp;J$1&amp;"'!B2:B1000")=$B73) * (INDIRECT("'"&amp;J$1&amp;"'!C2:C1000")=$C73)
        ),
        5,
        FALSE
    )="",
    "",
    VLOOKUP(
        $A73,
        _xlfn._xlws.FILTER(
            INDIRECT("'"&amp;J$1&amp;"'!A2:G1000"), (INDIRECT("'"&amp;J$1&amp;"'!B2:B1000")=$B73) * (INDIRECT("'"&amp;J$1&amp;"'!C2:C1000")=$C73)
        ),7,
        FALSE
    )
)</f>
        <v/>
      </c>
      <c r="K73" s="50">
        <f t="array" ref="K73">IF(
    VLOOKUP(
        $A73,
        _xlfn._xlws.FILTER(
            INDIRECT("'"&amp;K$1&amp;"'!A2:G1000"), (INDIRECT("'"&amp;K$1&amp;"'!B2:B1000")=$B73) * (INDIRECT("'"&amp;K$1&amp;"'!C2:C1000")=$C73)
        ),
        5,
        FALSE
    )="",
    "",
    VLOOKUP(
        $A73,
        _xlfn._xlws.FILTER(
            INDIRECT("'"&amp;K$1&amp;"'!A2:G1000"), (INDIRECT("'"&amp;K$1&amp;"'!B2:B1000")=$B73) * (INDIRECT("'"&amp;K$1&amp;"'!C2:C1000")=$C73)
        ),7,
        FALSE
    )
)</f>
        <v/>
      </c>
      <c r="L73" s="50">
        <f t="array" ref="L73">IF(
    VLOOKUP(
        $A73,
        _xlfn._xlws.FILTER(
            INDIRECT("'"&amp;L$1&amp;"'!A2:G1000"), (INDIRECT("'"&amp;L$1&amp;"'!B2:B1000")=$B73) * (INDIRECT("'"&amp;L$1&amp;"'!C2:C1000")=$C73)
        ),
        5,
        FALSE
    )="",
    "",
    VLOOKUP(
        $A73,
        _xlfn._xlws.FILTER(
            INDIRECT("'"&amp;L$1&amp;"'!A2:G1000"), (INDIRECT("'"&amp;L$1&amp;"'!B2:B1000")=$B73) * (INDIRECT("'"&amp;L$1&amp;"'!C2:C1000")=$C73)
        ),7,
        FALSE
    )
)</f>
        <v/>
      </c>
      <c r="M73" s="50">
        <f t="array" ref="M73">IF(
    VLOOKUP(
        $A73,
        _xlfn._xlws.FILTER(
            INDIRECT("'"&amp;M$1&amp;"'!A2:G1000"), (INDIRECT("'"&amp;M$1&amp;"'!B2:B1000")=$B73) * (INDIRECT("'"&amp;M$1&amp;"'!C2:C1000")=$C73)
        ),
        5,
        FALSE
    )="",
    "",
    VLOOKUP(
        $A73,
        _xlfn._xlws.FILTER(
            INDIRECT("'"&amp;M$1&amp;"'!A2:G1000"), (INDIRECT("'"&amp;M$1&amp;"'!B2:B1000")=$B73) * (INDIRECT("'"&amp;M$1&amp;"'!C2:C1000")=$C73)
        ),7,
        FALSE
    )
)</f>
        <v/>
      </c>
      <c r="N73" s="50">
        <f t="array" ref="N73">IF(
    VLOOKUP(
        $A73,
        _xlfn._xlws.FILTER(
            INDIRECT("'"&amp;N$1&amp;"'!A2:G1000"), (INDIRECT("'"&amp;N$1&amp;"'!B2:B1000")=$B73) * (INDIRECT("'"&amp;N$1&amp;"'!C2:C1000")=$C73)
        ),
        5,
        FALSE
    )="",
    "",
    VLOOKUP(
        $A73,
        _xlfn._xlws.FILTER(
            INDIRECT("'"&amp;N$1&amp;"'!A2:G1000"), (INDIRECT("'"&amp;N$1&amp;"'!B2:B1000")=$B73) * (INDIRECT("'"&amp;N$1&amp;"'!C2:C1000")=$C73)
        ),7,
        FALSE
    )
)</f>
        <v/>
      </c>
      <c r="O73" s="50">
        <f t="array" ref="O73">IF(
    VLOOKUP(
        $A73,
        _xlfn._xlws.FILTER(
            INDIRECT("'"&amp;O$1&amp;"'!A2:G1000"), (INDIRECT("'"&amp;O$1&amp;"'!B2:B1000")=$B73) * (INDIRECT("'"&amp;O$1&amp;"'!C2:C1000")=$C73)
        ),
        5,
        FALSE
    )="",
    "",
    VLOOKUP(
        $A73,
        _xlfn._xlws.FILTER(
            INDIRECT("'"&amp;O$1&amp;"'!A2:G1000"), (INDIRECT("'"&amp;O$1&amp;"'!B2:B1000")=$B73) * (INDIRECT("'"&amp;O$1&amp;"'!C2:C1000")=$C73)
        ),7,
        FALSE
    )
)</f>
        <v/>
      </c>
      <c r="P73" s="50">
        <f t="array" ref="P73">IF(
    VLOOKUP(
        $A73,
        _xlfn._xlws.FILTER(
            INDIRECT("'"&amp;P$1&amp;"'!A2:G1000"), (INDIRECT("'"&amp;P$1&amp;"'!B2:B1000")=$B73) * (INDIRECT("'"&amp;P$1&amp;"'!C2:C1000")=$C73)
        ),
        5,
        FALSE
    )="",
    "",
    VLOOKUP(
        $A73,
        _xlfn._xlws.FILTER(
            INDIRECT("'"&amp;P$1&amp;"'!A2:G1000"), (INDIRECT("'"&amp;P$1&amp;"'!B2:B1000")=$B73) * (INDIRECT("'"&amp;P$1&amp;"'!C2:C1000")=$C73)
        ),7,
        FALSE
    )
)</f>
        <v/>
      </c>
      <c r="Q73" s="50">
        <f t="array" ref="Q73">IF(
    VLOOKUP(
        $A73,
        _xlfn._xlws.FILTER(
            INDIRECT("'"&amp;Q$1&amp;"'!A2:G1000"), (INDIRECT("'"&amp;Q$1&amp;"'!B2:B1000")=$B73) * (INDIRECT("'"&amp;Q$1&amp;"'!C2:C1000")=$C73)
        ),
        5,
        FALSE
    )="",
    "",
    VLOOKUP(
        $A73,
        _xlfn._xlws.FILTER(
            INDIRECT("'"&amp;Q$1&amp;"'!A2:G1000"), (INDIRECT("'"&amp;Q$1&amp;"'!B2:B1000")=$B73) * (INDIRECT("'"&amp;Q$1&amp;"'!C2:C1000")=$C73)
        ),7,
        FALSE
    )
)</f>
        <v/>
      </c>
    </row>
    <row r="74">
      <c r="A74" s="58" t="inlineStr">
        <is>
          <t>Valquiria</t>
        </is>
      </c>
      <c r="B74" s="50" t="inlineStr">
        <is>
          <t>Cascavel</t>
        </is>
      </c>
      <c r="C74" s="50" t="n">
        <v>4</v>
      </c>
      <c r="D74" s="50">
        <f t="array" ref="D74">IF(
    VLOOKUP(
        $A74,
        _xlfn._xlws.FILTER(
            INDIRECT("'"&amp;D$1&amp;"'!A2:G1000"), (INDIRECT("'"&amp;D$1&amp;"'!B2:B1000")=$B74) * (INDIRECT("'"&amp;D$1&amp;"'!C2:C1000")=$C74)
        ),
        5,
        FALSE
    )="",
    "",
    VLOOKUP(
        $A74,
        _xlfn._xlws.FILTER(
            INDIRECT("'"&amp;D$1&amp;"'!A2:G1000"), (INDIRECT("'"&amp;D$1&amp;"'!B2:B1000")=$B74) * (INDIRECT("'"&amp;D$1&amp;"'!C2:C1000")=$C74)
        ),7,
        FALSE
    )
)</f>
        <v/>
      </c>
      <c r="E74" s="50">
        <f t="array" ref="E74">IF(
    VLOOKUP(
        $A74,
        _xlfn._xlws.FILTER(
            INDIRECT("'"&amp;E$1&amp;"'!A2:G1000"), (INDIRECT("'"&amp;E$1&amp;"'!B2:B1000")=$B74) * (INDIRECT("'"&amp;E$1&amp;"'!C2:C1000")=$C74)
        ),
        5,
        FALSE
    )="",
    "",
    VLOOKUP(
        $A74,
        _xlfn._xlws.FILTER(
            INDIRECT("'"&amp;E$1&amp;"'!A2:G1000"), (INDIRECT("'"&amp;E$1&amp;"'!B2:B1000")=$B74) * (INDIRECT("'"&amp;E$1&amp;"'!C2:C1000")=$C74)
        ),7,
        FALSE
    )
)</f>
        <v/>
      </c>
      <c r="F74" s="50">
        <f t="array" ref="F74">IF(
    VLOOKUP(
        $A74,
        _xlfn._xlws.FILTER(
            INDIRECT("'"&amp;F$1&amp;"'!A2:G1000"), (INDIRECT("'"&amp;F$1&amp;"'!B2:B1000")=$B74) * (INDIRECT("'"&amp;F$1&amp;"'!C2:C1000")=$C74)
        ),
        5,
        FALSE
    )="",
    "",
    VLOOKUP(
        $A74,
        _xlfn._xlws.FILTER(
            INDIRECT("'"&amp;F$1&amp;"'!A2:G1000"), (INDIRECT("'"&amp;F$1&amp;"'!B2:B1000")=$B74) * (INDIRECT("'"&amp;F$1&amp;"'!C2:C1000")=$C74)
        ),7,
        FALSE
    )
)</f>
        <v/>
      </c>
      <c r="G74" s="50">
        <f t="array" ref="G74">IF(
    VLOOKUP(
        $A74,
        _xlfn._xlws.FILTER(
            INDIRECT("'"&amp;G$1&amp;"'!A2:G1000"), (INDIRECT("'"&amp;G$1&amp;"'!B2:B1000")=$B74) * (INDIRECT("'"&amp;G$1&amp;"'!C2:C1000")=$C74)
        ),
        5,
        FALSE
    )="",
    "",
    VLOOKUP(
        $A74,
        _xlfn._xlws.FILTER(
            INDIRECT("'"&amp;G$1&amp;"'!A2:G1000"), (INDIRECT("'"&amp;G$1&amp;"'!B2:B1000")=$B74) * (INDIRECT("'"&amp;G$1&amp;"'!C2:C1000")=$C74)
        ),7,
        FALSE
    )
)</f>
        <v/>
      </c>
      <c r="H74" s="50">
        <f t="array" ref="H74">IF(
    VLOOKUP(
        $A74,
        _xlfn._xlws.FILTER(
            INDIRECT("'"&amp;H$1&amp;"'!A2:G1000"), (INDIRECT("'"&amp;H$1&amp;"'!B2:B1000")=$B74) * (INDIRECT("'"&amp;H$1&amp;"'!C2:C1000")=$C74)
        ),
        5,
        FALSE
    )="",
    "",
    VLOOKUP(
        $A74,
        _xlfn._xlws.FILTER(
            INDIRECT("'"&amp;H$1&amp;"'!A2:G1000"), (INDIRECT("'"&amp;H$1&amp;"'!B2:B1000")=$B74) * (INDIRECT("'"&amp;H$1&amp;"'!C2:C1000")=$C74)
        ),7,
        FALSE
    )
)</f>
        <v/>
      </c>
      <c r="I74" s="50">
        <f t="array" ref="I74">IF(
    VLOOKUP(
        $A74,
        _xlfn._xlws.FILTER(
            INDIRECT("'"&amp;I$1&amp;"'!A2:G1000"), (INDIRECT("'"&amp;I$1&amp;"'!B2:B1000")=$B74) * (INDIRECT("'"&amp;I$1&amp;"'!C2:C1000")=$C74)
        ),
        5,
        FALSE
    )="",
    "",
    VLOOKUP(
        $A74,
        _xlfn._xlws.FILTER(
            INDIRECT("'"&amp;I$1&amp;"'!A2:G1000"), (INDIRECT("'"&amp;I$1&amp;"'!B2:B1000")=$B74) * (INDIRECT("'"&amp;I$1&amp;"'!C2:C1000")=$C74)
        ),7,
        FALSE
    )
)</f>
        <v/>
      </c>
      <c r="J74" s="50">
        <f t="array" ref="J74">IF(
    VLOOKUP(
        $A74,
        _xlfn._xlws.FILTER(
            INDIRECT("'"&amp;J$1&amp;"'!A2:G1000"), (INDIRECT("'"&amp;J$1&amp;"'!B2:B1000")=$B74) * (INDIRECT("'"&amp;J$1&amp;"'!C2:C1000")=$C74)
        ),
        5,
        FALSE
    )="",
    "",
    VLOOKUP(
        $A74,
        _xlfn._xlws.FILTER(
            INDIRECT("'"&amp;J$1&amp;"'!A2:G1000"), (INDIRECT("'"&amp;J$1&amp;"'!B2:B1000")=$B74) * (INDIRECT("'"&amp;J$1&amp;"'!C2:C1000")=$C74)
        ),7,
        FALSE
    )
)</f>
        <v/>
      </c>
      <c r="K74" s="50">
        <f t="array" ref="K74">IF(
    VLOOKUP(
        $A74,
        _xlfn._xlws.FILTER(
            INDIRECT("'"&amp;K$1&amp;"'!A2:G1000"), (INDIRECT("'"&amp;K$1&amp;"'!B2:B1000")=$B74) * (INDIRECT("'"&amp;K$1&amp;"'!C2:C1000")=$C74)
        ),
        5,
        FALSE
    )="",
    "",
    VLOOKUP(
        $A74,
        _xlfn._xlws.FILTER(
            INDIRECT("'"&amp;K$1&amp;"'!A2:G1000"), (INDIRECT("'"&amp;K$1&amp;"'!B2:B1000")=$B74) * (INDIRECT("'"&amp;K$1&amp;"'!C2:C1000")=$C74)
        ),7,
        FALSE
    )
)</f>
        <v/>
      </c>
      <c r="L74" s="50">
        <f t="array" ref="L74">IF(
    VLOOKUP(
        $A74,
        _xlfn._xlws.FILTER(
            INDIRECT("'"&amp;L$1&amp;"'!A2:G1000"), (INDIRECT("'"&amp;L$1&amp;"'!B2:B1000")=$B74) * (INDIRECT("'"&amp;L$1&amp;"'!C2:C1000")=$C74)
        ),
        5,
        FALSE
    )="",
    "",
    VLOOKUP(
        $A74,
        _xlfn._xlws.FILTER(
            INDIRECT("'"&amp;L$1&amp;"'!A2:G1000"), (INDIRECT("'"&amp;L$1&amp;"'!B2:B1000")=$B74) * (INDIRECT("'"&amp;L$1&amp;"'!C2:C1000")=$C74)
        ),7,
        FALSE
    )
)</f>
        <v/>
      </c>
      <c r="M74" s="50">
        <f t="array" ref="M74">IF(
    VLOOKUP(
        $A74,
        _xlfn._xlws.FILTER(
            INDIRECT("'"&amp;M$1&amp;"'!A2:G1000"), (INDIRECT("'"&amp;M$1&amp;"'!B2:B1000")=$B74) * (INDIRECT("'"&amp;M$1&amp;"'!C2:C1000")=$C74)
        ),
        5,
        FALSE
    )="",
    "",
    VLOOKUP(
        $A74,
        _xlfn._xlws.FILTER(
            INDIRECT("'"&amp;M$1&amp;"'!A2:G1000"), (INDIRECT("'"&amp;M$1&amp;"'!B2:B1000")=$B74) * (INDIRECT("'"&amp;M$1&amp;"'!C2:C1000")=$C74)
        ),7,
        FALSE
    )
)</f>
        <v/>
      </c>
      <c r="N74" s="50">
        <f t="array" ref="N74">IF(
    VLOOKUP(
        $A74,
        _xlfn._xlws.FILTER(
            INDIRECT("'"&amp;N$1&amp;"'!A2:G1000"), (INDIRECT("'"&amp;N$1&amp;"'!B2:B1000")=$B74) * (INDIRECT("'"&amp;N$1&amp;"'!C2:C1000")=$C74)
        ),
        5,
        FALSE
    )="",
    "",
    VLOOKUP(
        $A74,
        _xlfn._xlws.FILTER(
            INDIRECT("'"&amp;N$1&amp;"'!A2:G1000"), (INDIRECT("'"&amp;N$1&amp;"'!B2:B1000")=$B74) * (INDIRECT("'"&amp;N$1&amp;"'!C2:C1000")=$C74)
        ),7,
        FALSE
    )
)</f>
        <v/>
      </c>
      <c r="O74" s="50">
        <f t="array" ref="O74">IF(
    VLOOKUP(
        $A74,
        _xlfn._xlws.FILTER(
            INDIRECT("'"&amp;O$1&amp;"'!A2:G1000"), (INDIRECT("'"&amp;O$1&amp;"'!B2:B1000")=$B74) * (INDIRECT("'"&amp;O$1&amp;"'!C2:C1000")=$C74)
        ),
        5,
        FALSE
    )="",
    "",
    VLOOKUP(
        $A74,
        _xlfn._xlws.FILTER(
            INDIRECT("'"&amp;O$1&amp;"'!A2:G1000"), (INDIRECT("'"&amp;O$1&amp;"'!B2:B1000")=$B74) * (INDIRECT("'"&amp;O$1&amp;"'!C2:C1000")=$C74)
        ),7,
        FALSE
    )
)</f>
        <v/>
      </c>
      <c r="P74" s="50">
        <f t="array" ref="P74">IF(
    VLOOKUP(
        $A74,
        _xlfn._xlws.FILTER(
            INDIRECT("'"&amp;P$1&amp;"'!A2:G1000"), (INDIRECT("'"&amp;P$1&amp;"'!B2:B1000")=$B74) * (INDIRECT("'"&amp;P$1&amp;"'!C2:C1000")=$C74)
        ),
        5,
        FALSE
    )="",
    "",
    VLOOKUP(
        $A74,
        _xlfn._xlws.FILTER(
            INDIRECT("'"&amp;P$1&amp;"'!A2:G1000"), (INDIRECT("'"&amp;P$1&amp;"'!B2:B1000")=$B74) * (INDIRECT("'"&amp;P$1&amp;"'!C2:C1000")=$C74)
        ),7,
        FALSE
    )
)</f>
        <v/>
      </c>
      <c r="Q74" s="50">
        <f t="array" ref="Q74">IF(
    VLOOKUP(
        $A74,
        _xlfn._xlws.FILTER(
            INDIRECT("'"&amp;Q$1&amp;"'!A2:G1000"), (INDIRECT("'"&amp;Q$1&amp;"'!B2:B1000")=$B74) * (INDIRECT("'"&amp;Q$1&amp;"'!C2:C1000")=$C74)
        ),
        5,
        FALSE
    )="",
    "",
    VLOOKUP(
        $A74,
        _xlfn._xlws.FILTER(
            INDIRECT("'"&amp;Q$1&amp;"'!A2:G1000"), (INDIRECT("'"&amp;Q$1&amp;"'!B2:B1000")=$B74) * (INDIRECT("'"&amp;Q$1&amp;"'!C2:C1000")=$C74)
        ),7,
        FALSE
    )
)</f>
        <v/>
      </c>
    </row>
    <row r="75">
      <c r="A75" s="58" t="inlineStr">
        <is>
          <t>Valquiria</t>
        </is>
      </c>
      <c r="B75" s="50" t="inlineStr">
        <is>
          <t>Cascavel</t>
        </is>
      </c>
      <c r="C75" s="50" t="n">
        <v>5</v>
      </c>
      <c r="D75" s="50">
        <f t="array" ref="D75">IF(
    VLOOKUP(
        $A75,
        _xlfn._xlws.FILTER(
            INDIRECT("'"&amp;D$1&amp;"'!A2:G1000"), (INDIRECT("'"&amp;D$1&amp;"'!B2:B1000")=$B75) * (INDIRECT("'"&amp;D$1&amp;"'!C2:C1000")=$C75)
        ),
        5,
        FALSE
    )="",
    "",
    VLOOKUP(
        $A75,
        _xlfn._xlws.FILTER(
            INDIRECT("'"&amp;D$1&amp;"'!A2:G1000"), (INDIRECT("'"&amp;D$1&amp;"'!B2:B1000")=$B75) * (INDIRECT("'"&amp;D$1&amp;"'!C2:C1000")=$C75)
        ),7,
        FALSE
    )
)</f>
        <v/>
      </c>
      <c r="E75" s="50">
        <f t="array" ref="E75">IF(
    VLOOKUP(
        $A75,
        _xlfn._xlws.FILTER(
            INDIRECT("'"&amp;E$1&amp;"'!A2:G1000"), (INDIRECT("'"&amp;E$1&amp;"'!B2:B1000")=$B75) * (INDIRECT("'"&amp;E$1&amp;"'!C2:C1000")=$C75)
        ),
        5,
        FALSE
    )="",
    "",
    VLOOKUP(
        $A75,
        _xlfn._xlws.FILTER(
            INDIRECT("'"&amp;E$1&amp;"'!A2:G1000"), (INDIRECT("'"&amp;E$1&amp;"'!B2:B1000")=$B75) * (INDIRECT("'"&amp;E$1&amp;"'!C2:C1000")=$C75)
        ),7,
        FALSE
    )
)</f>
        <v/>
      </c>
      <c r="F75" s="50">
        <f t="array" ref="F75">IF(
    VLOOKUP(
        $A75,
        _xlfn._xlws.FILTER(
            INDIRECT("'"&amp;F$1&amp;"'!A2:G1000"), (INDIRECT("'"&amp;F$1&amp;"'!B2:B1000")=$B75) * (INDIRECT("'"&amp;F$1&amp;"'!C2:C1000")=$C75)
        ),
        5,
        FALSE
    )="",
    "",
    VLOOKUP(
        $A75,
        _xlfn._xlws.FILTER(
            INDIRECT("'"&amp;F$1&amp;"'!A2:G1000"), (INDIRECT("'"&amp;F$1&amp;"'!B2:B1000")=$B75) * (INDIRECT("'"&amp;F$1&amp;"'!C2:C1000")=$C75)
        ),7,
        FALSE
    )
)</f>
        <v/>
      </c>
      <c r="G75" s="50">
        <f t="array" ref="G75">IF(
    VLOOKUP(
        $A75,
        _xlfn._xlws.FILTER(
            INDIRECT("'"&amp;G$1&amp;"'!A2:G1000"), (INDIRECT("'"&amp;G$1&amp;"'!B2:B1000")=$B75) * (INDIRECT("'"&amp;G$1&amp;"'!C2:C1000")=$C75)
        ),
        5,
        FALSE
    )="",
    "",
    VLOOKUP(
        $A75,
        _xlfn._xlws.FILTER(
            INDIRECT("'"&amp;G$1&amp;"'!A2:G1000"), (INDIRECT("'"&amp;G$1&amp;"'!B2:B1000")=$B75) * (INDIRECT("'"&amp;G$1&amp;"'!C2:C1000")=$C75)
        ),7,
        FALSE
    )
)</f>
        <v/>
      </c>
      <c r="H75" s="50">
        <f t="array" ref="H75">IF(
    VLOOKUP(
        $A75,
        _xlfn._xlws.FILTER(
            INDIRECT("'"&amp;H$1&amp;"'!A2:G1000"), (INDIRECT("'"&amp;H$1&amp;"'!B2:B1000")=$B75) * (INDIRECT("'"&amp;H$1&amp;"'!C2:C1000")=$C75)
        ),
        5,
        FALSE
    )="",
    "",
    VLOOKUP(
        $A75,
        _xlfn._xlws.FILTER(
            INDIRECT("'"&amp;H$1&amp;"'!A2:G1000"), (INDIRECT("'"&amp;H$1&amp;"'!B2:B1000")=$B75) * (INDIRECT("'"&amp;H$1&amp;"'!C2:C1000")=$C75)
        ),7,
        FALSE
    )
)</f>
        <v/>
      </c>
      <c r="I75" s="50">
        <f t="array" ref="I75">IF(
    VLOOKUP(
        $A75,
        _xlfn._xlws.FILTER(
            INDIRECT("'"&amp;I$1&amp;"'!A2:G1000"), (INDIRECT("'"&amp;I$1&amp;"'!B2:B1000")=$B75) * (INDIRECT("'"&amp;I$1&amp;"'!C2:C1000")=$C75)
        ),
        5,
        FALSE
    )="",
    "",
    VLOOKUP(
        $A75,
        _xlfn._xlws.FILTER(
            INDIRECT("'"&amp;I$1&amp;"'!A2:G1000"), (INDIRECT("'"&amp;I$1&amp;"'!B2:B1000")=$B75) * (INDIRECT("'"&amp;I$1&amp;"'!C2:C1000")=$C75)
        ),7,
        FALSE
    )
)</f>
        <v/>
      </c>
      <c r="J75" s="50">
        <f t="array" ref="J75">IF(
    VLOOKUP(
        $A75,
        _xlfn._xlws.FILTER(
            INDIRECT("'"&amp;J$1&amp;"'!A2:G1000"), (INDIRECT("'"&amp;J$1&amp;"'!B2:B1000")=$B75) * (INDIRECT("'"&amp;J$1&amp;"'!C2:C1000")=$C75)
        ),
        5,
        FALSE
    )="",
    "",
    VLOOKUP(
        $A75,
        _xlfn._xlws.FILTER(
            INDIRECT("'"&amp;J$1&amp;"'!A2:G1000"), (INDIRECT("'"&amp;J$1&amp;"'!B2:B1000")=$B75) * (INDIRECT("'"&amp;J$1&amp;"'!C2:C1000")=$C75)
        ),7,
        FALSE
    )
)</f>
        <v/>
      </c>
      <c r="K75" s="50">
        <f t="array" ref="K75">IF(
    VLOOKUP(
        $A75,
        _xlfn._xlws.FILTER(
            INDIRECT("'"&amp;K$1&amp;"'!A2:G1000"), (INDIRECT("'"&amp;K$1&amp;"'!B2:B1000")=$B75) * (INDIRECT("'"&amp;K$1&amp;"'!C2:C1000")=$C75)
        ),
        5,
        FALSE
    )="",
    "",
    VLOOKUP(
        $A75,
        _xlfn._xlws.FILTER(
            INDIRECT("'"&amp;K$1&amp;"'!A2:G1000"), (INDIRECT("'"&amp;K$1&amp;"'!B2:B1000")=$B75) * (INDIRECT("'"&amp;K$1&amp;"'!C2:C1000")=$C75)
        ),7,
        FALSE
    )
)</f>
        <v/>
      </c>
      <c r="L75" s="50">
        <f t="array" ref="L75">IF(
    VLOOKUP(
        $A75,
        _xlfn._xlws.FILTER(
            INDIRECT("'"&amp;L$1&amp;"'!A2:G1000"), (INDIRECT("'"&amp;L$1&amp;"'!B2:B1000")=$B75) * (INDIRECT("'"&amp;L$1&amp;"'!C2:C1000")=$C75)
        ),
        5,
        FALSE
    )="",
    "",
    VLOOKUP(
        $A75,
        _xlfn._xlws.FILTER(
            INDIRECT("'"&amp;L$1&amp;"'!A2:G1000"), (INDIRECT("'"&amp;L$1&amp;"'!B2:B1000")=$B75) * (INDIRECT("'"&amp;L$1&amp;"'!C2:C1000")=$C75)
        ),7,
        FALSE
    )
)</f>
        <v/>
      </c>
      <c r="M75" s="50">
        <f t="array" ref="M75">IF(
    VLOOKUP(
        $A75,
        _xlfn._xlws.FILTER(
            INDIRECT("'"&amp;M$1&amp;"'!A2:G1000"), (INDIRECT("'"&amp;M$1&amp;"'!B2:B1000")=$B75) * (INDIRECT("'"&amp;M$1&amp;"'!C2:C1000")=$C75)
        ),
        5,
        FALSE
    )="",
    "",
    VLOOKUP(
        $A75,
        _xlfn._xlws.FILTER(
            INDIRECT("'"&amp;M$1&amp;"'!A2:G1000"), (INDIRECT("'"&amp;M$1&amp;"'!B2:B1000")=$B75) * (INDIRECT("'"&amp;M$1&amp;"'!C2:C1000")=$C75)
        ),7,
        FALSE
    )
)</f>
        <v/>
      </c>
      <c r="N75" s="50">
        <f t="array" ref="N75">IF(
    VLOOKUP(
        $A75,
        _xlfn._xlws.FILTER(
            INDIRECT("'"&amp;N$1&amp;"'!A2:G1000"), (INDIRECT("'"&amp;N$1&amp;"'!B2:B1000")=$B75) * (INDIRECT("'"&amp;N$1&amp;"'!C2:C1000")=$C75)
        ),
        5,
        FALSE
    )="",
    "",
    VLOOKUP(
        $A75,
        _xlfn._xlws.FILTER(
            INDIRECT("'"&amp;N$1&amp;"'!A2:G1000"), (INDIRECT("'"&amp;N$1&amp;"'!B2:B1000")=$B75) * (INDIRECT("'"&amp;N$1&amp;"'!C2:C1000")=$C75)
        ),7,
        FALSE
    )
)</f>
        <v/>
      </c>
      <c r="O75" s="50">
        <f t="array" ref="O75">IF(
    VLOOKUP(
        $A75,
        _xlfn._xlws.FILTER(
            INDIRECT("'"&amp;O$1&amp;"'!A2:G1000"), (INDIRECT("'"&amp;O$1&amp;"'!B2:B1000")=$B75) * (INDIRECT("'"&amp;O$1&amp;"'!C2:C1000")=$C75)
        ),
        5,
        FALSE
    )="",
    "",
    VLOOKUP(
        $A75,
        _xlfn._xlws.FILTER(
            INDIRECT("'"&amp;O$1&amp;"'!A2:G1000"), (INDIRECT("'"&amp;O$1&amp;"'!B2:B1000")=$B75) * (INDIRECT("'"&amp;O$1&amp;"'!C2:C1000")=$C75)
        ),7,
        FALSE
    )
)</f>
        <v/>
      </c>
      <c r="P75" s="50">
        <f t="array" ref="P75">IF(
    VLOOKUP(
        $A75,
        _xlfn._xlws.FILTER(
            INDIRECT("'"&amp;P$1&amp;"'!A2:G1000"), (INDIRECT("'"&amp;P$1&amp;"'!B2:B1000")=$B75) * (INDIRECT("'"&amp;P$1&amp;"'!C2:C1000")=$C75)
        ),
        5,
        FALSE
    )="",
    "",
    VLOOKUP(
        $A75,
        _xlfn._xlws.FILTER(
            INDIRECT("'"&amp;P$1&amp;"'!A2:G1000"), (INDIRECT("'"&amp;P$1&amp;"'!B2:B1000")=$B75) * (INDIRECT("'"&amp;P$1&amp;"'!C2:C1000")=$C75)
        ),7,
        FALSE
    )
)</f>
        <v/>
      </c>
      <c r="Q75" s="50">
        <f t="array" ref="Q75">IF(
    VLOOKUP(
        $A75,
        _xlfn._xlws.FILTER(
            INDIRECT("'"&amp;Q$1&amp;"'!A2:G1000"), (INDIRECT("'"&amp;Q$1&amp;"'!B2:B1000")=$B75) * (INDIRECT("'"&amp;Q$1&amp;"'!C2:C1000")=$C75)
        ),
        5,
        FALSE
    )="",
    "",
    VLOOKUP(
        $A75,
        _xlfn._xlws.FILTER(
            INDIRECT("'"&amp;Q$1&amp;"'!A2:G1000"), (INDIRECT("'"&amp;Q$1&amp;"'!B2:B1000")=$B75) * (INDIRECT("'"&amp;Q$1&amp;"'!C2:C1000")=$C75)
        ),7,
        FALSE
    )
)</f>
        <v/>
      </c>
    </row>
    <row r="76">
      <c r="A76" s="58" t="inlineStr">
        <is>
          <t>Valquiria</t>
        </is>
      </c>
      <c r="B76" s="50" t="inlineStr">
        <is>
          <t>Cascavel</t>
        </is>
      </c>
      <c r="C76" s="50" t="n">
        <v>6</v>
      </c>
      <c r="D76" s="50">
        <f t="array" ref="D76">IF(
    VLOOKUP(
        $A76,
        _xlfn._xlws.FILTER(
            INDIRECT("'"&amp;D$1&amp;"'!A2:G1000"), (INDIRECT("'"&amp;D$1&amp;"'!B2:B1000")=$B76) * (INDIRECT("'"&amp;D$1&amp;"'!C2:C1000")=$C76)
        ),
        5,
        FALSE
    )="",
    "",
    VLOOKUP(
        $A76,
        _xlfn._xlws.FILTER(
            INDIRECT("'"&amp;D$1&amp;"'!A2:G1000"), (INDIRECT("'"&amp;D$1&amp;"'!B2:B1000")=$B76) * (INDIRECT("'"&amp;D$1&amp;"'!C2:C1000")=$C76)
        ),7,
        FALSE
    )
)</f>
        <v/>
      </c>
      <c r="E76" s="50">
        <f t="array" ref="E76">IF(
    VLOOKUP(
        $A76,
        _xlfn._xlws.FILTER(
            INDIRECT("'"&amp;E$1&amp;"'!A2:G1000"), (INDIRECT("'"&amp;E$1&amp;"'!B2:B1000")=$B76) * (INDIRECT("'"&amp;E$1&amp;"'!C2:C1000")=$C76)
        ),
        5,
        FALSE
    )="",
    "",
    VLOOKUP(
        $A76,
        _xlfn._xlws.FILTER(
            INDIRECT("'"&amp;E$1&amp;"'!A2:G1000"), (INDIRECT("'"&amp;E$1&amp;"'!B2:B1000")=$B76) * (INDIRECT("'"&amp;E$1&amp;"'!C2:C1000")=$C76)
        ),7,
        FALSE
    )
)</f>
        <v/>
      </c>
      <c r="F76" s="50">
        <f t="array" ref="F76">IF(
    VLOOKUP(
        $A76,
        _xlfn._xlws.FILTER(
            INDIRECT("'"&amp;F$1&amp;"'!A2:G1000"), (INDIRECT("'"&amp;F$1&amp;"'!B2:B1000")=$B76) * (INDIRECT("'"&amp;F$1&amp;"'!C2:C1000")=$C76)
        ),
        5,
        FALSE
    )="",
    "",
    VLOOKUP(
        $A76,
        _xlfn._xlws.FILTER(
            INDIRECT("'"&amp;F$1&amp;"'!A2:G1000"), (INDIRECT("'"&amp;F$1&amp;"'!B2:B1000")=$B76) * (INDIRECT("'"&amp;F$1&amp;"'!C2:C1000")=$C76)
        ),7,
        FALSE
    )
)</f>
        <v/>
      </c>
      <c r="G76" s="50">
        <f t="array" ref="G76">IF(
    VLOOKUP(
        $A76,
        _xlfn._xlws.FILTER(
            INDIRECT("'"&amp;G$1&amp;"'!A2:G1000"), (INDIRECT("'"&amp;G$1&amp;"'!B2:B1000")=$B76) * (INDIRECT("'"&amp;G$1&amp;"'!C2:C1000")=$C76)
        ),
        5,
        FALSE
    )="",
    "",
    VLOOKUP(
        $A76,
        _xlfn._xlws.FILTER(
            INDIRECT("'"&amp;G$1&amp;"'!A2:G1000"), (INDIRECT("'"&amp;G$1&amp;"'!B2:B1000")=$B76) * (INDIRECT("'"&amp;G$1&amp;"'!C2:C1000")=$C76)
        ),7,
        FALSE
    )
)</f>
        <v/>
      </c>
      <c r="H76" s="50">
        <f t="array" ref="H76">IF(
    VLOOKUP(
        $A76,
        _xlfn._xlws.FILTER(
            INDIRECT("'"&amp;H$1&amp;"'!A2:G1000"), (INDIRECT("'"&amp;H$1&amp;"'!B2:B1000")=$B76) * (INDIRECT("'"&amp;H$1&amp;"'!C2:C1000")=$C76)
        ),
        5,
        FALSE
    )="",
    "",
    VLOOKUP(
        $A76,
        _xlfn._xlws.FILTER(
            INDIRECT("'"&amp;H$1&amp;"'!A2:G1000"), (INDIRECT("'"&amp;H$1&amp;"'!B2:B1000")=$B76) * (INDIRECT("'"&amp;H$1&amp;"'!C2:C1000")=$C76)
        ),7,
        FALSE
    )
)</f>
        <v/>
      </c>
      <c r="I76" s="50">
        <f t="array" ref="I76">IF(
    VLOOKUP(
        $A76,
        _xlfn._xlws.FILTER(
            INDIRECT("'"&amp;I$1&amp;"'!A2:G1000"), (INDIRECT("'"&amp;I$1&amp;"'!B2:B1000")=$B76) * (INDIRECT("'"&amp;I$1&amp;"'!C2:C1000")=$C76)
        ),
        5,
        FALSE
    )="",
    "",
    VLOOKUP(
        $A76,
        _xlfn._xlws.FILTER(
            INDIRECT("'"&amp;I$1&amp;"'!A2:G1000"), (INDIRECT("'"&amp;I$1&amp;"'!B2:B1000")=$B76) * (INDIRECT("'"&amp;I$1&amp;"'!C2:C1000")=$C76)
        ),7,
        FALSE
    )
)</f>
        <v/>
      </c>
      <c r="J76" s="50">
        <f t="array" ref="J76">IF(
    VLOOKUP(
        $A76,
        _xlfn._xlws.FILTER(
            INDIRECT("'"&amp;J$1&amp;"'!A2:G1000"), (INDIRECT("'"&amp;J$1&amp;"'!B2:B1000")=$B76) * (INDIRECT("'"&amp;J$1&amp;"'!C2:C1000")=$C76)
        ),
        5,
        FALSE
    )="",
    "",
    VLOOKUP(
        $A76,
        _xlfn._xlws.FILTER(
            INDIRECT("'"&amp;J$1&amp;"'!A2:G1000"), (INDIRECT("'"&amp;J$1&amp;"'!B2:B1000")=$B76) * (INDIRECT("'"&amp;J$1&amp;"'!C2:C1000")=$C76)
        ),7,
        FALSE
    )
)</f>
        <v/>
      </c>
      <c r="K76" s="50">
        <f t="array" ref="K76">IF(
    VLOOKUP(
        $A76,
        _xlfn._xlws.FILTER(
            INDIRECT("'"&amp;K$1&amp;"'!A2:G1000"), (INDIRECT("'"&amp;K$1&amp;"'!B2:B1000")=$B76) * (INDIRECT("'"&amp;K$1&amp;"'!C2:C1000")=$C76)
        ),
        5,
        FALSE
    )="",
    "",
    VLOOKUP(
        $A76,
        _xlfn._xlws.FILTER(
            INDIRECT("'"&amp;K$1&amp;"'!A2:G1000"), (INDIRECT("'"&amp;K$1&amp;"'!B2:B1000")=$B76) * (INDIRECT("'"&amp;K$1&amp;"'!C2:C1000")=$C76)
        ),7,
        FALSE
    )
)</f>
        <v/>
      </c>
      <c r="L76" s="50">
        <f t="array" ref="L76">IF(
    VLOOKUP(
        $A76,
        _xlfn._xlws.FILTER(
            INDIRECT("'"&amp;L$1&amp;"'!A2:G1000"), (INDIRECT("'"&amp;L$1&amp;"'!B2:B1000")=$B76) * (INDIRECT("'"&amp;L$1&amp;"'!C2:C1000")=$C76)
        ),
        5,
        FALSE
    )="",
    "",
    VLOOKUP(
        $A76,
        _xlfn._xlws.FILTER(
            INDIRECT("'"&amp;L$1&amp;"'!A2:G1000"), (INDIRECT("'"&amp;L$1&amp;"'!B2:B1000")=$B76) * (INDIRECT("'"&amp;L$1&amp;"'!C2:C1000")=$C76)
        ),7,
        FALSE
    )
)</f>
        <v/>
      </c>
      <c r="M76" s="50">
        <f t="array" ref="M76">IF(
    VLOOKUP(
        $A76,
        _xlfn._xlws.FILTER(
            INDIRECT("'"&amp;M$1&amp;"'!A2:G1000"), (INDIRECT("'"&amp;M$1&amp;"'!B2:B1000")=$B76) * (INDIRECT("'"&amp;M$1&amp;"'!C2:C1000")=$C76)
        ),
        5,
        FALSE
    )="",
    "",
    VLOOKUP(
        $A76,
        _xlfn._xlws.FILTER(
            INDIRECT("'"&amp;M$1&amp;"'!A2:G1000"), (INDIRECT("'"&amp;M$1&amp;"'!B2:B1000")=$B76) * (INDIRECT("'"&amp;M$1&amp;"'!C2:C1000")=$C76)
        ),7,
        FALSE
    )
)</f>
        <v/>
      </c>
      <c r="N76" s="50">
        <f t="array" ref="N76">IF(
    VLOOKUP(
        $A76,
        _xlfn._xlws.FILTER(
            INDIRECT("'"&amp;N$1&amp;"'!A2:G1000"), (INDIRECT("'"&amp;N$1&amp;"'!B2:B1000")=$B76) * (INDIRECT("'"&amp;N$1&amp;"'!C2:C1000")=$C76)
        ),
        5,
        FALSE
    )="",
    "",
    VLOOKUP(
        $A76,
        _xlfn._xlws.FILTER(
            INDIRECT("'"&amp;N$1&amp;"'!A2:G1000"), (INDIRECT("'"&amp;N$1&amp;"'!B2:B1000")=$B76) * (INDIRECT("'"&amp;N$1&amp;"'!C2:C1000")=$C76)
        ),7,
        FALSE
    )
)</f>
        <v/>
      </c>
      <c r="O76" s="50">
        <f t="array" ref="O76">IF(
    VLOOKUP(
        $A76,
        _xlfn._xlws.FILTER(
            INDIRECT("'"&amp;O$1&amp;"'!A2:G1000"), (INDIRECT("'"&amp;O$1&amp;"'!B2:B1000")=$B76) * (INDIRECT("'"&amp;O$1&amp;"'!C2:C1000")=$C76)
        ),
        5,
        FALSE
    )="",
    "",
    VLOOKUP(
        $A76,
        _xlfn._xlws.FILTER(
            INDIRECT("'"&amp;O$1&amp;"'!A2:G1000"), (INDIRECT("'"&amp;O$1&amp;"'!B2:B1000")=$B76) * (INDIRECT("'"&amp;O$1&amp;"'!C2:C1000")=$C76)
        ),7,
        FALSE
    )
)</f>
        <v/>
      </c>
      <c r="P76" s="50">
        <f t="array" ref="P76">IF(
    VLOOKUP(
        $A76,
        _xlfn._xlws.FILTER(
            INDIRECT("'"&amp;P$1&amp;"'!A2:G1000"), (INDIRECT("'"&amp;P$1&amp;"'!B2:B1000")=$B76) * (INDIRECT("'"&amp;P$1&amp;"'!C2:C1000")=$C76)
        ),
        5,
        FALSE
    )="",
    "",
    VLOOKUP(
        $A76,
        _xlfn._xlws.FILTER(
            INDIRECT("'"&amp;P$1&amp;"'!A2:G1000"), (INDIRECT("'"&amp;P$1&amp;"'!B2:B1000")=$B76) * (INDIRECT("'"&amp;P$1&amp;"'!C2:C1000")=$C76)
        ),7,
        FALSE
    )
)</f>
        <v/>
      </c>
      <c r="Q76" s="50">
        <f t="array" ref="Q76">IF(
    VLOOKUP(
        $A76,
        _xlfn._xlws.FILTER(
            INDIRECT("'"&amp;Q$1&amp;"'!A2:G1000"), (INDIRECT("'"&amp;Q$1&amp;"'!B2:B1000")=$B76) * (INDIRECT("'"&amp;Q$1&amp;"'!C2:C1000")=$C76)
        ),
        5,
        FALSE
    )="",
    "",
    VLOOKUP(
        $A76,
        _xlfn._xlws.FILTER(
            INDIRECT("'"&amp;Q$1&amp;"'!A2:G1000"), (INDIRECT("'"&amp;Q$1&amp;"'!B2:B1000")=$B76) * (INDIRECT("'"&amp;Q$1&amp;"'!C2:C1000")=$C76)
        ),7,
        FALSE
    )
)</f>
        <v/>
      </c>
    </row>
    <row r="77">
      <c r="A77" s="58" t="inlineStr">
        <is>
          <t>Valquiria</t>
        </is>
      </c>
      <c r="B77" s="50" t="inlineStr">
        <is>
          <t>Céu Azul</t>
        </is>
      </c>
      <c r="C77" s="50" t="n">
        <v>1</v>
      </c>
      <c r="D77" s="50">
        <f t="array" ref="D77">IF(
    VLOOKUP(
        $A77,
        _xlfn._xlws.FILTER(
            INDIRECT("'"&amp;D$1&amp;"'!A2:G1000"), (INDIRECT("'"&amp;D$1&amp;"'!B2:B1000")=$B77) * (INDIRECT("'"&amp;D$1&amp;"'!C2:C1000")=$C77)
        ),
        5,
        FALSE
    )="",
    "",
    VLOOKUP(
        $A77,
        _xlfn._xlws.FILTER(
            INDIRECT("'"&amp;D$1&amp;"'!A2:G1000"), (INDIRECT("'"&amp;D$1&amp;"'!B2:B1000")=$B77) * (INDIRECT("'"&amp;D$1&amp;"'!C2:C1000")=$C77)
        ),7,
        FALSE
    )
)</f>
        <v/>
      </c>
      <c r="E77" s="50">
        <f t="array" ref="E77">IF(
    VLOOKUP(
        $A77,
        _xlfn._xlws.FILTER(
            INDIRECT("'"&amp;E$1&amp;"'!A2:G1000"), (INDIRECT("'"&amp;E$1&amp;"'!B2:B1000")=$B77) * (INDIRECT("'"&amp;E$1&amp;"'!C2:C1000")=$C77)
        ),
        5,
        FALSE
    )="",
    "",
    VLOOKUP(
        $A77,
        _xlfn._xlws.FILTER(
            INDIRECT("'"&amp;E$1&amp;"'!A2:G1000"), (INDIRECT("'"&amp;E$1&amp;"'!B2:B1000")=$B77) * (INDIRECT("'"&amp;E$1&amp;"'!C2:C1000")=$C77)
        ),7,
        FALSE
    )
)</f>
        <v/>
      </c>
      <c r="F77" s="50">
        <f t="array" ref="F77">IF(
    VLOOKUP(
        $A77,
        _xlfn._xlws.FILTER(
            INDIRECT("'"&amp;F$1&amp;"'!A2:G1000"), (INDIRECT("'"&amp;F$1&amp;"'!B2:B1000")=$B77) * (INDIRECT("'"&amp;F$1&amp;"'!C2:C1000")=$C77)
        ),
        5,
        FALSE
    )="",
    "",
    VLOOKUP(
        $A77,
        _xlfn._xlws.FILTER(
            INDIRECT("'"&amp;F$1&amp;"'!A2:G1000"), (INDIRECT("'"&amp;F$1&amp;"'!B2:B1000")=$B77) * (INDIRECT("'"&amp;F$1&amp;"'!C2:C1000")=$C77)
        ),7,
        FALSE
    )
)</f>
        <v/>
      </c>
      <c r="G77" s="50">
        <f t="array" ref="G77">IF(
    VLOOKUP(
        $A77,
        _xlfn._xlws.FILTER(
            INDIRECT("'"&amp;G$1&amp;"'!A2:G1000"), (INDIRECT("'"&amp;G$1&amp;"'!B2:B1000")=$B77) * (INDIRECT("'"&amp;G$1&amp;"'!C2:C1000")=$C77)
        ),
        5,
        FALSE
    )="",
    "",
    VLOOKUP(
        $A77,
        _xlfn._xlws.FILTER(
            INDIRECT("'"&amp;G$1&amp;"'!A2:G1000"), (INDIRECT("'"&amp;G$1&amp;"'!B2:B1000")=$B77) * (INDIRECT("'"&amp;G$1&amp;"'!C2:C1000")=$C77)
        ),7,
        FALSE
    )
)</f>
        <v/>
      </c>
      <c r="H77" s="50">
        <f t="array" ref="H77">IF(
    VLOOKUP(
        $A77,
        _xlfn._xlws.FILTER(
            INDIRECT("'"&amp;H$1&amp;"'!A2:G1000"), (INDIRECT("'"&amp;H$1&amp;"'!B2:B1000")=$B77) * (INDIRECT("'"&amp;H$1&amp;"'!C2:C1000")=$C77)
        ),
        5,
        FALSE
    )="",
    "",
    VLOOKUP(
        $A77,
        _xlfn._xlws.FILTER(
            INDIRECT("'"&amp;H$1&amp;"'!A2:G1000"), (INDIRECT("'"&amp;H$1&amp;"'!B2:B1000")=$B77) * (INDIRECT("'"&amp;H$1&amp;"'!C2:C1000")=$C77)
        ),7,
        FALSE
    )
)</f>
        <v/>
      </c>
      <c r="I77" s="50">
        <f t="array" ref="I77">IF(
    VLOOKUP(
        $A77,
        _xlfn._xlws.FILTER(
            INDIRECT("'"&amp;I$1&amp;"'!A2:G1000"), (INDIRECT("'"&amp;I$1&amp;"'!B2:B1000")=$B77) * (INDIRECT("'"&amp;I$1&amp;"'!C2:C1000")=$C77)
        ),
        5,
        FALSE
    )="",
    "",
    VLOOKUP(
        $A77,
        _xlfn._xlws.FILTER(
            INDIRECT("'"&amp;I$1&amp;"'!A2:G1000"), (INDIRECT("'"&amp;I$1&amp;"'!B2:B1000")=$B77) * (INDIRECT("'"&amp;I$1&amp;"'!C2:C1000")=$C77)
        ),7,
        FALSE
    )
)</f>
        <v/>
      </c>
      <c r="J77" s="50">
        <f t="array" ref="J77">IF(
    VLOOKUP(
        $A77,
        _xlfn._xlws.FILTER(
            INDIRECT("'"&amp;J$1&amp;"'!A2:G1000"), (INDIRECT("'"&amp;J$1&amp;"'!B2:B1000")=$B77) * (INDIRECT("'"&amp;J$1&amp;"'!C2:C1000")=$C77)
        ),
        5,
        FALSE
    )="",
    "",
    VLOOKUP(
        $A77,
        _xlfn._xlws.FILTER(
            INDIRECT("'"&amp;J$1&amp;"'!A2:G1000"), (INDIRECT("'"&amp;J$1&amp;"'!B2:B1000")=$B77) * (INDIRECT("'"&amp;J$1&amp;"'!C2:C1000")=$C77)
        ),7,
        FALSE
    )
)</f>
        <v/>
      </c>
      <c r="K77" s="50">
        <f t="array" ref="K77">IF(
    VLOOKUP(
        $A77,
        _xlfn._xlws.FILTER(
            INDIRECT("'"&amp;K$1&amp;"'!A2:G1000"), (INDIRECT("'"&amp;K$1&amp;"'!B2:B1000")=$B77) * (INDIRECT("'"&amp;K$1&amp;"'!C2:C1000")=$C77)
        ),
        5,
        FALSE
    )="",
    "",
    VLOOKUP(
        $A77,
        _xlfn._xlws.FILTER(
            INDIRECT("'"&amp;K$1&amp;"'!A2:G1000"), (INDIRECT("'"&amp;K$1&amp;"'!B2:B1000")=$B77) * (INDIRECT("'"&amp;K$1&amp;"'!C2:C1000")=$C77)
        ),7,
        FALSE
    )
)</f>
        <v/>
      </c>
      <c r="L77" s="50">
        <f t="array" ref="L77">IF(
    VLOOKUP(
        $A77,
        _xlfn._xlws.FILTER(
            INDIRECT("'"&amp;L$1&amp;"'!A2:G1000"), (INDIRECT("'"&amp;L$1&amp;"'!B2:B1000")=$B77) * (INDIRECT("'"&amp;L$1&amp;"'!C2:C1000")=$C77)
        ),
        5,
        FALSE
    )="",
    "",
    VLOOKUP(
        $A77,
        _xlfn._xlws.FILTER(
            INDIRECT("'"&amp;L$1&amp;"'!A2:G1000"), (INDIRECT("'"&amp;L$1&amp;"'!B2:B1000")=$B77) * (INDIRECT("'"&amp;L$1&amp;"'!C2:C1000")=$C77)
        ),7,
        FALSE
    )
)</f>
        <v/>
      </c>
      <c r="M77" s="50">
        <f t="array" ref="M77">IF(
    VLOOKUP(
        $A77,
        _xlfn._xlws.FILTER(
            INDIRECT("'"&amp;M$1&amp;"'!A2:G1000"), (INDIRECT("'"&amp;M$1&amp;"'!B2:B1000")=$B77) * (INDIRECT("'"&amp;M$1&amp;"'!C2:C1000")=$C77)
        ),
        5,
        FALSE
    )="",
    "",
    VLOOKUP(
        $A77,
        _xlfn._xlws.FILTER(
            INDIRECT("'"&amp;M$1&amp;"'!A2:G1000"), (INDIRECT("'"&amp;M$1&amp;"'!B2:B1000")=$B77) * (INDIRECT("'"&amp;M$1&amp;"'!C2:C1000")=$C77)
        ),7,
        FALSE
    )
)</f>
        <v/>
      </c>
      <c r="N77" s="50">
        <f t="array" ref="N77">IF(
    VLOOKUP(
        $A77,
        _xlfn._xlws.FILTER(
            INDIRECT("'"&amp;N$1&amp;"'!A2:G1000"), (INDIRECT("'"&amp;N$1&amp;"'!B2:B1000")=$B77) * (INDIRECT("'"&amp;N$1&amp;"'!C2:C1000")=$C77)
        ),
        5,
        FALSE
    )="",
    "",
    VLOOKUP(
        $A77,
        _xlfn._xlws.FILTER(
            INDIRECT("'"&amp;N$1&amp;"'!A2:G1000"), (INDIRECT("'"&amp;N$1&amp;"'!B2:B1000")=$B77) * (INDIRECT("'"&amp;N$1&amp;"'!C2:C1000")=$C77)
        ),7,
        FALSE
    )
)</f>
        <v/>
      </c>
      <c r="O77" s="50">
        <f t="array" ref="O77">IF(
    VLOOKUP(
        $A77,
        _xlfn._xlws.FILTER(
            INDIRECT("'"&amp;O$1&amp;"'!A2:G1000"), (INDIRECT("'"&amp;O$1&amp;"'!B2:B1000")=$B77) * (INDIRECT("'"&amp;O$1&amp;"'!C2:C1000")=$C77)
        ),
        5,
        FALSE
    )="",
    "",
    VLOOKUP(
        $A77,
        _xlfn._xlws.FILTER(
            INDIRECT("'"&amp;O$1&amp;"'!A2:G1000"), (INDIRECT("'"&amp;O$1&amp;"'!B2:B1000")=$B77) * (INDIRECT("'"&amp;O$1&amp;"'!C2:C1000")=$C77)
        ),7,
        FALSE
    )
)</f>
        <v/>
      </c>
      <c r="P77" s="50">
        <f t="array" ref="P77">IF(
    VLOOKUP(
        $A77,
        _xlfn._xlws.FILTER(
            INDIRECT("'"&amp;P$1&amp;"'!A2:G1000"), (INDIRECT("'"&amp;P$1&amp;"'!B2:B1000")=$B77) * (INDIRECT("'"&amp;P$1&amp;"'!C2:C1000")=$C77)
        ),
        5,
        FALSE
    )="",
    "",
    VLOOKUP(
        $A77,
        _xlfn._xlws.FILTER(
            INDIRECT("'"&amp;P$1&amp;"'!A2:G1000"), (INDIRECT("'"&amp;P$1&amp;"'!B2:B1000")=$B77) * (INDIRECT("'"&amp;P$1&amp;"'!C2:C1000")=$C77)
        ),7,
        FALSE
    )
)</f>
        <v/>
      </c>
      <c r="Q77" s="50">
        <f t="array" ref="Q77">IF(
    VLOOKUP(
        $A77,
        _xlfn._xlws.FILTER(
            INDIRECT("'"&amp;Q$1&amp;"'!A2:G1000"), (INDIRECT("'"&amp;Q$1&amp;"'!B2:B1000")=$B77) * (INDIRECT("'"&amp;Q$1&amp;"'!C2:C1000")=$C77)
        ),
        5,
        FALSE
    )="",
    "",
    VLOOKUP(
        $A77,
        _xlfn._xlws.FILTER(
            INDIRECT("'"&amp;Q$1&amp;"'!A2:G1000"), (INDIRECT("'"&amp;Q$1&amp;"'!B2:B1000")=$B77) * (INDIRECT("'"&amp;Q$1&amp;"'!C2:C1000")=$C77)
        ),7,
        FALSE
    )
)</f>
        <v/>
      </c>
    </row>
    <row r="78">
      <c r="A78" s="58" t="inlineStr">
        <is>
          <t>Valquiria</t>
        </is>
      </c>
      <c r="B78" s="50" t="inlineStr">
        <is>
          <t>Lindoeste</t>
        </is>
      </c>
      <c r="C78" s="50" t="n">
        <v>1</v>
      </c>
      <c r="D78" s="50">
        <f t="array" ref="D78">IF(
    VLOOKUP(
        $A78,
        _xlfn._xlws.FILTER(
            INDIRECT("'"&amp;D$1&amp;"'!A2:G1000"), (INDIRECT("'"&amp;D$1&amp;"'!B2:B1000")=$B78) * (INDIRECT("'"&amp;D$1&amp;"'!C2:C1000")=$C78)
        ),
        5,
        FALSE
    )="",
    "",
    VLOOKUP(
        $A78,
        _xlfn._xlws.FILTER(
            INDIRECT("'"&amp;D$1&amp;"'!A2:G1000"), (INDIRECT("'"&amp;D$1&amp;"'!B2:B1000")=$B78) * (INDIRECT("'"&amp;D$1&amp;"'!C2:C1000")=$C78)
        ),7,
        FALSE
    )
)</f>
        <v/>
      </c>
      <c r="E78" s="50">
        <f t="array" ref="E78">IF(
    VLOOKUP(
        $A78,
        _xlfn._xlws.FILTER(
            INDIRECT("'"&amp;E$1&amp;"'!A2:G1000"), (INDIRECT("'"&amp;E$1&amp;"'!B2:B1000")=$B78) * (INDIRECT("'"&amp;E$1&amp;"'!C2:C1000")=$C78)
        ),
        5,
        FALSE
    )="",
    "",
    VLOOKUP(
        $A78,
        _xlfn._xlws.FILTER(
            INDIRECT("'"&amp;E$1&amp;"'!A2:G1000"), (INDIRECT("'"&amp;E$1&amp;"'!B2:B1000")=$B78) * (INDIRECT("'"&amp;E$1&amp;"'!C2:C1000")=$C78)
        ),7,
        FALSE
    )
)</f>
        <v/>
      </c>
      <c r="F78" s="50">
        <f t="array" ref="F78">IF(
    VLOOKUP(
        $A78,
        _xlfn._xlws.FILTER(
            INDIRECT("'"&amp;F$1&amp;"'!A2:G1000"), (INDIRECT("'"&amp;F$1&amp;"'!B2:B1000")=$B78) * (INDIRECT("'"&amp;F$1&amp;"'!C2:C1000")=$C78)
        ),
        5,
        FALSE
    )="",
    "",
    VLOOKUP(
        $A78,
        _xlfn._xlws.FILTER(
            INDIRECT("'"&amp;F$1&amp;"'!A2:G1000"), (INDIRECT("'"&amp;F$1&amp;"'!B2:B1000")=$B78) * (INDIRECT("'"&amp;F$1&amp;"'!C2:C1000")=$C78)
        ),7,
        FALSE
    )
)</f>
        <v/>
      </c>
      <c r="G78" s="50">
        <f t="array" ref="G78">IF(
    VLOOKUP(
        $A78,
        _xlfn._xlws.FILTER(
            INDIRECT("'"&amp;G$1&amp;"'!A2:G1000"), (INDIRECT("'"&amp;G$1&amp;"'!B2:B1000")=$B78) * (INDIRECT("'"&amp;G$1&amp;"'!C2:C1000")=$C78)
        ),
        5,
        FALSE
    )="",
    "",
    VLOOKUP(
        $A78,
        _xlfn._xlws.FILTER(
            INDIRECT("'"&amp;G$1&amp;"'!A2:G1000"), (INDIRECT("'"&amp;G$1&amp;"'!B2:B1000")=$B78) * (INDIRECT("'"&amp;G$1&amp;"'!C2:C1000")=$C78)
        ),7,
        FALSE
    )
)</f>
        <v/>
      </c>
      <c r="H78" s="50">
        <f t="array" ref="H78">IF(
    VLOOKUP(
        $A78,
        _xlfn._xlws.FILTER(
            INDIRECT("'"&amp;H$1&amp;"'!A2:G1000"), (INDIRECT("'"&amp;H$1&amp;"'!B2:B1000")=$B78) * (INDIRECT("'"&amp;H$1&amp;"'!C2:C1000")=$C78)
        ),
        5,
        FALSE
    )="",
    "",
    VLOOKUP(
        $A78,
        _xlfn._xlws.FILTER(
            INDIRECT("'"&amp;H$1&amp;"'!A2:G1000"), (INDIRECT("'"&amp;H$1&amp;"'!B2:B1000")=$B78) * (INDIRECT("'"&amp;H$1&amp;"'!C2:C1000")=$C78)
        ),7,
        FALSE
    )
)</f>
        <v/>
      </c>
      <c r="I78" s="50">
        <f t="array" ref="I78">IF(
    VLOOKUP(
        $A78,
        _xlfn._xlws.FILTER(
            INDIRECT("'"&amp;I$1&amp;"'!A2:G1000"), (INDIRECT("'"&amp;I$1&amp;"'!B2:B1000")=$B78) * (INDIRECT("'"&amp;I$1&amp;"'!C2:C1000")=$C78)
        ),
        5,
        FALSE
    )="",
    "",
    VLOOKUP(
        $A78,
        _xlfn._xlws.FILTER(
            INDIRECT("'"&amp;I$1&amp;"'!A2:G1000"), (INDIRECT("'"&amp;I$1&amp;"'!B2:B1000")=$B78) * (INDIRECT("'"&amp;I$1&amp;"'!C2:C1000")=$C78)
        ),7,
        FALSE
    )
)</f>
        <v/>
      </c>
      <c r="J78" s="50">
        <f t="array" ref="J78">IF(
    VLOOKUP(
        $A78,
        _xlfn._xlws.FILTER(
            INDIRECT("'"&amp;J$1&amp;"'!A2:G1000"), (INDIRECT("'"&amp;J$1&amp;"'!B2:B1000")=$B78) * (INDIRECT("'"&amp;J$1&amp;"'!C2:C1000")=$C78)
        ),
        5,
        FALSE
    )="",
    "",
    VLOOKUP(
        $A78,
        _xlfn._xlws.FILTER(
            INDIRECT("'"&amp;J$1&amp;"'!A2:G1000"), (INDIRECT("'"&amp;J$1&amp;"'!B2:B1000")=$B78) * (INDIRECT("'"&amp;J$1&amp;"'!C2:C1000")=$C78)
        ),7,
        FALSE
    )
)</f>
        <v/>
      </c>
      <c r="K78" s="50">
        <f t="array" ref="K78">IF(
    VLOOKUP(
        $A78,
        _xlfn._xlws.FILTER(
            INDIRECT("'"&amp;K$1&amp;"'!A2:G1000"), (INDIRECT("'"&amp;K$1&amp;"'!B2:B1000")=$B78) * (INDIRECT("'"&amp;K$1&amp;"'!C2:C1000")=$C78)
        ),
        5,
        FALSE
    )="",
    "",
    VLOOKUP(
        $A78,
        _xlfn._xlws.FILTER(
            INDIRECT("'"&amp;K$1&amp;"'!A2:G1000"), (INDIRECT("'"&amp;K$1&amp;"'!B2:B1000")=$B78) * (INDIRECT("'"&amp;K$1&amp;"'!C2:C1000")=$C78)
        ),7,
        FALSE
    )
)</f>
        <v/>
      </c>
      <c r="L78" s="50">
        <f t="array" ref="L78">IF(
    VLOOKUP(
        $A78,
        _xlfn._xlws.FILTER(
            INDIRECT("'"&amp;L$1&amp;"'!A2:G1000"), (INDIRECT("'"&amp;L$1&amp;"'!B2:B1000")=$B78) * (INDIRECT("'"&amp;L$1&amp;"'!C2:C1000")=$C78)
        ),
        5,
        FALSE
    )="",
    "",
    VLOOKUP(
        $A78,
        _xlfn._xlws.FILTER(
            INDIRECT("'"&amp;L$1&amp;"'!A2:G1000"), (INDIRECT("'"&amp;L$1&amp;"'!B2:B1000")=$B78) * (INDIRECT("'"&amp;L$1&amp;"'!C2:C1000")=$C78)
        ),7,
        FALSE
    )
)</f>
        <v/>
      </c>
      <c r="M78" s="50">
        <f t="array" ref="M78">IF(
    VLOOKUP(
        $A78,
        _xlfn._xlws.FILTER(
            INDIRECT("'"&amp;M$1&amp;"'!A2:G1000"), (INDIRECT("'"&amp;M$1&amp;"'!B2:B1000")=$B78) * (INDIRECT("'"&amp;M$1&amp;"'!C2:C1000")=$C78)
        ),
        5,
        FALSE
    )="",
    "",
    VLOOKUP(
        $A78,
        _xlfn._xlws.FILTER(
            INDIRECT("'"&amp;M$1&amp;"'!A2:G1000"), (INDIRECT("'"&amp;M$1&amp;"'!B2:B1000")=$B78) * (INDIRECT("'"&amp;M$1&amp;"'!C2:C1000")=$C78)
        ),7,
        FALSE
    )
)</f>
        <v/>
      </c>
      <c r="N78" s="50">
        <f t="array" ref="N78">IF(
    VLOOKUP(
        $A78,
        _xlfn._xlws.FILTER(
            INDIRECT("'"&amp;N$1&amp;"'!A2:G1000"), (INDIRECT("'"&amp;N$1&amp;"'!B2:B1000")=$B78) * (INDIRECT("'"&amp;N$1&amp;"'!C2:C1000")=$C78)
        ),
        5,
        FALSE
    )="",
    "",
    VLOOKUP(
        $A78,
        _xlfn._xlws.FILTER(
            INDIRECT("'"&amp;N$1&amp;"'!A2:G1000"), (INDIRECT("'"&amp;N$1&amp;"'!B2:B1000")=$B78) * (INDIRECT("'"&amp;N$1&amp;"'!C2:C1000")=$C78)
        ),7,
        FALSE
    )
)</f>
        <v/>
      </c>
      <c r="O78" s="50">
        <f t="array" ref="O78">IF(
    VLOOKUP(
        $A78,
        _xlfn._xlws.FILTER(
            INDIRECT("'"&amp;O$1&amp;"'!A2:G1000"), (INDIRECT("'"&amp;O$1&amp;"'!B2:B1000")=$B78) * (INDIRECT("'"&amp;O$1&amp;"'!C2:C1000")=$C78)
        ),
        5,
        FALSE
    )="",
    "",
    VLOOKUP(
        $A78,
        _xlfn._xlws.FILTER(
            INDIRECT("'"&amp;O$1&amp;"'!A2:G1000"), (INDIRECT("'"&amp;O$1&amp;"'!B2:B1000")=$B78) * (INDIRECT("'"&amp;O$1&amp;"'!C2:C1000")=$C78)
        ),7,
        FALSE
    )
)</f>
        <v/>
      </c>
      <c r="P78" s="50">
        <f t="array" ref="P78">IF(
    VLOOKUP(
        $A78,
        _xlfn._xlws.FILTER(
            INDIRECT("'"&amp;P$1&amp;"'!A2:G1000"), (INDIRECT("'"&amp;P$1&amp;"'!B2:B1000")=$B78) * (INDIRECT("'"&amp;P$1&amp;"'!C2:C1000")=$C78)
        ),
        5,
        FALSE
    )="",
    "",
    VLOOKUP(
        $A78,
        _xlfn._xlws.FILTER(
            INDIRECT("'"&amp;P$1&amp;"'!A2:G1000"), (INDIRECT("'"&amp;P$1&amp;"'!B2:B1000")=$B78) * (INDIRECT("'"&amp;P$1&amp;"'!C2:C1000")=$C78)
        ),7,
        FALSE
    )
)</f>
        <v/>
      </c>
      <c r="Q78" s="50">
        <f t="array" ref="Q78">IF(
    VLOOKUP(
        $A78,
        _xlfn._xlws.FILTER(
            INDIRECT("'"&amp;Q$1&amp;"'!A2:G1000"), (INDIRECT("'"&amp;Q$1&amp;"'!B2:B1000")=$B78) * (INDIRECT("'"&amp;Q$1&amp;"'!C2:C1000")=$C78)
        ),
        5,
        FALSE
    )="",
    "",
    VLOOKUP(
        $A78,
        _xlfn._xlws.FILTER(
            INDIRECT("'"&amp;Q$1&amp;"'!A2:G1000"), (INDIRECT("'"&amp;Q$1&amp;"'!B2:B1000")=$B78) * (INDIRECT("'"&amp;Q$1&amp;"'!C2:C1000")=$C78)
        ),7,
        FALSE
    )
)</f>
        <v/>
      </c>
    </row>
    <row r="79">
      <c r="A79" s="58" t="inlineStr">
        <is>
          <t>Valquiria</t>
        </is>
      </c>
      <c r="B79" s="50" t="inlineStr">
        <is>
          <t>Santa Lúcia</t>
        </is>
      </c>
      <c r="C79" s="50" t="n">
        <v>1</v>
      </c>
      <c r="D79" s="50">
        <f t="array" ref="D79">IF(
    VLOOKUP(
        $A79,
        _xlfn._xlws.FILTER(
            INDIRECT("'"&amp;D$1&amp;"'!A2:G1000"), (INDIRECT("'"&amp;D$1&amp;"'!B2:B1000")=$B79) * (INDIRECT("'"&amp;D$1&amp;"'!C2:C1000")=$C79)
        ),
        5,
        FALSE
    )="",
    "",
    VLOOKUP(
        $A79,
        _xlfn._xlws.FILTER(
            INDIRECT("'"&amp;D$1&amp;"'!A2:G1000"), (INDIRECT("'"&amp;D$1&amp;"'!B2:B1000")=$B79) * (INDIRECT("'"&amp;D$1&amp;"'!C2:C1000")=$C79)
        ),7,
        FALSE
    )
)</f>
        <v/>
      </c>
      <c r="E79" s="50">
        <f t="array" ref="E79">IF(
    VLOOKUP(
        $A79,
        _xlfn._xlws.FILTER(
            INDIRECT("'"&amp;E$1&amp;"'!A2:G1000"), (INDIRECT("'"&amp;E$1&amp;"'!B2:B1000")=$B79) * (INDIRECT("'"&amp;E$1&amp;"'!C2:C1000")=$C79)
        ),
        5,
        FALSE
    )="",
    "",
    VLOOKUP(
        $A79,
        _xlfn._xlws.FILTER(
            INDIRECT("'"&amp;E$1&amp;"'!A2:G1000"), (INDIRECT("'"&amp;E$1&amp;"'!B2:B1000")=$B79) * (INDIRECT("'"&amp;E$1&amp;"'!C2:C1000")=$C79)
        ),7,
        FALSE
    )
)</f>
        <v/>
      </c>
      <c r="F79" s="50">
        <f t="array" ref="F79">IF(
    VLOOKUP(
        $A79,
        _xlfn._xlws.FILTER(
            INDIRECT("'"&amp;F$1&amp;"'!A2:G1000"), (INDIRECT("'"&amp;F$1&amp;"'!B2:B1000")=$B79) * (INDIRECT("'"&amp;F$1&amp;"'!C2:C1000")=$C79)
        ),
        5,
        FALSE
    )="",
    "",
    VLOOKUP(
        $A79,
        _xlfn._xlws.FILTER(
            INDIRECT("'"&amp;F$1&amp;"'!A2:G1000"), (INDIRECT("'"&amp;F$1&amp;"'!B2:B1000")=$B79) * (INDIRECT("'"&amp;F$1&amp;"'!C2:C1000")=$C79)
        ),7,
        FALSE
    )
)</f>
        <v/>
      </c>
      <c r="G79" s="50">
        <f t="array" ref="G79">IF(
    VLOOKUP(
        $A79,
        _xlfn._xlws.FILTER(
            INDIRECT("'"&amp;G$1&amp;"'!A2:G1000"), (INDIRECT("'"&amp;G$1&amp;"'!B2:B1000")=$B79) * (INDIRECT("'"&amp;G$1&amp;"'!C2:C1000")=$C79)
        ),
        5,
        FALSE
    )="",
    "",
    VLOOKUP(
        $A79,
        _xlfn._xlws.FILTER(
            INDIRECT("'"&amp;G$1&amp;"'!A2:G1000"), (INDIRECT("'"&amp;G$1&amp;"'!B2:B1000")=$B79) * (INDIRECT("'"&amp;G$1&amp;"'!C2:C1000")=$C79)
        ),7,
        FALSE
    )
)</f>
        <v/>
      </c>
      <c r="H79" s="50">
        <f t="array" ref="H79">IF(
    VLOOKUP(
        $A79,
        _xlfn._xlws.FILTER(
            INDIRECT("'"&amp;H$1&amp;"'!A2:G1000"), (INDIRECT("'"&amp;H$1&amp;"'!B2:B1000")=$B79) * (INDIRECT("'"&amp;H$1&amp;"'!C2:C1000")=$C79)
        ),
        5,
        FALSE
    )="",
    "",
    VLOOKUP(
        $A79,
        _xlfn._xlws.FILTER(
            INDIRECT("'"&amp;H$1&amp;"'!A2:G1000"), (INDIRECT("'"&amp;H$1&amp;"'!B2:B1000")=$B79) * (INDIRECT("'"&amp;H$1&amp;"'!C2:C1000")=$C79)
        ),7,
        FALSE
    )
)</f>
        <v/>
      </c>
      <c r="I79" s="50">
        <f t="array" ref="I79">IF(
    VLOOKUP(
        $A79,
        _xlfn._xlws.FILTER(
            INDIRECT("'"&amp;I$1&amp;"'!A2:G1000"), (INDIRECT("'"&amp;I$1&amp;"'!B2:B1000")=$B79) * (INDIRECT("'"&amp;I$1&amp;"'!C2:C1000")=$C79)
        ),
        5,
        FALSE
    )="",
    "",
    VLOOKUP(
        $A79,
        _xlfn._xlws.FILTER(
            INDIRECT("'"&amp;I$1&amp;"'!A2:G1000"), (INDIRECT("'"&amp;I$1&amp;"'!B2:B1000")=$B79) * (INDIRECT("'"&amp;I$1&amp;"'!C2:C1000")=$C79)
        ),7,
        FALSE
    )
)</f>
        <v/>
      </c>
      <c r="J79" s="50">
        <f t="array" ref="J79">IF(
    VLOOKUP(
        $A79,
        _xlfn._xlws.FILTER(
            INDIRECT("'"&amp;J$1&amp;"'!A2:G1000"), (INDIRECT("'"&amp;J$1&amp;"'!B2:B1000")=$B79) * (INDIRECT("'"&amp;J$1&amp;"'!C2:C1000")=$C79)
        ),
        5,
        FALSE
    )="",
    "",
    VLOOKUP(
        $A79,
        _xlfn._xlws.FILTER(
            INDIRECT("'"&amp;J$1&amp;"'!A2:G1000"), (INDIRECT("'"&amp;J$1&amp;"'!B2:B1000")=$B79) * (INDIRECT("'"&amp;J$1&amp;"'!C2:C1000")=$C79)
        ),7,
        FALSE
    )
)</f>
        <v/>
      </c>
      <c r="K79" s="50">
        <f t="array" ref="K79">IF(
    VLOOKUP(
        $A79,
        _xlfn._xlws.FILTER(
            INDIRECT("'"&amp;K$1&amp;"'!A2:G1000"), (INDIRECT("'"&amp;K$1&amp;"'!B2:B1000")=$B79) * (INDIRECT("'"&amp;K$1&amp;"'!C2:C1000")=$C79)
        ),
        5,
        FALSE
    )="",
    "",
    VLOOKUP(
        $A79,
        _xlfn._xlws.FILTER(
            INDIRECT("'"&amp;K$1&amp;"'!A2:G1000"), (INDIRECT("'"&amp;K$1&amp;"'!B2:B1000")=$B79) * (INDIRECT("'"&amp;K$1&amp;"'!C2:C1000")=$C79)
        ),7,
        FALSE
    )
)</f>
        <v/>
      </c>
      <c r="L79" s="50">
        <f t="array" ref="L79">IF(
    VLOOKUP(
        $A79,
        _xlfn._xlws.FILTER(
            INDIRECT("'"&amp;L$1&amp;"'!A2:G1000"), (INDIRECT("'"&amp;L$1&amp;"'!B2:B1000")=$B79) * (INDIRECT("'"&amp;L$1&amp;"'!C2:C1000")=$C79)
        ),
        5,
        FALSE
    )="",
    "",
    VLOOKUP(
        $A79,
        _xlfn._xlws.FILTER(
            INDIRECT("'"&amp;L$1&amp;"'!A2:G1000"), (INDIRECT("'"&amp;L$1&amp;"'!B2:B1000")=$B79) * (INDIRECT("'"&amp;L$1&amp;"'!C2:C1000")=$C79)
        ),7,
        FALSE
    )
)</f>
        <v/>
      </c>
      <c r="M79" s="50">
        <f t="array" ref="M79">IF(
    VLOOKUP(
        $A79,
        _xlfn._xlws.FILTER(
            INDIRECT("'"&amp;M$1&amp;"'!A2:G1000"), (INDIRECT("'"&amp;M$1&amp;"'!B2:B1000")=$B79) * (INDIRECT("'"&amp;M$1&amp;"'!C2:C1000")=$C79)
        ),
        5,
        FALSE
    )="",
    "",
    VLOOKUP(
        $A79,
        _xlfn._xlws.FILTER(
            INDIRECT("'"&amp;M$1&amp;"'!A2:G1000"), (INDIRECT("'"&amp;M$1&amp;"'!B2:B1000")=$B79) * (INDIRECT("'"&amp;M$1&amp;"'!C2:C1000")=$C79)
        ),7,
        FALSE
    )
)</f>
        <v/>
      </c>
      <c r="N79" s="50">
        <f t="array" ref="N79">IF(
    VLOOKUP(
        $A79,
        _xlfn._xlws.FILTER(
            INDIRECT("'"&amp;N$1&amp;"'!A2:G1000"), (INDIRECT("'"&amp;N$1&amp;"'!B2:B1000")=$B79) * (INDIRECT("'"&amp;N$1&amp;"'!C2:C1000")=$C79)
        ),
        5,
        FALSE
    )="",
    "",
    VLOOKUP(
        $A79,
        _xlfn._xlws.FILTER(
            INDIRECT("'"&amp;N$1&amp;"'!A2:G1000"), (INDIRECT("'"&amp;N$1&amp;"'!B2:B1000")=$B79) * (INDIRECT("'"&amp;N$1&amp;"'!C2:C1000")=$C79)
        ),7,
        FALSE
    )
)</f>
        <v/>
      </c>
      <c r="O79" s="50">
        <f t="array" ref="O79">IF(
    VLOOKUP(
        $A79,
        _xlfn._xlws.FILTER(
            INDIRECT("'"&amp;O$1&amp;"'!A2:G1000"), (INDIRECT("'"&amp;O$1&amp;"'!B2:B1000")=$B79) * (INDIRECT("'"&amp;O$1&amp;"'!C2:C1000")=$C79)
        ),
        5,
        FALSE
    )="",
    "",
    VLOOKUP(
        $A79,
        _xlfn._xlws.FILTER(
            INDIRECT("'"&amp;O$1&amp;"'!A2:G1000"), (INDIRECT("'"&amp;O$1&amp;"'!B2:B1000")=$B79) * (INDIRECT("'"&amp;O$1&amp;"'!C2:C1000")=$C79)
        ),7,
        FALSE
    )
)</f>
        <v/>
      </c>
      <c r="P79" s="50">
        <f t="array" ref="P79">IF(
    VLOOKUP(
        $A79,
        _xlfn._xlws.FILTER(
            INDIRECT("'"&amp;P$1&amp;"'!A2:G1000"), (INDIRECT("'"&amp;P$1&amp;"'!B2:B1000")=$B79) * (INDIRECT("'"&amp;P$1&amp;"'!C2:C1000")=$C79)
        ),
        5,
        FALSE
    )="",
    "",
    VLOOKUP(
        $A79,
        _xlfn._xlws.FILTER(
            INDIRECT("'"&amp;P$1&amp;"'!A2:G1000"), (INDIRECT("'"&amp;P$1&amp;"'!B2:B1000")=$B79) * (INDIRECT("'"&amp;P$1&amp;"'!C2:C1000")=$C79)
        ),7,
        FALSE
    )
)</f>
        <v/>
      </c>
      <c r="Q79" s="50">
        <f t="array" ref="Q79">IF(
    VLOOKUP(
        $A79,
        _xlfn._xlws.FILTER(
            INDIRECT("'"&amp;Q$1&amp;"'!A2:G1000"), (INDIRECT("'"&amp;Q$1&amp;"'!B2:B1000")=$B79) * (INDIRECT("'"&amp;Q$1&amp;"'!C2:C1000")=$C79)
        ),
        5,
        FALSE
    )="",
    "",
    VLOOKUP(
        $A79,
        _xlfn._xlws.FILTER(
            INDIRECT("'"&amp;Q$1&amp;"'!A2:G1000"), (INDIRECT("'"&amp;Q$1&amp;"'!B2:B1000")=$B79) * (INDIRECT("'"&amp;Q$1&amp;"'!C2:C1000")=$C79)
        ),7,
        FALSE
    )
)</f>
        <v/>
      </c>
    </row>
    <row r="80">
      <c r="A80" s="58" t="inlineStr">
        <is>
          <t>Valquiria</t>
        </is>
      </c>
      <c r="B80" s="50" t="inlineStr">
        <is>
          <t>Santa Tereza do Oeste</t>
        </is>
      </c>
      <c r="C80" s="50" t="n">
        <v>1</v>
      </c>
      <c r="D80" s="50">
        <f t="array" ref="D80">IF(
    VLOOKUP(
        $A80,
        _xlfn._xlws.FILTER(
            INDIRECT("'"&amp;D$1&amp;"'!A2:G1000"), (INDIRECT("'"&amp;D$1&amp;"'!B2:B1000")=$B80) * (INDIRECT("'"&amp;D$1&amp;"'!C2:C1000")=$C80)
        ),
        5,
        FALSE
    )="",
    "",
    VLOOKUP(
        $A80,
        _xlfn._xlws.FILTER(
            INDIRECT("'"&amp;D$1&amp;"'!A2:G1000"), (INDIRECT("'"&amp;D$1&amp;"'!B2:B1000")=$B80) * (INDIRECT("'"&amp;D$1&amp;"'!C2:C1000")=$C80)
        ),7,
        FALSE
    )
)</f>
        <v/>
      </c>
      <c r="E80" s="50">
        <f t="array" ref="E80">IF(
    VLOOKUP(
        $A80,
        _xlfn._xlws.FILTER(
            INDIRECT("'"&amp;E$1&amp;"'!A2:G1000"), (INDIRECT("'"&amp;E$1&amp;"'!B2:B1000")=$B80) * (INDIRECT("'"&amp;E$1&amp;"'!C2:C1000")=$C80)
        ),
        5,
        FALSE
    )="",
    "",
    VLOOKUP(
        $A80,
        _xlfn._xlws.FILTER(
            INDIRECT("'"&amp;E$1&amp;"'!A2:G1000"), (INDIRECT("'"&amp;E$1&amp;"'!B2:B1000")=$B80) * (INDIRECT("'"&amp;E$1&amp;"'!C2:C1000")=$C80)
        ),7,
        FALSE
    )
)</f>
        <v/>
      </c>
      <c r="F80" s="50">
        <f t="array" ref="F80">IF(
    VLOOKUP(
        $A80,
        _xlfn._xlws.FILTER(
            INDIRECT("'"&amp;F$1&amp;"'!A2:G1000"), (INDIRECT("'"&amp;F$1&amp;"'!B2:B1000")=$B80) * (INDIRECT("'"&amp;F$1&amp;"'!C2:C1000")=$C80)
        ),
        5,
        FALSE
    )="",
    "",
    VLOOKUP(
        $A80,
        _xlfn._xlws.FILTER(
            INDIRECT("'"&amp;F$1&amp;"'!A2:G1000"), (INDIRECT("'"&amp;F$1&amp;"'!B2:B1000")=$B80) * (INDIRECT("'"&amp;F$1&amp;"'!C2:C1000")=$C80)
        ),7,
        FALSE
    )
)</f>
        <v/>
      </c>
      <c r="G80" s="50">
        <f t="array" ref="G80">IF(
    VLOOKUP(
        $A80,
        _xlfn._xlws.FILTER(
            INDIRECT("'"&amp;G$1&amp;"'!A2:G1000"), (INDIRECT("'"&amp;G$1&amp;"'!B2:B1000")=$B80) * (INDIRECT("'"&amp;G$1&amp;"'!C2:C1000")=$C80)
        ),
        5,
        FALSE
    )="",
    "",
    VLOOKUP(
        $A80,
        _xlfn._xlws.FILTER(
            INDIRECT("'"&amp;G$1&amp;"'!A2:G1000"), (INDIRECT("'"&amp;G$1&amp;"'!B2:B1000")=$B80) * (INDIRECT("'"&amp;G$1&amp;"'!C2:C1000")=$C80)
        ),7,
        FALSE
    )
)</f>
        <v/>
      </c>
      <c r="H80" s="50">
        <f t="array" ref="H80">IF(
    VLOOKUP(
        $A80,
        _xlfn._xlws.FILTER(
            INDIRECT("'"&amp;H$1&amp;"'!A2:G1000"), (INDIRECT("'"&amp;H$1&amp;"'!B2:B1000")=$B80) * (INDIRECT("'"&amp;H$1&amp;"'!C2:C1000")=$C80)
        ),
        5,
        FALSE
    )="",
    "",
    VLOOKUP(
        $A80,
        _xlfn._xlws.FILTER(
            INDIRECT("'"&amp;H$1&amp;"'!A2:G1000"), (INDIRECT("'"&amp;H$1&amp;"'!B2:B1000")=$B80) * (INDIRECT("'"&amp;H$1&amp;"'!C2:C1000")=$C80)
        ),7,
        FALSE
    )
)</f>
        <v/>
      </c>
      <c r="I80" s="50">
        <f t="array" ref="I80">IF(
    VLOOKUP(
        $A80,
        _xlfn._xlws.FILTER(
            INDIRECT("'"&amp;I$1&amp;"'!A2:G1000"), (INDIRECT("'"&amp;I$1&amp;"'!B2:B1000")=$B80) * (INDIRECT("'"&amp;I$1&amp;"'!C2:C1000")=$C80)
        ),
        5,
        FALSE
    )="",
    "",
    VLOOKUP(
        $A80,
        _xlfn._xlws.FILTER(
            INDIRECT("'"&amp;I$1&amp;"'!A2:G1000"), (INDIRECT("'"&amp;I$1&amp;"'!B2:B1000")=$B80) * (INDIRECT("'"&amp;I$1&amp;"'!C2:C1000")=$C80)
        ),7,
        FALSE
    )
)</f>
        <v/>
      </c>
      <c r="J80" s="50">
        <f t="array" ref="J80">IF(
    VLOOKUP(
        $A80,
        _xlfn._xlws.FILTER(
            INDIRECT("'"&amp;J$1&amp;"'!A2:G1000"), (INDIRECT("'"&amp;J$1&amp;"'!B2:B1000")=$B80) * (INDIRECT("'"&amp;J$1&amp;"'!C2:C1000")=$C80)
        ),
        5,
        FALSE
    )="",
    "",
    VLOOKUP(
        $A80,
        _xlfn._xlws.FILTER(
            INDIRECT("'"&amp;J$1&amp;"'!A2:G1000"), (INDIRECT("'"&amp;J$1&amp;"'!B2:B1000")=$B80) * (INDIRECT("'"&amp;J$1&amp;"'!C2:C1000")=$C80)
        ),7,
        FALSE
    )
)</f>
        <v/>
      </c>
      <c r="K80" s="50">
        <f t="array" ref="K80">IF(
    VLOOKUP(
        $A80,
        _xlfn._xlws.FILTER(
            INDIRECT("'"&amp;K$1&amp;"'!A2:G1000"), (INDIRECT("'"&amp;K$1&amp;"'!B2:B1000")=$B80) * (INDIRECT("'"&amp;K$1&amp;"'!C2:C1000")=$C80)
        ),
        5,
        FALSE
    )="",
    "",
    VLOOKUP(
        $A80,
        _xlfn._xlws.FILTER(
            INDIRECT("'"&amp;K$1&amp;"'!A2:G1000"), (INDIRECT("'"&amp;K$1&amp;"'!B2:B1000")=$B80) * (INDIRECT("'"&amp;K$1&amp;"'!C2:C1000")=$C80)
        ),7,
        FALSE
    )
)</f>
        <v/>
      </c>
      <c r="L80" s="50">
        <f t="array" ref="L80">IF(
    VLOOKUP(
        $A80,
        _xlfn._xlws.FILTER(
            INDIRECT("'"&amp;L$1&amp;"'!A2:G1000"), (INDIRECT("'"&amp;L$1&amp;"'!B2:B1000")=$B80) * (INDIRECT("'"&amp;L$1&amp;"'!C2:C1000")=$C80)
        ),
        5,
        FALSE
    )="",
    "",
    VLOOKUP(
        $A80,
        _xlfn._xlws.FILTER(
            INDIRECT("'"&amp;L$1&amp;"'!A2:G1000"), (INDIRECT("'"&amp;L$1&amp;"'!B2:B1000")=$B80) * (INDIRECT("'"&amp;L$1&amp;"'!C2:C1000")=$C80)
        ),7,
        FALSE
    )
)</f>
        <v/>
      </c>
      <c r="M80" s="50">
        <f t="array" ref="M80">IF(
    VLOOKUP(
        $A80,
        _xlfn._xlws.FILTER(
            INDIRECT("'"&amp;M$1&amp;"'!A2:G1000"), (INDIRECT("'"&amp;M$1&amp;"'!B2:B1000")=$B80) * (INDIRECT("'"&amp;M$1&amp;"'!C2:C1000")=$C80)
        ),
        5,
        FALSE
    )="",
    "",
    VLOOKUP(
        $A80,
        _xlfn._xlws.FILTER(
            INDIRECT("'"&amp;M$1&amp;"'!A2:G1000"), (INDIRECT("'"&amp;M$1&amp;"'!B2:B1000")=$B80) * (INDIRECT("'"&amp;M$1&amp;"'!C2:C1000")=$C80)
        ),7,
        FALSE
    )
)</f>
        <v/>
      </c>
      <c r="N80" s="50">
        <f t="array" ref="N80">IF(
    VLOOKUP(
        $A80,
        _xlfn._xlws.FILTER(
            INDIRECT("'"&amp;N$1&amp;"'!A2:G1000"), (INDIRECT("'"&amp;N$1&amp;"'!B2:B1000")=$B80) * (INDIRECT("'"&amp;N$1&amp;"'!C2:C1000")=$C80)
        ),
        5,
        FALSE
    )="",
    "",
    VLOOKUP(
        $A80,
        _xlfn._xlws.FILTER(
            INDIRECT("'"&amp;N$1&amp;"'!A2:G1000"), (INDIRECT("'"&amp;N$1&amp;"'!B2:B1000")=$B80) * (INDIRECT("'"&amp;N$1&amp;"'!C2:C1000")=$C80)
        ),7,
        FALSE
    )
)</f>
        <v/>
      </c>
      <c r="O80" s="50">
        <f t="array" ref="O80">IF(
    VLOOKUP(
        $A80,
        _xlfn._xlws.FILTER(
            INDIRECT("'"&amp;O$1&amp;"'!A2:G1000"), (INDIRECT("'"&amp;O$1&amp;"'!B2:B1000")=$B80) * (INDIRECT("'"&amp;O$1&amp;"'!C2:C1000")=$C80)
        ),
        5,
        FALSE
    )="",
    "",
    VLOOKUP(
        $A80,
        _xlfn._xlws.FILTER(
            INDIRECT("'"&amp;O$1&amp;"'!A2:G1000"), (INDIRECT("'"&amp;O$1&amp;"'!B2:B1000")=$B80) * (INDIRECT("'"&amp;O$1&amp;"'!C2:C1000")=$C80)
        ),7,
        FALSE
    )
)</f>
        <v/>
      </c>
      <c r="P80" s="50">
        <f t="array" ref="P80">IF(
    VLOOKUP(
        $A80,
        _xlfn._xlws.FILTER(
            INDIRECT("'"&amp;P$1&amp;"'!A2:G1000"), (INDIRECT("'"&amp;P$1&amp;"'!B2:B1000")=$B80) * (INDIRECT("'"&amp;P$1&amp;"'!C2:C1000")=$C80)
        ),
        5,
        FALSE
    )="",
    "",
    VLOOKUP(
        $A80,
        _xlfn._xlws.FILTER(
            INDIRECT("'"&amp;P$1&amp;"'!A2:G1000"), (INDIRECT("'"&amp;P$1&amp;"'!B2:B1000")=$B80) * (INDIRECT("'"&amp;P$1&amp;"'!C2:C1000")=$C80)
        ),7,
        FALSE
    )
)</f>
        <v/>
      </c>
      <c r="Q80" s="50">
        <f t="array" ref="Q80">IF(
    VLOOKUP(
        $A80,
        _xlfn._xlws.FILTER(
            INDIRECT("'"&amp;Q$1&amp;"'!A2:G1000"), (INDIRECT("'"&amp;Q$1&amp;"'!B2:B1000")=$B80) * (INDIRECT("'"&amp;Q$1&amp;"'!C2:C1000")=$C80)
        ),
        5,
        FALSE
    )="",
    "",
    VLOOKUP(
        $A80,
        _xlfn._xlws.FILTER(
            INDIRECT("'"&amp;Q$1&amp;"'!A2:G1000"), (INDIRECT("'"&amp;Q$1&amp;"'!B2:B1000")=$B80) * (INDIRECT("'"&amp;Q$1&amp;"'!C2:C1000")=$C80)
        ),7,
        FALSE
    )
)</f>
        <v/>
      </c>
    </row>
  </sheetData>
  <conditionalFormatting sqref="D2:Q80">
    <cfRule type="cellIs" priority="21" operator="equal" dxfId="24">
      <formula>"Sim"</formula>
    </cfRule>
    <cfRule type="cellIs" priority="22" operator="equal" dxfId="25">
      <formula>"Não"</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4" customWidth="1" min="6" max="6"/>
    <col width="27" customWidth="1" min="7" max="7"/>
    <col width="40"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5" t="inlineStr">
        <is>
          <t>Atrasado &gt;= 2</t>
        </is>
      </c>
      <c r="F2" s="114" t="n"/>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5" t="inlineStr">
        <is>
          <t>Atrasado &gt;= 2</t>
        </is>
      </c>
      <c r="F3" s="114" t="n"/>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5" t="inlineStr">
        <is>
          <t>Atrasado &gt;= 2</t>
        </is>
      </c>
      <c r="F4" s="114" t="n"/>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5" t="inlineStr">
        <is>
          <t>Atrasado &gt;= 2</t>
        </is>
      </c>
      <c r="F5" s="114" t="n"/>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5" t="inlineStr">
        <is>
          <t>Atrasado &gt;= 2</t>
        </is>
      </c>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5" t="inlineStr">
        <is>
          <t>Atrasado &gt;= 2</t>
        </is>
      </c>
      <c r="F7" s="114" t="n"/>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02/01/2025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5" t="inlineStr">
        <is>
          <t>Atrasado &gt;= 2</t>
        </is>
      </c>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5" t="inlineStr">
        <is>
          <t>Atrasado &gt;= 2</t>
        </is>
      </c>
      <c r="F10" s="114" t="n"/>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07/01/2025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09/01/2025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09/01/2025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08/01/2025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08/01/2025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09/01/2025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5" t="inlineStr">
        <is>
          <t>Atrasado &gt;= 2</t>
        </is>
      </c>
      <c r="F17" s="114" t="n"/>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5" t="inlineStr">
        <is>
          <t>Atrasado &gt;= 2</t>
        </is>
      </c>
      <c r="F18" s="114" t="n"/>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5" t="inlineStr">
        <is>
          <t>Atrasado &gt;= 2</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5" t="inlineStr">
        <is>
          <t>Atrasado &gt;= 2</t>
        </is>
      </c>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5" t="inlineStr">
        <is>
          <t>Atrasado &gt;= 2</t>
        </is>
      </c>
      <c r="F21" s="114" t="n"/>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5" t="inlineStr">
        <is>
          <t>Atrasado &gt;= 2</t>
        </is>
      </c>
      <c r="F22" s="114" t="n"/>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02/01/2025</t>
        </is>
      </c>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02/01/2025</t>
        </is>
      </c>
      <c r="G26" s="116" t="inlineStr">
        <is>
          <t>Não</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02/01/2025</t>
        </is>
      </c>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02/01/2025</t>
        </is>
      </c>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02/01/2025</t>
        </is>
      </c>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03/01/2025</t>
        </is>
      </c>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03/01/2025</t>
        </is>
      </c>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10/01/2025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02/01/2025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5" t="inlineStr">
        <is>
          <t>Atrasado &gt;= 2</t>
        </is>
      </c>
      <c r="F35" s="114" t="n"/>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5" t="inlineStr">
        <is>
          <t>Atrasado &gt;= 2</t>
        </is>
      </c>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5" t="inlineStr">
        <is>
          <t>Atrasado &gt;= 2</t>
        </is>
      </c>
      <c r="F37" s="114" t="n"/>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5" t="inlineStr">
        <is>
          <t>Atrasado &gt;= 2</t>
        </is>
      </c>
      <c r="F38" s="114" t="n"/>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02/01/2025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5" t="inlineStr">
        <is>
          <t>Atrasado &gt;= 2</t>
        </is>
      </c>
      <c r="F41" s="114" t="n"/>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03/01/2025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06/01/2025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02/01/2025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02/01/2025</t>
        </is>
      </c>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13/01/2025</t>
        </is>
      </c>
      <c r="G46" s="116" t="inlineStr">
        <is>
          <t>Não</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02/01/2025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03/01/2025</t>
        </is>
      </c>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5" t="inlineStr">
        <is>
          <t>Atrasado &gt;= 2</t>
        </is>
      </c>
      <c r="F49" s="125" t="n">
        <v>45649</v>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5" t="inlineStr">
        <is>
          <t>Atrasado &gt;= 2</t>
        </is>
      </c>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02/01/2025</t>
        </is>
      </c>
      <c r="G51" s="124" t="inlineStr">
        <is>
          <t>Sim</t>
        </is>
      </c>
      <c r="H51" s="114" t="inlineStr">
        <is>
          <t>revisar se temos despesas e rejeito</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02/01/2025</t>
        </is>
      </c>
      <c r="G52" s="124" t="inlineStr">
        <is>
          <t>Sim</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5" t="inlineStr">
        <is>
          <t>Atrasado &gt;= 2</t>
        </is>
      </c>
      <c r="F54" s="114" t="n"/>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02/01/2025</t>
        </is>
      </c>
      <c r="G55" s="124" t="inlineStr">
        <is>
          <t>Sim</t>
        </is>
      </c>
      <c r="H55" s="114" t="inlineStr">
        <is>
          <t>revisar se temos despesas</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10/01/2025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06/01/2025</t>
        </is>
      </c>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5" t="inlineStr">
        <is>
          <t>Atrasado &gt;= 2</t>
        </is>
      </c>
      <c r="F58" s="114" t="n"/>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5" t="inlineStr">
        <is>
          <t>Atrasado &gt;= 2</t>
        </is>
      </c>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13/01/2025</t>
        </is>
      </c>
      <c r="G60" s="116" t="inlineStr">
        <is>
          <t>Não</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10/01/2025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5" t="inlineStr">
        <is>
          <t>Atrasado &gt;= 2</t>
        </is>
      </c>
      <c r="F62" s="114" t="n"/>
      <c r="G62" s="116" t="inlineStr">
        <is>
          <t>Não</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5" t="inlineStr">
        <is>
          <t>Atrasado &gt;= 2</t>
        </is>
      </c>
      <c r="F63" s="114" t="n"/>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06/01/2025</t>
        </is>
      </c>
      <c r="G64" s="116" t="inlineStr">
        <is>
          <t>Não</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02/01/2025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5" t="inlineStr">
        <is>
          <t>Atrasado &gt;= 2</t>
        </is>
      </c>
      <c r="F66" s="114" t="n"/>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5" t="inlineStr">
        <is>
          <t>Atrasado &gt;= 2</t>
        </is>
      </c>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04/01/2025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5" t="inlineStr">
        <is>
          <t>Atrasado &gt;= 2</t>
        </is>
      </c>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4" customWidth="1" min="6" max="6"/>
    <col width="27" customWidth="1" min="7" max="7"/>
    <col width="40"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5" t="inlineStr">
        <is>
          <t>Atrasado &gt;= 2</t>
        </is>
      </c>
      <c r="F2" s="114" t="n"/>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5" t="inlineStr">
        <is>
          <t>Atrasado &gt;= 2</t>
        </is>
      </c>
      <c r="F3" s="114" t="n"/>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5" t="inlineStr">
        <is>
          <t>Atrasado &gt;= 2</t>
        </is>
      </c>
      <c r="F4" s="114" t="n"/>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5" t="inlineStr">
        <is>
          <t>Atrasado &gt;= 2</t>
        </is>
      </c>
      <c r="F5" s="114" t="n"/>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5" t="inlineStr">
        <is>
          <t>Atrasado &gt;= 2</t>
        </is>
      </c>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5" t="inlineStr">
        <is>
          <t>Atrasado &gt;= 2</t>
        </is>
      </c>
      <c r="F7" s="114" t="n"/>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02/01/2025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5" t="inlineStr">
        <is>
          <t>Atrasado &gt;= 2</t>
        </is>
      </c>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5" t="inlineStr">
        <is>
          <t>Atrasado &gt;= 2</t>
        </is>
      </c>
      <c r="F10" s="114" t="n"/>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08/01/2025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09/01/2025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09/01/2025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08/01/2025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09/01/2025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09/01/2025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5" t="inlineStr">
        <is>
          <t>Atrasado &gt;= 2</t>
        </is>
      </c>
      <c r="F17" s="114" t="n"/>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5" t="inlineStr">
        <is>
          <t>Atrasado &gt;= 2</t>
        </is>
      </c>
      <c r="F18" s="114" t="n"/>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5" t="inlineStr">
        <is>
          <t>Atrasado &gt;= 2</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5" t="inlineStr">
        <is>
          <t>Atrasado &gt;= 2</t>
        </is>
      </c>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5" t="inlineStr">
        <is>
          <t>Atrasado &gt;= 2</t>
        </is>
      </c>
      <c r="F21" s="114" t="n"/>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5" t="inlineStr">
        <is>
          <t>Atrasado &gt;= 2</t>
        </is>
      </c>
      <c r="F22" s="114" t="n"/>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02/01/2025</t>
        </is>
      </c>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02/01/2025</t>
        </is>
      </c>
      <c r="G26" s="116" t="inlineStr">
        <is>
          <t>Não</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02/01/2025</t>
        </is>
      </c>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02/01/2025</t>
        </is>
      </c>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03/01/2025</t>
        </is>
      </c>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03/01/2025</t>
        </is>
      </c>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03/01/2025</t>
        </is>
      </c>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10/01/2025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02/01/2025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5" t="inlineStr">
        <is>
          <t>Atrasado &gt;= 2</t>
        </is>
      </c>
      <c r="F35" s="114" t="n"/>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5" t="inlineStr">
        <is>
          <t>Atrasado &gt;= 2</t>
        </is>
      </c>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5" t="inlineStr">
        <is>
          <t>Atrasado &gt;= 2</t>
        </is>
      </c>
      <c r="F37" s="114" t="n"/>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5" t="inlineStr">
        <is>
          <t>Atrasado &gt;= 2</t>
        </is>
      </c>
      <c r="F38" s="114" t="n"/>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02/01/2025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5" t="inlineStr">
        <is>
          <t>Atrasado &gt;= 2</t>
        </is>
      </c>
      <c r="F41" s="114" t="n"/>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03/01/2025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06/01/2025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02/01/2025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02/01/2025</t>
        </is>
      </c>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13/01/2025</t>
        </is>
      </c>
      <c r="G46" s="116" t="inlineStr">
        <is>
          <t>Não</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02/01/2025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09/01/2025</t>
        </is>
      </c>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5" t="inlineStr">
        <is>
          <t>Atrasado &gt;= 2</t>
        </is>
      </c>
      <c r="F49" s="125" t="n">
        <v>45649</v>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5" t="inlineStr">
        <is>
          <t>Atrasado &gt;= 2</t>
        </is>
      </c>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02/01/2025</t>
        </is>
      </c>
      <c r="G51" s="124" t="inlineStr">
        <is>
          <t>Sim</t>
        </is>
      </c>
      <c r="H51" s="114" t="inlineStr">
        <is>
          <t>Verificar despesas e rejeito</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02/01/2025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5" t="inlineStr">
        <is>
          <t>Atrasado &gt;= 2</t>
        </is>
      </c>
      <c r="F54" s="114" t="n"/>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02/01/2025</t>
        </is>
      </c>
      <c r="G55" s="124" t="inlineStr">
        <is>
          <t>Sim</t>
        </is>
      </c>
      <c r="H55" s="114" t="inlineStr">
        <is>
          <t>revisar se temos despesas e rejeito</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10/01/2025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06/01/2025</t>
        </is>
      </c>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5" t="inlineStr">
        <is>
          <t>Atrasado &gt;= 2</t>
        </is>
      </c>
      <c r="F58" s="114" t="n"/>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5" t="inlineStr">
        <is>
          <t>Atrasado &gt;= 2</t>
        </is>
      </c>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13/01/2025</t>
        </is>
      </c>
      <c r="G60" s="116" t="inlineStr">
        <is>
          <t>Não</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10/01/2025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04/01/2025</t>
        </is>
      </c>
      <c r="G62" s="116" t="inlineStr">
        <is>
          <t>Não</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01/04/2025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09/01/2025</t>
        </is>
      </c>
      <c r="G64" s="116" t="inlineStr">
        <is>
          <t>Não</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02/01/2025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5" t="inlineStr">
        <is>
          <t>Atrasado &gt;= 2</t>
        </is>
      </c>
      <c r="F66" s="114" t="n"/>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5" t="inlineStr">
        <is>
          <t>Atrasado &gt;= 2</t>
        </is>
      </c>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04/01/2025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5" t="inlineStr">
        <is>
          <t>Atrasado &gt;= 2</t>
        </is>
      </c>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7" customWidth="1" min="6" max="6"/>
    <col width="27" customWidth="1" min="7" max="7"/>
    <col width="48"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5" t="inlineStr">
        <is>
          <t>Atrasado &gt;= 2</t>
        </is>
      </c>
      <c r="F2" s="114" t="n"/>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5" t="inlineStr">
        <is>
          <t>Atrasado &gt;= 2</t>
        </is>
      </c>
      <c r="F3" s="114" t="n"/>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5" t="inlineStr">
        <is>
          <t>Atrasado &gt;= 2</t>
        </is>
      </c>
      <c r="F5" s="114" t="n"/>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5" t="inlineStr">
        <is>
          <t>Atrasado &gt;= 2</t>
        </is>
      </c>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5" t="inlineStr">
        <is>
          <t>Atrasado &gt;= 2</t>
        </is>
      </c>
      <c r="F7" s="114" t="n"/>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02/01/2025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5" t="inlineStr">
        <is>
          <t>Atrasado &gt;= 2</t>
        </is>
      </c>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5" t="inlineStr">
        <is>
          <t>Atrasado &gt;= 2</t>
        </is>
      </c>
      <c r="F10" s="114" t="n"/>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08/01/2025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09/01/2025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09/01/2025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08/01/2025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09/01/2025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09/01/2025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5" t="inlineStr">
        <is>
          <t>Atrasado &gt;= 2</t>
        </is>
      </c>
      <c r="F17" s="114" t="n"/>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5" t="inlineStr">
        <is>
          <t>Atrasado &gt;= 2</t>
        </is>
      </c>
      <c r="F18" s="114" t="n"/>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5" t="inlineStr">
        <is>
          <t>Atrasado &gt;= 2</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5" t="inlineStr">
        <is>
          <t>Atrasado &gt;= 2</t>
        </is>
      </c>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5" t="inlineStr">
        <is>
          <t>Atrasado &gt;= 2</t>
        </is>
      </c>
      <c r="F21" s="114" t="n"/>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5" t="inlineStr">
        <is>
          <t>Atrasado &gt;= 2</t>
        </is>
      </c>
      <c r="F22" s="114" t="n"/>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02/01/2025</t>
        </is>
      </c>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02/01/2025</t>
        </is>
      </c>
      <c r="G26" s="116" t="inlineStr">
        <is>
          <t>Não</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02/01/2025</t>
        </is>
      </c>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02/01/2025</t>
        </is>
      </c>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03/01/2025</t>
        </is>
      </c>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03/01/2025</t>
        </is>
      </c>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03/01/2025</t>
        </is>
      </c>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10/01/2025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02/01/2025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5" t="inlineStr">
        <is>
          <t>Atrasado &gt;= 2</t>
        </is>
      </c>
      <c r="F35" s="114" t="n"/>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5" t="inlineStr">
        <is>
          <t>Atrasado &gt;= 2</t>
        </is>
      </c>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5" t="inlineStr">
        <is>
          <t>Atrasado &gt;= 2</t>
        </is>
      </c>
      <c r="F37" s="114" t="n"/>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5" t="inlineStr">
        <is>
          <t>Atrasado &gt;= 2</t>
        </is>
      </c>
      <c r="F38" s="114" t="n"/>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02/01/2025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5" t="inlineStr">
        <is>
          <t>Atrasado &gt;= 2</t>
        </is>
      </c>
      <c r="F41" s="114" t="n"/>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03/01/2025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06/01/2025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02/01/2025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26" t="inlineStr">
        <is>
          <t>Duplicado</t>
        </is>
      </c>
      <c r="F45" s="114" t="inlineStr">
        <is>
          <t>03/01/2025, 01/07/2025</t>
        </is>
      </c>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13/01/2025</t>
        </is>
      </c>
      <c r="G46" s="116" t="inlineStr">
        <is>
          <t>Não</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02/01/2025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09/01/2025</t>
        </is>
      </c>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5" t="inlineStr">
        <is>
          <t>Atrasado &gt;= 2</t>
        </is>
      </c>
      <c r="F49" s="125" t="n">
        <v>45649</v>
      </c>
      <c r="G49" s="124" t="inlineStr">
        <is>
          <t>Sim</t>
        </is>
      </c>
      <c r="H49" s="114" t="inlineStr">
        <is>
          <t>Revisar Rejeito</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5" t="inlineStr">
        <is>
          <t>Atrasado &gt;= 2</t>
        </is>
      </c>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02/01/2025</t>
        </is>
      </c>
      <c r="G51" s="124" t="inlineStr">
        <is>
          <t>Sim</t>
        </is>
      </c>
      <c r="H51" s="114" t="inlineStr">
        <is>
          <t>Verificar salário médio, despesas e rejeito</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02/01/2025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5" t="inlineStr">
        <is>
          <t>Atrasado &gt;= 2</t>
        </is>
      </c>
      <c r="F54" s="114" t="n"/>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02/01/2025</t>
        </is>
      </c>
      <c r="G55" s="124" t="inlineStr">
        <is>
          <t>Sim</t>
        </is>
      </c>
      <c r="H55" s="114" t="inlineStr">
        <is>
          <t>revisar se temos despesas e rejeito</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10/01/2025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06/01/2025</t>
        </is>
      </c>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5" t="inlineStr">
        <is>
          <t>Atrasado &gt;= 2</t>
        </is>
      </c>
      <c r="F58" s="114" t="n"/>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5" t="inlineStr">
        <is>
          <t>Atrasado &gt;= 2</t>
        </is>
      </c>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13/01/2025</t>
        </is>
      </c>
      <c r="G60" s="116" t="inlineStr">
        <is>
          <t>Não</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10/01/2025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04/01/2025</t>
        </is>
      </c>
      <c r="G62" s="116" t="inlineStr">
        <is>
          <t>Não</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02/04/2025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09/01/2025</t>
        </is>
      </c>
      <c r="G64" s="116" t="inlineStr">
        <is>
          <t>Não</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02/01/2025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5" t="inlineStr">
        <is>
          <t>Atrasado &gt;= 2</t>
        </is>
      </c>
      <c r="F66" s="114" t="n"/>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5" t="inlineStr">
        <is>
          <t>Atrasado &gt;= 2</t>
        </is>
      </c>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04/01/2025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5" t="inlineStr">
        <is>
          <t>Atrasado &gt;= 2</t>
        </is>
      </c>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39" customWidth="1" min="6" max="6"/>
    <col width="27" customWidth="1" min="7" max="7"/>
    <col width="153"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26/02/2025</t>
        </is>
      </c>
      <c r="G2" s="124" t="inlineStr">
        <is>
          <t>Sim</t>
        </is>
      </c>
      <c r="H2" s="114" t="inlineStr">
        <is>
          <t>Revisar Valor de venda dos recicláveis, revisar valor do contrato, revisar despesas</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26/02/2025</t>
        </is>
      </c>
      <c r="G3" s="124" t="inlineStr">
        <is>
          <t>Sim</t>
        </is>
      </c>
      <c r="H3" s="114" t="inlineStr">
        <is>
          <t>Receita de venda inicial não coincide com o valor do Resumo</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inlineStr">
        <is>
          <t>incluir notas fiscais</t>
        </is>
      </c>
      <c r="I4" s="114" t="inlineStr">
        <is>
          <t>remover ID4279</t>
        </is>
      </c>
      <c r="J4" s="114" t="inlineStr">
        <is>
          <t>Sim</t>
        </is>
      </c>
      <c r="K4" s="114" t="inlineStr">
        <is>
          <t>Deletado 4279</t>
        </is>
      </c>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21/03/2025</t>
        </is>
      </c>
      <c r="G5" s="124" t="inlineStr">
        <is>
          <t>Sim</t>
        </is>
      </c>
      <c r="H5" s="114" t="inlineStr">
        <is>
          <t>Receita de venda e Despesas pág 2 não coincidem com o valor do Resumo
Fundo de caixa pág 2 e pág 6 invertidos</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19/03/2025</t>
        </is>
      </c>
      <c r="G6" s="124" t="inlineStr">
        <is>
          <t>Sim</t>
        </is>
      </c>
      <c r="H6" s="114" t="inlineStr">
        <is>
          <t>02 envios referentes a nov/24. Favor cancelar o mais antigo (ID4273)
Receita de venda e Despesas iniciais não coincidem com o valor do Resumo</t>
        </is>
      </c>
      <c r="I6" s="114" t="inlineStr">
        <is>
          <t>Remover ID4273</t>
        </is>
      </c>
      <c r="J6" s="114" t="inlineStr">
        <is>
          <t>Sim</t>
        </is>
      </c>
      <c r="K6" s="114" t="inlineStr">
        <is>
          <t>Removido o 4273</t>
        </is>
      </c>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26" t="inlineStr">
        <is>
          <t>Duplicado</t>
        </is>
      </c>
      <c r="F7" s="114" t="inlineStr">
        <is>
          <t>26/02/2025, 09/07/2025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17/03/2025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26/02/2025</t>
        </is>
      </c>
      <c r="G9" s="124" t="inlineStr">
        <is>
          <t>Sim</t>
        </is>
      </c>
      <c r="H9" s="114" t="inlineStr">
        <is>
          <t>Receita de venda e Despesas pág 2 não coincidem com o valor do Resumo
Valor Receita prestação serviço diferente V1</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20/03/2025</t>
        </is>
      </c>
      <c r="G10" s="124" t="inlineStr">
        <is>
          <t>Sim</t>
        </is>
      </c>
      <c r="H10" s="114" t="inlineStr">
        <is>
          <t>Fundo de caixa das pág 2 e 6 estão iguais</t>
        </is>
      </c>
      <c r="I10" s="114" t="inlineStr">
        <is>
          <t>Remover ID4311</t>
        </is>
      </c>
      <c r="J10" s="114" t="inlineStr">
        <is>
          <t>Sim</t>
        </is>
      </c>
      <c r="K10" s="114" t="inlineStr">
        <is>
          <t>Deletado 4311</t>
        </is>
      </c>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26" t="inlineStr">
        <is>
          <t>Duplicado</t>
        </is>
      </c>
      <c r="F11" s="114" t="inlineStr">
        <is>
          <t>26/02/2025, 17/06/2025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14/05/2025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26/02/2025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10/06/2025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26/02/2025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06/06/2025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28/02/2025</t>
        </is>
      </c>
      <c r="G17" s="124" t="inlineStr">
        <is>
          <t>Sim</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26" t="inlineStr">
        <is>
          <t>Duplicado</t>
        </is>
      </c>
      <c r="F18" s="114" t="inlineStr">
        <is>
          <t>05/08/2025, 26/02/2025</t>
        </is>
      </c>
      <c r="G18" s="116" t="inlineStr">
        <is>
          <t>Não</t>
        </is>
      </c>
      <c r="H18" s="114" t="inlineStr">
        <is>
          <t>Dados todos errados</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26/02/2025</t>
        </is>
      </c>
      <c r="G19" s="124" t="inlineStr">
        <is>
          <t>Sim</t>
        </is>
      </c>
      <c r="H19" s="114" t="inlineStr">
        <is>
          <t>2º item do fundo de cx das Despesas preenchido
Terminar de completar os materiais vendidos</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25/02/2025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25/02/2025</t>
        </is>
      </c>
      <c r="G21" s="124" t="inlineStr">
        <is>
          <t>Sim</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25/03/2025</t>
        </is>
      </c>
      <c r="G22" s="116" t="inlineStr">
        <is>
          <t>Não</t>
        </is>
      </c>
      <c r="H22" s="114" t="n"/>
      <c r="I22" s="114" t="n"/>
      <c r="J22" s="114" t="inlineStr">
        <is>
          <t>Não</t>
        </is>
      </c>
      <c r="K22" s="114" t="n"/>
    </row>
    <row r="23">
      <c r="A23" s="118" t="inlineStr">
        <is>
          <t>Gustavo</t>
        </is>
      </c>
      <c r="B23" s="127"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25/11/2025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24/02/2025</t>
        </is>
      </c>
      <c r="G25" s="124" t="inlineStr">
        <is>
          <t>Sim</t>
        </is>
      </c>
      <c r="H25" s="114" t="inlineStr">
        <is>
          <t>Não lançou nas despesas o INSS separado</t>
        </is>
      </c>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24/02/2025</t>
        </is>
      </c>
      <c r="G26" s="124" t="inlineStr">
        <is>
          <t>Sim</t>
        </is>
      </c>
      <c r="H26" s="114" t="inlineStr">
        <is>
          <t>Não lançou nas despesas o INSS separado; O lançamento no receita de venda de reciclaveis e total de despesa da pg 2 não bate com o total da pagina 8</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24/02/2025</t>
        </is>
      </c>
      <c r="G27" s="124" t="inlineStr">
        <is>
          <t>Sim</t>
        </is>
      </c>
      <c r="H27" s="114" t="inlineStr">
        <is>
          <t>Não lançou nas despesas o INSS separado; O lançamento no receita de venda de reciclaveis e total de despesa da pg 2 não bate com o total da pagina 8</t>
        </is>
      </c>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24/02/2025</t>
        </is>
      </c>
      <c r="G28" s="124" t="inlineStr">
        <is>
          <t>Sim</t>
        </is>
      </c>
      <c r="H28" s="114" t="inlineStr">
        <is>
          <t>O lançamento no receita de venda de reciclaveis pg 2 não bate com o total da pagina 8; não lançou despesa do INSS</t>
        </is>
      </c>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24/02/2025</t>
        </is>
      </c>
      <c r="G29" s="124" t="inlineStr">
        <is>
          <t>Sim</t>
        </is>
      </c>
      <c r="H29" s="114" t="inlineStr">
        <is>
          <t>O lançamento no receita de venda de reciclaveis e total de despesa da pg 2 não bate com o total da pagina 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24/02/2025</t>
        </is>
      </c>
      <c r="G30" s="124" t="inlineStr">
        <is>
          <t>Sim</t>
        </is>
      </c>
      <c r="H30" s="114" t="inlineStr">
        <is>
          <t>O lançamento no receita de venda de reciclaveis e total de despesa da pg 2 não bate com o total da pagina 8</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24/02/2025</t>
        </is>
      </c>
      <c r="G31" s="124" t="inlineStr">
        <is>
          <t>Sim</t>
        </is>
      </c>
      <c r="H31" s="114" t="inlineStr">
        <is>
          <t>Não lançou nas despesas o INSS separado</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25/02/2025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25/02/2025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25/02/2025</t>
        </is>
      </c>
      <c r="G35" s="124" t="inlineStr">
        <is>
          <t>Sim</t>
        </is>
      </c>
      <c r="H35" s="114" t="inlineStr">
        <is>
          <t>Falta completar os materiais vendidos e despesas</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24/03/2025</t>
        </is>
      </c>
      <c r="G36" s="124" t="inlineStr">
        <is>
          <t>Sim</t>
        </is>
      </c>
      <c r="H36" s="114" t="inlineStr">
        <is>
          <t>2 formulários enviados, cancelar o ID4276</t>
        </is>
      </c>
      <c r="I36" s="114" t="inlineStr">
        <is>
          <t>ID4276</t>
        </is>
      </c>
      <c r="J36" s="114" t="inlineStr">
        <is>
          <t>Sim</t>
        </is>
      </c>
      <c r="K36" s="114" t="inlineStr">
        <is>
          <t>Deletado 4276</t>
        </is>
      </c>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26/02/2025</t>
        </is>
      </c>
      <c r="G37" s="124" t="inlineStr">
        <is>
          <t>Sim</t>
        </is>
      </c>
      <c r="H37" s="114" t="inlineStr">
        <is>
          <t>Despesa da pag 2 com coincide com Resumo</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26/02/2025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24/02/2025</t>
        </is>
      </c>
      <c r="G39" s="124" t="inlineStr">
        <is>
          <t>Sim</t>
        </is>
      </c>
      <c r="H39" s="114" t="inlineStr">
        <is>
          <t xml:space="preserve">Não finalizou o preenchimento </t>
        </is>
      </c>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25/02/2025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25/02/2025</t>
        </is>
      </c>
      <c r="G41" s="124" t="inlineStr">
        <is>
          <t>Sim</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5" t="inlineStr">
        <is>
          <t>Atrasado &gt;= 2</t>
        </is>
      </c>
      <c r="F42" s="114" t="inlineStr">
        <is>
          <t>21/03/2025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21/03/2025</t>
        </is>
      </c>
      <c r="G43" s="116" t="inlineStr">
        <is>
          <t>Não</t>
        </is>
      </c>
      <c r="H43" s="114" t="n"/>
      <c r="I43" s="114" t="n"/>
      <c r="J43" s="114" t="inlineStr">
        <is>
          <t>Não</t>
        </is>
      </c>
      <c r="K43" s="114" t="n"/>
    </row>
    <row r="44">
      <c r="A44" s="118" t="inlineStr">
        <is>
          <t>Gustavo</t>
        </is>
      </c>
      <c r="B44" s="128" t="inlineStr">
        <is>
          <t>Maripa</t>
        </is>
      </c>
      <c r="C44" s="114" t="n">
        <v>1</v>
      </c>
      <c r="D44" s="114">
        <f>IFERROR(IF(INDEX('01.25'!D2:D500, MATCH(B44&amp;C44, INDEX('01.25'!B2:B500&amp;'01.25'!C2:C500, 0), 0))="", "", INDEX('01.25'!D2:D500, MATCH(B44&amp;C44, INDEX('01.25'!B2:B500&amp;'01.25'!C2:C500, 0), 0))), "")</f>
        <v/>
      </c>
      <c r="E44" s="126" t="inlineStr">
        <is>
          <t>Duplicado</t>
        </is>
      </c>
      <c r="F44" s="114" t="inlineStr">
        <is>
          <t>11/11/2025, 25/11/2025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01/07/2025</t>
        </is>
      </c>
      <c r="G45" s="124" t="inlineStr">
        <is>
          <t>Sim</t>
        </is>
      </c>
      <c r="H45" s="114" t="inlineStr">
        <is>
          <t>Excluir ID4229</t>
        </is>
      </c>
      <c r="I45" s="114" t="inlineStr">
        <is>
          <t>ID4229</t>
        </is>
      </c>
      <c r="J45" s="114" t="inlineStr">
        <is>
          <t>Sim</t>
        </is>
      </c>
      <c r="K45" s="114" t="inlineStr">
        <is>
          <t>Deletado 4229</t>
        </is>
      </c>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24/02/2025</t>
        </is>
      </c>
      <c r="G46" s="124" t="inlineStr">
        <is>
          <t>Sim</t>
        </is>
      </c>
      <c r="H46" s="114" t="inlineStr">
        <is>
          <t>Falta preencher INSS</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25/02/2025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11/03/2025</t>
        </is>
      </c>
      <c r="G48" s="124" t="inlineStr">
        <is>
          <t>Sim</t>
        </is>
      </c>
      <c r="H48" s="114" t="n"/>
      <c r="I48" s="114" t="n"/>
      <c r="J48" s="114" t="inlineStr">
        <is>
          <t>Não</t>
        </is>
      </c>
      <c r="K48" s="114" t="n"/>
    </row>
    <row r="49">
      <c r="A49" s="113" t="inlineStr">
        <is>
          <t>Gabriel</t>
        </is>
      </c>
      <c r="B49" s="127" t="inlineStr">
        <is>
          <t>Mundo Novo</t>
        </is>
      </c>
      <c r="C49" s="114" t="n">
        <v>1</v>
      </c>
      <c r="D49" s="114">
        <f>IFERROR(IF(INDEX('01.25'!D2:D500, MATCH(B49&amp;C49, INDEX('01.25'!B2:B500&amp;'01.25'!C2:C500, 0), 0))="", "", INDEX('01.25'!D2:D500, MATCH(B49&amp;C49, INDEX('01.25'!B2:B500&amp;'01.25'!C2:C500, 0), 0))), "")</f>
        <v/>
      </c>
      <c r="E49" s="119" t="inlineStr">
        <is>
          <t>Enviado</t>
        </is>
      </c>
      <c r="F49" s="114" t="inlineStr">
        <is>
          <t>25/11/2025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26" t="inlineStr">
        <is>
          <t>Duplicado</t>
        </is>
      </c>
      <c r="F50" s="114" t="inlineStr">
        <is>
          <t>29/04/2025, 25/02/2025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21/03/2025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21/03/2025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26/02/2025</t>
        </is>
      </c>
      <c r="G53" s="124" t="inlineStr">
        <is>
          <t>Sim</t>
        </is>
      </c>
      <c r="H53" s="114" t="inlineStr">
        <is>
          <t>digitiu errado valor da Receita total de venda de recicláveis</t>
        </is>
      </c>
      <c r="I53" s="114" t="inlineStr">
        <is>
          <t>Remover ID4257</t>
        </is>
      </c>
      <c r="J53" s="114" t="inlineStr">
        <is>
          <t>Sim</t>
        </is>
      </c>
      <c r="K53" s="114" t="inlineStr">
        <is>
          <t>Deletado 4257</t>
        </is>
      </c>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26/02/2025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26/02/2025</t>
        </is>
      </c>
      <c r="G55" s="124" t="inlineStr">
        <is>
          <t>Sim</t>
        </is>
      </c>
      <c r="H55" s="114" t="inlineStr">
        <is>
          <t>revisar se temos despesas e rejeito</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21/03/2025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24/02/2025</t>
        </is>
      </c>
      <c r="G57" s="116" t="inlineStr">
        <is>
          <t>Não</t>
        </is>
      </c>
      <c r="H57" s="114" t="inlineStr">
        <is>
          <t>Não mencionou o valor de contrato</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26/02/2025</t>
        </is>
      </c>
      <c r="G58" s="124" t="inlineStr">
        <is>
          <t>Sim</t>
        </is>
      </c>
      <c r="H58" s="114" t="inlineStr">
        <is>
          <t>NF não foi incluída
Falta finalizar os materiais vendidos e o Fundo de Caixa/Despesa</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25/02/2025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24/02/2025</t>
        </is>
      </c>
      <c r="G60" s="124" t="inlineStr">
        <is>
          <t>Sim</t>
        </is>
      </c>
      <c r="H60" s="114" t="inlineStr">
        <is>
          <t>Não inseriu INSS nas despesas</t>
        </is>
      </c>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10/03/2025</t>
        </is>
      </c>
      <c r="G61" s="116" t="inlineStr">
        <is>
          <t>Não</t>
        </is>
      </c>
      <c r="H61" s="114" t="inlineStr">
        <is>
          <t>Não inseriu as despesas</t>
        </is>
      </c>
      <c r="I61" s="114" t="inlineStr">
        <is>
          <t>Remover ID4268</t>
        </is>
      </c>
      <c r="J61" s="114" t="inlineStr">
        <is>
          <t>Sim</t>
        </is>
      </c>
      <c r="K61" s="114" t="inlineStr">
        <is>
          <t>Deletado 4268</t>
        </is>
      </c>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24/02/2025</t>
        </is>
      </c>
      <c r="G62" s="124" t="inlineStr">
        <is>
          <t>Sim</t>
        </is>
      </c>
      <c r="H62" s="114" t="inlineStr">
        <is>
          <t>O lançamento no receita de venda de reciclaveis da pg 2 não bate com o total da pagina 8</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26" t="inlineStr">
        <is>
          <t>Duplicado</t>
        </is>
      </c>
      <c r="F63" s="114" t="inlineStr">
        <is>
          <t>02/04/2025, 25/02/2025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24/02/2025</t>
        </is>
      </c>
      <c r="G64" s="124" t="inlineStr">
        <is>
          <t>Sim</t>
        </is>
      </c>
      <c r="H64" s="114" t="inlineStr">
        <is>
          <t xml:space="preserve">O lançamento da desepesa da UVR na aba 2 nao coincide com o da aba 8; </t>
        </is>
      </c>
      <c r="I64" s="114" t="inlineStr">
        <is>
          <t>remover ID 4234</t>
        </is>
      </c>
      <c r="J64" s="114" t="inlineStr">
        <is>
          <t>Sim</t>
        </is>
      </c>
      <c r="K64" s="114" t="inlineStr">
        <is>
          <t>Deletado 4234</t>
        </is>
      </c>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15/04/2025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09/06/2025</t>
        </is>
      </c>
      <c r="G66" s="116" t="inlineStr">
        <is>
          <t>Não</t>
        </is>
      </c>
      <c r="H66" s="114" t="n"/>
      <c r="I66" s="127" t="inlineStr">
        <is>
          <t>ID4255</t>
        </is>
      </c>
      <c r="J66" s="114" t="inlineStr">
        <is>
          <t>Sim</t>
        </is>
      </c>
      <c r="K66" s="114" t="inlineStr">
        <is>
          <t>Deletado 4255</t>
        </is>
      </c>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25/02/2025</t>
        </is>
      </c>
      <c r="G67" s="124" t="inlineStr">
        <is>
          <t>Sim</t>
        </is>
      </c>
      <c r="H67" s="114" t="inlineStr">
        <is>
          <t>NF não foi incluída
Valores Receita venda materiais e Despesas pág 2 não coincidem com o Resumo</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25/02/2025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26" t="inlineStr">
        <is>
          <t>Duplicado</t>
        </is>
      </c>
      <c r="F69" s="114" t="inlineStr">
        <is>
          <t>06/03/2025, 15/04/2025, 26/02/2025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25/02/2025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7" customWidth="1" min="6" max="6"/>
    <col width="27" customWidth="1" min="7" max="7"/>
    <col width="304"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06/02/2025</t>
        </is>
      </c>
      <c r="G2" s="124" t="inlineStr">
        <is>
          <t>Sim</t>
        </is>
      </c>
      <c r="H2" s="114" t="inlineStr">
        <is>
          <t>Revisar valor do salário total</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11/03/2025</t>
        </is>
      </c>
      <c r="G3" s="124" t="inlineStr">
        <is>
          <t>Sim</t>
        </is>
      </c>
      <c r="H3" s="114" t="inlineStr">
        <is>
          <t>Receita de venda inicial não coincide com o valor do Resumo e ambas estão abaixo do lançado no V1</t>
        </is>
      </c>
      <c r="I3" s="114" t="n"/>
      <c r="J3" s="114" t="inlineStr">
        <is>
          <t>Não</t>
        </is>
      </c>
      <c r="K3" s="114" t="n"/>
    </row>
    <row r="4">
      <c r="A4" s="118" t="inlineStr">
        <is>
          <t>Gustavo</t>
        </is>
      </c>
      <c r="B4" s="128" t="inlineStr">
        <is>
          <t>Assis Chateaubriand</t>
        </is>
      </c>
      <c r="C4" s="114" t="n">
        <v>1</v>
      </c>
      <c r="D4" s="114">
        <f>IFERROR(IF(INDEX('01.25'!D2:D500, MATCH(B4&amp;C4, INDEX('01.25'!B2:B500&amp;'01.25'!C2:C500, 0), 0))="", "", INDEX('01.25'!D2:D500, MATCH(B4&amp;C4, INDEX('01.25'!B2:B500&amp;'01.25'!C2:C500, 0), 0))), "")</f>
        <v/>
      </c>
      <c r="E4" s="126" t="inlineStr">
        <is>
          <t>Duplicado</t>
        </is>
      </c>
      <c r="F4" s="114" t="inlineStr">
        <is>
          <t>12/11/2025, 25/11/2025</t>
        </is>
      </c>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21/03/2025</t>
        </is>
      </c>
      <c r="G5" s="124" t="inlineStr">
        <is>
          <t>Sim</t>
        </is>
      </c>
      <c r="H5" s="114" t="inlineStr">
        <is>
          <t>Apenas 1 NF incluída
Receita de venda e Despesas pág 2 não coincidem com o valor do Resumo
Fundo de caixa pág 2 e Despesas iguais</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20/03/2025</t>
        </is>
      </c>
      <c r="G6" s="124" t="inlineStr">
        <is>
          <t>Sim</t>
        </is>
      </c>
      <c r="H6" s="114" t="inlineStr">
        <is>
          <t>Receita de venda e Despesas iniciais não coincidem com o valor do Resumo</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09/07/2025</t>
        </is>
      </c>
      <c r="G7" s="116" t="inlineStr">
        <is>
          <t>Não</t>
        </is>
      </c>
      <c r="H7" s="114" t="n"/>
      <c r="I7" s="114" t="n"/>
      <c r="J7" s="114" t="inlineStr">
        <is>
          <t>Não</t>
        </is>
      </c>
      <c r="K7" s="114" t="n"/>
    </row>
    <row r="8">
      <c r="A8" s="118" t="inlineStr">
        <is>
          <t>Gustavo</t>
        </is>
      </c>
      <c r="B8" s="127" t="inlineStr">
        <is>
          <t>Cafelândia</t>
        </is>
      </c>
      <c r="C8" s="114" t="n">
        <v>1</v>
      </c>
      <c r="D8" s="114">
        <f>IFERROR(IF(INDEX('01.25'!D2:D500, MATCH(B8&amp;C8, INDEX('01.25'!B2:B500&amp;'01.25'!C2:C500, 0), 0))="", "", INDEX('01.25'!D2:D500, MATCH(B8&amp;C8, INDEX('01.25'!B2:B500&amp;'01.25'!C2:C500, 0), 0))), "")</f>
        <v/>
      </c>
      <c r="E8" s="119" t="inlineStr">
        <is>
          <t>Enviado</t>
        </is>
      </c>
      <c r="F8" s="114" t="inlineStr">
        <is>
          <t>25/11/2025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20/03/2025</t>
        </is>
      </c>
      <c r="G9" s="124" t="inlineStr">
        <is>
          <t>Sim</t>
        </is>
      </c>
      <c r="H9" s="114" t="inlineStr">
        <is>
          <t>Receita de venda e Despesas pág 2 não coincidem com o valor do Resumo, nem com o V1</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06/03/2025</t>
        </is>
      </c>
      <c r="G10" s="124" t="inlineStr">
        <is>
          <t>Sim</t>
        </is>
      </c>
      <c r="H10" s="114" t="inlineStr">
        <is>
          <t>Despesas pág 2 não coincidem com o valor do Resumo, nem com o V1
Fundo de cx das pág 2 e 6 estão iguais</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5" t="inlineStr">
        <is>
          <t>Atrasado &gt;= 2</t>
        </is>
      </c>
      <c r="F11" s="114" t="n"/>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14/05/2025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5" t="inlineStr">
        <is>
          <t>Atrasado &gt;= 2</t>
        </is>
      </c>
      <c r="F14" s="114" t="n"/>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06/06/2025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06/06/2025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28/02/2025</t>
        </is>
      </c>
      <c r="G17" s="124" t="inlineStr">
        <is>
          <t>Sim</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26" t="inlineStr">
        <is>
          <t>Duplicado</t>
        </is>
      </c>
      <c r="F18" s="114" t="inlineStr">
        <is>
          <t>05/08/2025, 10/03/2025</t>
        </is>
      </c>
      <c r="G18" s="116" t="inlineStr">
        <is>
          <t>Não</t>
        </is>
      </c>
      <c r="H18" s="114" t="inlineStr">
        <is>
          <t xml:space="preserve">Estava errada a parte de contrato/ convênio. o valor que contas de manutenção no inicio, não aparece no final, e as outras depensas que a associação tem ( compra de material) eles não conseguem inserir). ficando os dados errados. </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08/04/2025</t>
        </is>
      </c>
      <c r="G19" s="124" t="inlineStr">
        <is>
          <t>Sim</t>
        </is>
      </c>
      <c r="H19" s="114" t="inlineStr">
        <is>
          <t>Fundo de cx pág 2 e 6 não preenchidos</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17/03/2025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13/03/2025</t>
        </is>
      </c>
      <c r="G21" s="124" t="inlineStr">
        <is>
          <t>Sim</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26/03/2025</t>
        </is>
      </c>
      <c r="G22" s="116" t="inlineStr">
        <is>
          <t>Não</t>
        </is>
      </c>
      <c r="H22" s="114" t="n"/>
      <c r="I22" s="114" t="n"/>
      <c r="J22" s="114" t="inlineStr">
        <is>
          <t>Não</t>
        </is>
      </c>
      <c r="K22" s="114" t="n"/>
    </row>
    <row r="23">
      <c r="A23" s="118" t="inlineStr">
        <is>
          <t>Gustavo</t>
        </is>
      </c>
      <c r="B23" s="127"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25/11/2025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13/03/2025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20/03/2025</t>
        </is>
      </c>
      <c r="G26" s="124" t="inlineStr">
        <is>
          <t>Sim</t>
        </is>
      </c>
      <c r="H26" s="114" t="inlineStr">
        <is>
          <t>corrigir rejeito</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09/06/2025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28/02/2025</t>
        </is>
      </c>
      <c r="G28" s="124" t="inlineStr">
        <is>
          <t>Sim</t>
        </is>
      </c>
      <c r="H28" s="114" t="n"/>
      <c r="I28" s="114" t="n"/>
      <c r="J28" s="114" t="inlineStr">
        <is>
          <t>Não</t>
        </is>
      </c>
      <c r="K28" s="114" t="n"/>
    </row>
    <row r="29">
      <c r="A29" s="122" t="inlineStr">
        <is>
          <t>Larissa</t>
        </is>
      </c>
      <c r="B29" s="127"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25/11/2025</t>
        </is>
      </c>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20/03/2025</t>
        </is>
      </c>
      <c r="G30" s="124" t="inlineStr">
        <is>
          <t>Sim</t>
        </is>
      </c>
      <c r="H30" s="114" t="inlineStr">
        <is>
          <t>Aba 2 de venda de reciclaveis nao confere com aba 8</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20/03/2025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20/03/2025</t>
        </is>
      </c>
      <c r="G33" s="116" t="inlineStr">
        <is>
          <t>Não</t>
        </is>
      </c>
      <c r="H33" s="114" t="n"/>
      <c r="I33" s="114" t="inlineStr">
        <is>
          <t>ID4412</t>
        </is>
      </c>
      <c r="J33" s="114" t="inlineStr">
        <is>
          <t>Sim</t>
        </is>
      </c>
      <c r="K33" s="114" t="inlineStr">
        <is>
          <t>Deletado 4412</t>
        </is>
      </c>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10/03/2025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19/03/2025</t>
        </is>
      </c>
      <c r="G35" s="124" t="inlineStr">
        <is>
          <t>Sim</t>
        </is>
      </c>
      <c r="H35" s="114" t="inlineStr">
        <is>
          <t>NF não foi incluída com todas elas
Não tem valor do Contrato de serviço e Valor LR está duplicado
2º item do fundo de cx (Despesas) incluído
Fundo de cx das pag 2 e 6 iguais
Rejeito diferente do V1
Receita venda, Despesas e Contrato serviço das páginas iniciais não coincidem com o Resumo e com o V1</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24/03/2025</t>
        </is>
      </c>
      <c r="G36" s="124" t="inlineStr">
        <is>
          <t>Sim</t>
        </is>
      </c>
      <c r="H36" s="114" t="inlineStr">
        <is>
          <t>Receita de venda e Despesas da pág 2 e 8 não coincidem
Despesa de manutenção precisa estar na aba de "manutenção"
Fundo de cx pág 2 e 6 estão iguais
Acordo de Cooperação na vdd é Contrato de serviço</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28/02/2025</t>
        </is>
      </c>
      <c r="G37" s="124" t="inlineStr">
        <is>
          <t>Sim</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19/03/2025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28/04/2025</t>
        </is>
      </c>
      <c r="G39" s="116" t="inlineStr">
        <is>
          <t>Não</t>
        </is>
      </c>
      <c r="H39" s="114" t="n"/>
      <c r="I39" s="114" t="n"/>
      <c r="J39" s="114" t="inlineStr">
        <is>
          <t>Não</t>
        </is>
      </c>
      <c r="K39" s="114" t="n"/>
    </row>
    <row r="40">
      <c r="A40" s="118" t="inlineStr">
        <is>
          <t>Gustavo</t>
        </is>
      </c>
      <c r="B40" s="127" t="inlineStr">
        <is>
          <t>Jesuítas</t>
        </is>
      </c>
      <c r="C40" s="114" t="n">
        <v>1</v>
      </c>
      <c r="D40" s="114">
        <f>IFERROR(IF(INDEX('01.25'!D2:D500, MATCH(B40&amp;C40, INDEX('01.25'!B2:B500&amp;'01.25'!C2:C500, 0), 0))="", "", INDEX('01.25'!D2:D500, MATCH(B40&amp;C40, INDEX('01.25'!B2:B500&amp;'01.25'!C2:C500, 0), 0))), "")</f>
        <v/>
      </c>
      <c r="E40" s="119" t="inlineStr">
        <is>
          <t>Enviado</t>
        </is>
      </c>
      <c r="F40" s="114" t="inlineStr">
        <is>
          <t>25/11/2025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11/03/2025</t>
        </is>
      </c>
      <c r="G41" s="124" t="inlineStr">
        <is>
          <t>Sim</t>
        </is>
      </c>
      <c r="H41" s="114" t="n"/>
      <c r="I41" s="114" t="n"/>
      <c r="J41" s="114" t="inlineStr">
        <is>
          <t>Não</t>
        </is>
      </c>
      <c r="K41" s="114" t="n"/>
    </row>
    <row r="42">
      <c r="A42" s="121" t="inlineStr">
        <is>
          <t>Luana</t>
        </is>
      </c>
      <c r="B42" s="127"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25/11/2025</t>
        </is>
      </c>
      <c r="G42" s="116" t="inlineStr">
        <is>
          <t>Não</t>
        </is>
      </c>
      <c r="H42" s="114" t="n"/>
      <c r="I42" s="114" t="n"/>
      <c r="J42" s="114" t="inlineStr">
        <is>
          <t>Não</t>
        </is>
      </c>
      <c r="K42" s="114" t="n"/>
    </row>
    <row r="43">
      <c r="A43" s="121" t="inlineStr">
        <is>
          <t>Luana</t>
        </is>
      </c>
      <c r="B43" s="127"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25/11/2025</t>
        </is>
      </c>
      <c r="G43" s="116" t="inlineStr">
        <is>
          <t>Não</t>
        </is>
      </c>
      <c r="H43" s="114" t="n"/>
      <c r="I43" s="114" t="n"/>
      <c r="J43" s="114" t="inlineStr">
        <is>
          <t>Não</t>
        </is>
      </c>
      <c r="K43" s="114" t="n"/>
    </row>
    <row r="44">
      <c r="A44" s="118" t="inlineStr">
        <is>
          <t>Gustavo</t>
        </is>
      </c>
      <c r="B44" s="128" t="inlineStr">
        <is>
          <t>Maripa</t>
        </is>
      </c>
      <c r="C44" s="114" t="n">
        <v>1</v>
      </c>
      <c r="D44" s="114">
        <f>IFERROR(IF(INDEX('01.25'!D2:D500, MATCH(B44&amp;C44, INDEX('01.25'!B2:B500&amp;'01.25'!C2:C500, 0), 0))="", "", INDEX('01.25'!D2:D500, MATCH(B44&amp;C44, INDEX('01.25'!B2:B500&amp;'01.25'!C2:C500, 0), 0))), "")</f>
        <v/>
      </c>
      <c r="E44" s="126" t="inlineStr">
        <is>
          <t>Duplicado</t>
        </is>
      </c>
      <c r="F44" s="114" t="inlineStr">
        <is>
          <t>25/11/2025, 11/11/2025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01/07/2025</t>
        </is>
      </c>
      <c r="G45" s="124" t="inlineStr">
        <is>
          <t>Sim</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18/03/2025</t>
        </is>
      </c>
      <c r="G46" s="124" t="inlineStr">
        <is>
          <t>Sim</t>
        </is>
      </c>
      <c r="H46" s="114" t="inlineStr">
        <is>
          <t>Corrigir informações financeiras</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28/02/2025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11/03/2025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21/03/2025</t>
        </is>
      </c>
      <c r="G49" s="124" t="inlineStr">
        <is>
          <t>Sim</t>
        </is>
      </c>
      <c r="H49" s="114" t="inlineStr">
        <is>
          <t>revisar despesas e rejeito errado</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16/05/2025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31/03/2025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21/03/2025</t>
        </is>
      </c>
      <c r="G52" s="124" t="inlineStr">
        <is>
          <t>Sim</t>
        </is>
      </c>
      <c r="H52" s="114" t="inlineStr">
        <is>
          <t>ok</t>
        </is>
      </c>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26" t="inlineStr">
        <is>
          <t>Duplicado</t>
        </is>
      </c>
      <c r="F53" s="114" t="inlineStr">
        <is>
          <t>25/11/2025, 24/11/2025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27/02/2025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15/04/2025</t>
        </is>
      </c>
      <c r="G55" s="124" t="inlineStr">
        <is>
          <t>Sim</t>
        </is>
      </c>
      <c r="H55" s="114" t="inlineStr">
        <is>
          <t>revisar se temos despesas e rejeito</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09/04/2025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17/03/2025</t>
        </is>
      </c>
      <c r="G57" s="124" t="inlineStr">
        <is>
          <t>Sim</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10/03/2025</t>
        </is>
      </c>
      <c r="G58" s="124" t="inlineStr">
        <is>
          <t>Sim</t>
        </is>
      </c>
      <c r="H58" s="114" t="inlineStr">
        <is>
          <t>Valor catador pag 1 errado
Valores pág 2 estão mto além do V1
Falta incluir NF
Contrato prestação serviço errado
Valores Venda materiais e Despesas pag 2 não coincidem com Resumo</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27/02/2025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11/03/2025</t>
        </is>
      </c>
      <c r="G60" s="124" t="inlineStr">
        <is>
          <t>Sim</t>
        </is>
      </c>
      <c r="H60" s="114" t="inlineStr">
        <is>
          <t>Aba 2 de venda de reciclaveis nao confere com aba 8</t>
        </is>
      </c>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18/03/2025</t>
        </is>
      </c>
      <c r="G61" s="124" t="inlineStr">
        <is>
          <t>Sim</t>
        </is>
      </c>
      <c r="H61" s="114" t="inlineStr">
        <is>
          <t>Não inseriu a despesas que foi mencionada no v1</t>
        </is>
      </c>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17/03/2025</t>
        </is>
      </c>
      <c r="G62" s="124" t="inlineStr">
        <is>
          <t>Sim</t>
        </is>
      </c>
      <c r="H62" s="114" t="inlineStr">
        <is>
          <t>Aba 2 de venda de reciclaveis nao confere com aba 8</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02/04/2025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05/03/2025</t>
        </is>
      </c>
      <c r="G64" s="124" t="inlineStr">
        <is>
          <t>Sim</t>
        </is>
      </c>
      <c r="H64" s="114" t="inlineStr">
        <is>
          <t>Aba 2 de venda de reciclaveis nao confere com aba 8</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15/04/2025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17/11/2025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21/03/2025</t>
        </is>
      </c>
      <c r="G67" s="124" t="inlineStr">
        <is>
          <t>Sim</t>
        </is>
      </c>
      <c r="H67" s="114" t="inlineStr">
        <is>
          <t>Foi incluída apenas 1 NF
Valor Receita venda e Despesas págs 2 e 8 não coincidem
Não foi destinado nada para o Fundo de caixa?</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28/02/2025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16/04/2025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26/03/2025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7" customWidth="1" min="6" max="6"/>
    <col width="27" customWidth="1" min="7" max="7"/>
    <col width="125"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t="inlineStr">
        <is>
          <t>Paula Tatiana Santana Vechi</t>
        </is>
      </c>
      <c r="E2" s="119" t="inlineStr">
        <is>
          <t>Enviado</t>
        </is>
      </c>
      <c r="F2" s="114" t="inlineStr">
        <is>
          <t>10/02/2025</t>
        </is>
      </c>
      <c r="G2" s="124" t="inlineStr">
        <is>
          <t>Sim</t>
        </is>
      </c>
      <c r="H2" s="114" t="inlineStr">
        <is>
          <t>Revisar valor do salário total (colocar a média total, 3k por mês exato não bateria)</t>
        </is>
      </c>
      <c r="I2" s="114" t="n"/>
      <c r="J2" s="114" t="inlineStr">
        <is>
          <t>Não</t>
        </is>
      </c>
      <c r="K2" s="114" t="n"/>
    </row>
    <row r="3">
      <c r="A3" s="117" t="inlineStr">
        <is>
          <t>Bianca</t>
        </is>
      </c>
      <c r="B3" s="114" t="inlineStr">
        <is>
          <t>Anahy</t>
        </is>
      </c>
      <c r="C3" s="114" t="n">
        <v>1</v>
      </c>
      <c r="D3" s="114" t="inlineStr">
        <is>
          <t>Willian de Oliveira Lino</t>
        </is>
      </c>
      <c r="E3" s="119" t="inlineStr">
        <is>
          <t>Enviado</t>
        </is>
      </c>
      <c r="F3" s="114" t="inlineStr">
        <is>
          <t>11/03/2025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t="inlineStr">
        <is>
          <t>Gisele Cássia Tamparowsky de Oliveira</t>
        </is>
      </c>
      <c r="E4" s="126" t="inlineStr">
        <is>
          <t>Duplicado</t>
        </is>
      </c>
      <c r="F4" s="114" t="inlineStr">
        <is>
          <t>25/11/2025, 12/11/2025</t>
        </is>
      </c>
      <c r="G4" s="116" t="inlineStr">
        <is>
          <t>Não</t>
        </is>
      </c>
      <c r="H4" s="114" t="inlineStr">
        <is>
          <t>ok</t>
        </is>
      </c>
      <c r="I4" s="114" t="n"/>
      <c r="J4" s="114" t="inlineStr">
        <is>
          <t>Não</t>
        </is>
      </c>
      <c r="K4" s="114" t="n"/>
    </row>
    <row r="5">
      <c r="A5" s="117" t="inlineStr">
        <is>
          <t>Bianca</t>
        </is>
      </c>
      <c r="B5" s="114" t="inlineStr">
        <is>
          <t>Boa Vista da Aparecida</t>
        </is>
      </c>
      <c r="C5" s="114" t="n">
        <v>1</v>
      </c>
      <c r="D5" s="114" t="inlineStr">
        <is>
          <t>Marcos Gabriel Franciosi Borges</t>
        </is>
      </c>
      <c r="E5" s="119" t="inlineStr">
        <is>
          <t>Enviado</t>
        </is>
      </c>
      <c r="F5" s="114" t="inlineStr">
        <is>
          <t>21/03/2025</t>
        </is>
      </c>
      <c r="G5" s="124" t="inlineStr">
        <is>
          <t>Sim</t>
        </is>
      </c>
      <c r="H5" s="114" t="inlineStr">
        <is>
          <t>ok</t>
        </is>
      </c>
      <c r="I5" s="114" t="n"/>
      <c r="J5" s="114" t="inlineStr">
        <is>
          <t>Não</t>
        </is>
      </c>
      <c r="K5" s="114" t="n"/>
    </row>
    <row r="6">
      <c r="A6" s="117" t="inlineStr">
        <is>
          <t>Bianca</t>
        </is>
      </c>
      <c r="B6" s="114" t="inlineStr">
        <is>
          <t>Braganey</t>
        </is>
      </c>
      <c r="C6" s="114" t="n">
        <v>1</v>
      </c>
      <c r="D6" s="114" t="inlineStr">
        <is>
          <t>Chayla Bianca Gazoli</t>
        </is>
      </c>
      <c r="E6" s="119" t="inlineStr">
        <is>
          <t>Enviado</t>
        </is>
      </c>
      <c r="F6" s="114" t="inlineStr">
        <is>
          <t>31/03/2025</t>
        </is>
      </c>
      <c r="G6" s="124" t="inlineStr">
        <is>
          <t>Sim</t>
        </is>
      </c>
      <c r="H6" s="114" t="inlineStr">
        <is>
          <t>ok</t>
        </is>
      </c>
      <c r="I6" s="114" t="n"/>
      <c r="J6" s="114" t="inlineStr">
        <is>
          <t>Não</t>
        </is>
      </c>
      <c r="K6" s="114" t="n"/>
    </row>
    <row r="7">
      <c r="A7" s="118" t="inlineStr">
        <is>
          <t>Gustavo</t>
        </is>
      </c>
      <c r="B7" s="127" t="inlineStr">
        <is>
          <t>Brasilândia do Sul</t>
        </is>
      </c>
      <c r="C7" s="114" t="n">
        <v>1</v>
      </c>
      <c r="D7" s="114" t="inlineStr">
        <is>
          <t>Solange Maria Masqueti</t>
        </is>
      </c>
      <c r="E7" s="119" t="inlineStr">
        <is>
          <t>Enviado</t>
        </is>
      </c>
      <c r="F7" s="114" t="inlineStr">
        <is>
          <t>25/11/2025</t>
        </is>
      </c>
      <c r="G7" s="116" t="inlineStr">
        <is>
          <t>Não</t>
        </is>
      </c>
      <c r="H7" s="114" t="n"/>
      <c r="I7" s="114" t="n"/>
      <c r="J7" s="114" t="inlineStr">
        <is>
          <t>Não</t>
        </is>
      </c>
      <c r="K7" s="114" t="n"/>
    </row>
    <row r="8">
      <c r="A8" s="118" t="inlineStr">
        <is>
          <t>Gustavo</t>
        </is>
      </c>
      <c r="B8" s="127" t="inlineStr">
        <is>
          <t>Cafelândia</t>
        </is>
      </c>
      <c r="C8" s="114" t="n">
        <v>1</v>
      </c>
      <c r="D8" s="114" t="inlineStr">
        <is>
          <t>Cristiane Petry Vieira</t>
        </is>
      </c>
      <c r="E8" s="119" t="inlineStr">
        <is>
          <t>Enviado</t>
        </is>
      </c>
      <c r="F8" s="114" t="inlineStr">
        <is>
          <t>25/11/2025</t>
        </is>
      </c>
      <c r="G8" s="116" t="inlineStr">
        <is>
          <t>Não</t>
        </is>
      </c>
      <c r="H8" s="114" t="n"/>
      <c r="I8" s="114" t="n"/>
      <c r="J8" s="114" t="inlineStr">
        <is>
          <t>Não</t>
        </is>
      </c>
      <c r="K8" s="114" t="n"/>
    </row>
    <row r="9" ht="28.5" customHeight="1">
      <c r="A9" s="117" t="inlineStr">
        <is>
          <t>Bianca</t>
        </is>
      </c>
      <c r="B9" s="114" t="inlineStr">
        <is>
          <t>Campo Bonito</t>
        </is>
      </c>
      <c r="C9" s="114" t="n">
        <v>1</v>
      </c>
      <c r="D9" s="114" t="inlineStr">
        <is>
          <t>Diego Hemerich</t>
        </is>
      </c>
      <c r="E9" s="119" t="inlineStr">
        <is>
          <t>Enviado</t>
        </is>
      </c>
      <c r="F9" s="114" t="inlineStr">
        <is>
          <t>20/03/2025</t>
        </is>
      </c>
      <c r="G9" s="124" t="inlineStr">
        <is>
          <t>Sim</t>
        </is>
      </c>
      <c r="H9" s="129" t="inlineStr">
        <is>
          <t>Receita de venda pág 2 não coincide com pág 4 e 8
Despesas pág 2 não coincidem com pág 6</t>
        </is>
      </c>
      <c r="I9" s="114" t="n"/>
      <c r="J9" s="114" t="inlineStr">
        <is>
          <t>Não</t>
        </is>
      </c>
      <c r="K9" s="114" t="n"/>
    </row>
    <row r="10">
      <c r="A10" s="120" t="inlineStr">
        <is>
          <t>Valquiria</t>
        </is>
      </c>
      <c r="B10" s="114" t="inlineStr">
        <is>
          <t>Capitão Leonidas Marques</t>
        </is>
      </c>
      <c r="C10" s="114" t="n">
        <v>1</v>
      </c>
      <c r="D10" s="114" t="inlineStr">
        <is>
          <t>Tatiane Girardi</t>
        </is>
      </c>
      <c r="E10" s="119" t="inlineStr">
        <is>
          <t>Enviado</t>
        </is>
      </c>
      <c r="F10" s="114" t="inlineStr">
        <is>
          <t>06/03/2025</t>
        </is>
      </c>
      <c r="G10" s="124" t="inlineStr">
        <is>
          <t>Sim</t>
        </is>
      </c>
      <c r="H10" s="114" t="inlineStr">
        <is>
          <t>Despesas de operação pág 2 e 6 não coincidem</t>
        </is>
      </c>
      <c r="I10" s="114" t="n"/>
      <c r="J10" s="114" t="inlineStr">
        <is>
          <t>Não</t>
        </is>
      </c>
      <c r="K10" s="114" t="n"/>
    </row>
    <row r="11">
      <c r="A11" s="120" t="inlineStr">
        <is>
          <t>Valquiria</t>
        </is>
      </c>
      <c r="B11" s="114" t="inlineStr">
        <is>
          <t>Cascavel</t>
        </is>
      </c>
      <c r="C11" s="114" t="n">
        <v>1</v>
      </c>
      <c r="D11" s="114" t="inlineStr">
        <is>
          <t>Edson Batista de Castro</t>
        </is>
      </c>
      <c r="E11" s="119" t="inlineStr">
        <is>
          <t>Enviado</t>
        </is>
      </c>
      <c r="F11" s="114" t="inlineStr">
        <is>
          <t>17/06/2025</t>
        </is>
      </c>
      <c r="G11" s="116" t="inlineStr">
        <is>
          <t>Não</t>
        </is>
      </c>
      <c r="H11" s="114" t="inlineStr">
        <is>
          <t>Despesas de manutenção pág 2 não coincidem com as despesas lançadas na pág 6</t>
        </is>
      </c>
      <c r="I11" s="114" t="n"/>
      <c r="J11" s="114" t="inlineStr">
        <is>
          <t>Não</t>
        </is>
      </c>
      <c r="K11" s="114" t="n"/>
    </row>
    <row r="12">
      <c r="A12" s="120" t="inlineStr">
        <is>
          <t>Valquiria</t>
        </is>
      </c>
      <c r="B12" s="114" t="inlineStr">
        <is>
          <t>Cascavel</t>
        </is>
      </c>
      <c r="C12" s="114" t="n">
        <v>2</v>
      </c>
      <c r="D12" s="114" t="inlineStr">
        <is>
          <t>Gabriela Fernanda Sandri</t>
        </is>
      </c>
      <c r="E12" s="119" t="inlineStr">
        <is>
          <t>Enviado</t>
        </is>
      </c>
      <c r="F12" s="114" t="inlineStr">
        <is>
          <t>11/04/2025</t>
        </is>
      </c>
      <c r="G12" s="116" t="inlineStr">
        <is>
          <t>Não</t>
        </is>
      </c>
      <c r="H12" s="114" t="n"/>
      <c r="I12" s="114" t="n"/>
      <c r="J12" s="114" t="inlineStr">
        <is>
          <t>Não</t>
        </is>
      </c>
      <c r="K12" s="114" t="n"/>
    </row>
    <row r="13">
      <c r="A13" s="120" t="inlineStr">
        <is>
          <t>Valquiria</t>
        </is>
      </c>
      <c r="B13" s="114" t="inlineStr">
        <is>
          <t>Cascavel</t>
        </is>
      </c>
      <c r="C13" s="114" t="n">
        <v>3</v>
      </c>
      <c r="D13" s="114" t="inlineStr">
        <is>
          <t>Eduarda Rohden Donasolo</t>
        </is>
      </c>
      <c r="E13" s="119" t="inlineStr">
        <is>
          <t>Enviado</t>
        </is>
      </c>
      <c r="F13" s="114" t="inlineStr">
        <is>
          <t>09/06/2025</t>
        </is>
      </c>
      <c r="G13" s="116" t="inlineStr">
        <is>
          <t>Não</t>
        </is>
      </c>
      <c r="H13" s="114" t="n"/>
      <c r="I13" s="114" t="n"/>
      <c r="J13" s="114" t="inlineStr">
        <is>
          <t>Não</t>
        </is>
      </c>
      <c r="K13" s="114" t="n"/>
    </row>
    <row r="14">
      <c r="A14" s="120" t="inlineStr">
        <is>
          <t>Valquiria</t>
        </is>
      </c>
      <c r="B14" s="114" t="inlineStr">
        <is>
          <t>Cascavel</t>
        </is>
      </c>
      <c r="C14" s="114" t="n">
        <v>4</v>
      </c>
      <c r="D14" s="114" t="inlineStr">
        <is>
          <t>Mauricio Pinto de Lima</t>
        </is>
      </c>
      <c r="E14" s="115" t="inlineStr">
        <is>
          <t>Atrasado &gt;= 2</t>
        </is>
      </c>
      <c r="F14" s="114" t="n"/>
      <c r="G14" s="116" t="inlineStr">
        <is>
          <t>Não</t>
        </is>
      </c>
      <c r="H14" s="114" t="n"/>
      <c r="I14" s="114" t="n"/>
      <c r="J14" s="114" t="inlineStr">
        <is>
          <t>Não</t>
        </is>
      </c>
      <c r="K14" s="114" t="n"/>
    </row>
    <row r="15">
      <c r="A15" s="120" t="inlineStr">
        <is>
          <t>Valquiria</t>
        </is>
      </c>
      <c r="B15" s="114" t="inlineStr">
        <is>
          <t>Cascavel</t>
        </is>
      </c>
      <c r="C15" s="114" t="n">
        <v>5</v>
      </c>
      <c r="D15" s="114" t="inlineStr">
        <is>
          <t xml:space="preserve">Débora Laize Lampert Gnass </t>
        </is>
      </c>
      <c r="E15" s="119" t="inlineStr">
        <is>
          <t>Enviado</t>
        </is>
      </c>
      <c r="F15" s="114" t="inlineStr">
        <is>
          <t>11/06/2025</t>
        </is>
      </c>
      <c r="G15" s="116" t="inlineStr">
        <is>
          <t>Não</t>
        </is>
      </c>
      <c r="H15" s="114" t="n"/>
      <c r="I15" s="114" t="n"/>
      <c r="J15" s="114" t="inlineStr">
        <is>
          <t>Não</t>
        </is>
      </c>
      <c r="K15" s="114" t="n"/>
    </row>
    <row r="16">
      <c r="A16" s="120" t="inlineStr">
        <is>
          <t>Valquiria</t>
        </is>
      </c>
      <c r="B16" s="114" t="inlineStr">
        <is>
          <t>Cascavel</t>
        </is>
      </c>
      <c r="C16" s="114" t="n">
        <v>6</v>
      </c>
      <c r="D16" s="114" t="n"/>
      <c r="E16" s="119" t="inlineStr">
        <is>
          <t>Enviado</t>
        </is>
      </c>
      <c r="F16" s="114" t="inlineStr">
        <is>
          <t>17/04/2025</t>
        </is>
      </c>
      <c r="G16" s="116" t="inlineStr">
        <is>
          <t>Não</t>
        </is>
      </c>
      <c r="H16" s="114" t="n"/>
      <c r="I16" s="114" t="n"/>
      <c r="J16" s="114" t="inlineStr">
        <is>
          <t>Não</t>
        </is>
      </c>
      <c r="K16" s="114" t="n"/>
    </row>
    <row r="17">
      <c r="A17" s="117" t="inlineStr">
        <is>
          <t>Bianca</t>
        </is>
      </c>
      <c r="B17" s="114" t="inlineStr">
        <is>
          <t>Catanduvas</t>
        </is>
      </c>
      <c r="C17" s="114" t="n">
        <v>1</v>
      </c>
      <c r="D17" s="114" t="inlineStr">
        <is>
          <t>Cristina Harumi Enokida</t>
        </is>
      </c>
      <c r="E17" s="119" t="inlineStr">
        <is>
          <t>Enviado</t>
        </is>
      </c>
      <c r="F17" s="114" t="inlineStr">
        <is>
          <t>06/03/2025</t>
        </is>
      </c>
      <c r="G17" s="124" t="inlineStr">
        <is>
          <t>Sim</t>
        </is>
      </c>
      <c r="H17" s="114" t="inlineStr">
        <is>
          <t>ok</t>
        </is>
      </c>
      <c r="I17" s="114" t="n"/>
      <c r="J17" s="114" t="inlineStr">
        <is>
          <t>Não</t>
        </is>
      </c>
      <c r="K17" s="114" t="n"/>
    </row>
    <row r="18" ht="15.75" customHeight="1">
      <c r="A18" s="120" t="inlineStr">
        <is>
          <t>Valquiria</t>
        </is>
      </c>
      <c r="B18" s="114" t="inlineStr">
        <is>
          <t>Céu Azul</t>
        </is>
      </c>
      <c r="C18" s="114" t="n">
        <v>1</v>
      </c>
      <c r="D18" s="114" t="inlineStr">
        <is>
          <t>Douglas de Mattia</t>
        </is>
      </c>
      <c r="E18" s="119" t="inlineStr">
        <is>
          <t>Enviado</t>
        </is>
      </c>
      <c r="F18" s="114" t="inlineStr">
        <is>
          <t>05/08/2025</t>
        </is>
      </c>
      <c r="G18" s="124" t="inlineStr">
        <is>
          <t>Sim</t>
        </is>
      </c>
      <c r="H18" s="114" t="inlineStr">
        <is>
          <t>está com dois envio do mês de  1 - excluir o que foi enviado no modo simplificado</t>
        </is>
      </c>
      <c r="I18" s="130" t="inlineStr">
        <is>
          <t>ID4327</t>
        </is>
      </c>
      <c r="J18" s="114" t="inlineStr">
        <is>
          <t>Sim</t>
        </is>
      </c>
      <c r="K18" s="114" t="inlineStr">
        <is>
          <t>Deletado 4327</t>
        </is>
      </c>
    </row>
    <row r="19">
      <c r="A19" s="117" t="inlineStr">
        <is>
          <t>Bianca</t>
        </is>
      </c>
      <c r="B19" s="114" t="inlineStr">
        <is>
          <t>Corbélia</t>
        </is>
      </c>
      <c r="C19" s="114" t="n">
        <v>1</v>
      </c>
      <c r="D19" s="114" t="inlineStr">
        <is>
          <t>Vanderson Pasetti</t>
        </is>
      </c>
      <c r="E19" s="119" t="inlineStr">
        <is>
          <t>Enviado</t>
        </is>
      </c>
      <c r="F19" s="114" t="inlineStr">
        <is>
          <t>11/03/2025</t>
        </is>
      </c>
      <c r="G19" s="124" t="inlineStr">
        <is>
          <t>Sim</t>
        </is>
      </c>
      <c r="H19" s="114" t="inlineStr">
        <is>
          <t>Fundo de  cx pág 2 e pág 6 coincidem</t>
        </is>
      </c>
      <c r="I19" s="114" t="n"/>
      <c r="J19" s="114" t="inlineStr">
        <is>
          <t>Não</t>
        </is>
      </c>
      <c r="K19" s="114" t="n"/>
    </row>
    <row r="20">
      <c r="A20" s="121" t="inlineStr">
        <is>
          <t>Luana</t>
        </is>
      </c>
      <c r="B20" s="114" t="inlineStr">
        <is>
          <t>Diamante d'Oeste</t>
        </is>
      </c>
      <c r="C20" s="114" t="n">
        <v>1</v>
      </c>
      <c r="D20" s="114" t="inlineStr">
        <is>
          <t>Bruna Schneider Guimarães</t>
        </is>
      </c>
      <c r="E20" s="119" t="inlineStr">
        <is>
          <t>Enviado</t>
        </is>
      </c>
      <c r="F20" s="114" t="inlineStr">
        <is>
          <t>19/03/2025</t>
        </is>
      </c>
      <c r="G20" s="124" t="inlineStr">
        <is>
          <t>Sim</t>
        </is>
      </c>
      <c r="H20" s="114" t="inlineStr">
        <is>
          <t>O valor das despesas está mais alto que no v1</t>
        </is>
      </c>
      <c r="I20" s="114" t="n"/>
      <c r="J20" s="114" t="inlineStr">
        <is>
          <t>Não</t>
        </is>
      </c>
      <c r="K20" s="114" t="n"/>
    </row>
    <row r="21">
      <c r="A21" s="117" t="inlineStr">
        <is>
          <t>Bianca</t>
        </is>
      </c>
      <c r="B21" s="114" t="inlineStr">
        <is>
          <t>Diamante do Sul</t>
        </is>
      </c>
      <c r="C21" s="114" t="n">
        <v>1</v>
      </c>
      <c r="D21" s="114" t="inlineStr">
        <is>
          <t>Keilla Avezedo</t>
        </is>
      </c>
      <c r="E21" s="119" t="inlineStr">
        <is>
          <t>Enviado</t>
        </is>
      </c>
      <c r="F21" s="114" t="inlineStr">
        <is>
          <t>13/03/2025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t="inlineStr">
        <is>
          <t>Carmen Maria Stein Weiler</t>
        </is>
      </c>
      <c r="E22" s="119" t="inlineStr">
        <is>
          <t>Enviado</t>
        </is>
      </c>
      <c r="F22" s="114" t="inlineStr">
        <is>
          <t>26/03/2025</t>
        </is>
      </c>
      <c r="G22" s="124" t="inlineStr">
        <is>
          <t>Sim</t>
        </is>
      </c>
      <c r="H22" s="114" t="n"/>
      <c r="I22" s="114" t="n"/>
      <c r="J22" s="114" t="inlineStr">
        <is>
          <t>Não</t>
        </is>
      </c>
      <c r="K22" s="114" t="n"/>
    </row>
    <row r="23">
      <c r="A23" s="118" t="inlineStr">
        <is>
          <t>Gustavo</t>
        </is>
      </c>
      <c r="B23" s="114" t="inlineStr">
        <is>
          <t>Formosa do Oeste</t>
        </is>
      </c>
      <c r="C23" s="114" t="n">
        <v>1</v>
      </c>
      <c r="D23" s="114" t="inlineStr">
        <is>
          <t>Thiago Varaschim Cenci</t>
        </is>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t="inlineStr">
        <is>
          <t>Éber Alexandre Nascimento Araújo</t>
        </is>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t="inlineStr">
        <is>
          <t>Andrea Carla Winkelmann</t>
        </is>
      </c>
      <c r="E25" s="119" t="inlineStr">
        <is>
          <t>Enviado</t>
        </is>
      </c>
      <c r="F25" s="114" t="inlineStr">
        <is>
          <t>13/03/2025</t>
        </is>
      </c>
      <c r="G25" s="124" t="inlineStr">
        <is>
          <t>Sim</t>
        </is>
      </c>
      <c r="H25" s="114" t="n"/>
      <c r="I25" s="114" t="n"/>
      <c r="J25" s="114" t="inlineStr">
        <is>
          <t>Não</t>
        </is>
      </c>
      <c r="K25" s="114" t="n"/>
    </row>
    <row r="26" ht="28.5" customHeight="1">
      <c r="A26" s="122" t="inlineStr">
        <is>
          <t>Larissa</t>
        </is>
      </c>
      <c r="B26" s="114" t="inlineStr">
        <is>
          <t>Foz do Iguaçu</t>
        </is>
      </c>
      <c r="C26" s="114" t="n">
        <v>3</v>
      </c>
      <c r="D26" s="114" t="inlineStr">
        <is>
          <t>Lorizete de Andrade</t>
        </is>
      </c>
      <c r="E26" s="119" t="inlineStr">
        <is>
          <t>Enviado</t>
        </is>
      </c>
      <c r="F26" s="114" t="inlineStr">
        <is>
          <t>20/03/2025</t>
        </is>
      </c>
      <c r="G26" s="124" t="inlineStr">
        <is>
          <t>Sim</t>
        </is>
      </c>
      <c r="H26" s="129" t="inlineStr">
        <is>
          <t>Ajustar o rejeito para Kg; nao foi registrado venda de plastico; mudar de convenio para contrato de prestação de serviço</t>
        </is>
      </c>
      <c r="I26" s="114" t="inlineStr">
        <is>
          <t>ID5376</t>
        </is>
      </c>
      <c r="J26" s="114" t="inlineStr">
        <is>
          <t>Sim</t>
        </is>
      </c>
      <c r="K26" s="114" t="inlineStr">
        <is>
          <t>Deletado 5376</t>
        </is>
      </c>
    </row>
    <row r="27">
      <c r="A27" s="122" t="inlineStr">
        <is>
          <t>Larissa</t>
        </is>
      </c>
      <c r="B27" s="114" t="inlineStr">
        <is>
          <t>Foz do Iguaçu</t>
        </is>
      </c>
      <c r="C27" s="114" t="n">
        <v>4</v>
      </c>
      <c r="D27" s="114" t="inlineStr">
        <is>
          <t>Andressa Maia</t>
        </is>
      </c>
      <c r="E27" s="119" t="inlineStr">
        <is>
          <t>Enviado</t>
        </is>
      </c>
      <c r="F27" s="114" t="inlineStr">
        <is>
          <t>11/04/2025</t>
        </is>
      </c>
      <c r="G27" s="124" t="inlineStr">
        <is>
          <t>Sim</t>
        </is>
      </c>
      <c r="H27" s="114" t="n"/>
      <c r="I27" s="114" t="n"/>
      <c r="J27" s="114" t="inlineStr">
        <is>
          <t>Não</t>
        </is>
      </c>
      <c r="K27" s="114" t="n"/>
    </row>
    <row r="28">
      <c r="A28" s="122" t="inlineStr">
        <is>
          <t>Larissa</t>
        </is>
      </c>
      <c r="B28" s="114" t="inlineStr">
        <is>
          <t>Foz do Iguaçu</t>
        </is>
      </c>
      <c r="C28" s="114" t="n">
        <v>5</v>
      </c>
      <c r="D28" s="114" t="inlineStr">
        <is>
          <t>Lucas Correia de Souza</t>
        </is>
      </c>
      <c r="E28" s="119" t="inlineStr">
        <is>
          <t>Enviado</t>
        </is>
      </c>
      <c r="F28" s="114" t="inlineStr">
        <is>
          <t>28/02/2025</t>
        </is>
      </c>
      <c r="G28" s="124" t="inlineStr">
        <is>
          <t>Sim</t>
        </is>
      </c>
      <c r="H28" s="114" t="n"/>
      <c r="I28" s="114" t="n"/>
      <c r="J28" s="114" t="inlineStr">
        <is>
          <t>Não</t>
        </is>
      </c>
      <c r="K28" s="114" t="n"/>
    </row>
    <row r="29">
      <c r="A29" s="122" t="inlineStr">
        <is>
          <t>Larissa</t>
        </is>
      </c>
      <c r="B29" s="127" t="inlineStr">
        <is>
          <t>Foz do Iguaçu</t>
        </is>
      </c>
      <c r="C29" s="114" t="n">
        <v>6</v>
      </c>
      <c r="D29" s="114" t="inlineStr">
        <is>
          <t>Jose Francisco Mariano de Faria Filho</t>
        </is>
      </c>
      <c r="E29" s="119" t="inlineStr">
        <is>
          <t>Enviado</t>
        </is>
      </c>
      <c r="F29" s="114" t="inlineStr">
        <is>
          <t>25/11/2025</t>
        </is>
      </c>
      <c r="G29" s="116" t="inlineStr">
        <is>
          <t>Não</t>
        </is>
      </c>
      <c r="H29" s="114" t="n"/>
      <c r="I29" s="114" t="n"/>
      <c r="J29" s="114" t="inlineStr">
        <is>
          <t>Não</t>
        </is>
      </c>
      <c r="K29" s="114" t="n"/>
    </row>
    <row r="30">
      <c r="A30" s="122" t="inlineStr">
        <is>
          <t>Larissa</t>
        </is>
      </c>
      <c r="B30" s="114" t="inlineStr">
        <is>
          <t>Foz do Iguaçu</t>
        </is>
      </c>
      <c r="C30" s="114" t="n">
        <v>7</v>
      </c>
      <c r="D30" s="114" t="inlineStr">
        <is>
          <t>Pedro Henrique Mariano de Faria</t>
        </is>
      </c>
      <c r="E30" s="119" t="inlineStr">
        <is>
          <t>Enviado</t>
        </is>
      </c>
      <c r="F30" s="114" t="inlineStr">
        <is>
          <t>09/06/2025</t>
        </is>
      </c>
      <c r="G30" s="124" t="inlineStr">
        <is>
          <t>Sim</t>
        </is>
      </c>
      <c r="H30" s="114" t="inlineStr">
        <is>
          <t>Conferir dados da despesa de operação que nao foram lançados, e receita nao confere aba 2 e aba 8</t>
        </is>
      </c>
      <c r="I30" s="114" t="n"/>
      <c r="J30" s="114" t="inlineStr">
        <is>
          <t>Não</t>
        </is>
      </c>
      <c r="K30" s="114" t="n"/>
    </row>
    <row r="31">
      <c r="A31" s="122" t="inlineStr">
        <is>
          <t>Larissa</t>
        </is>
      </c>
      <c r="B31" s="114" t="inlineStr">
        <is>
          <t>Foz do Iguaçu</t>
        </is>
      </c>
      <c r="C31" s="114" t="n">
        <v>8</v>
      </c>
      <c r="D31" s="114" t="inlineStr">
        <is>
          <t>Renata Aparecida de Souza</t>
        </is>
      </c>
      <c r="E31" s="119" t="inlineStr">
        <is>
          <t>Enviado</t>
        </is>
      </c>
      <c r="F31" s="114" t="inlineStr">
        <is>
          <t>20/03/2025</t>
        </is>
      </c>
      <c r="G31" s="124" t="inlineStr">
        <is>
          <t>Sim</t>
        </is>
      </c>
      <c r="H31" s="114" t="n"/>
      <c r="I31" s="114" t="n"/>
      <c r="J31" s="114" t="inlineStr">
        <is>
          <t>Não</t>
        </is>
      </c>
      <c r="K31" s="114" t="n"/>
    </row>
    <row r="32">
      <c r="A32" s="122" t="inlineStr">
        <is>
          <t>Larissa</t>
        </is>
      </c>
      <c r="B32" s="114" t="inlineStr">
        <is>
          <t>Foz do Iguaçu</t>
        </is>
      </c>
      <c r="C32" s="114" t="n">
        <v>9</v>
      </c>
      <c r="D32" s="114" t="inlineStr">
        <is>
          <t>Maria Eduarda dos Santos Arias</t>
        </is>
      </c>
      <c r="E32" s="123" t="inlineStr">
        <is>
          <t>Sem Técnico</t>
        </is>
      </c>
      <c r="F32" s="114" t="n"/>
      <c r="G32" s="124" t="inlineStr">
        <is>
          <t>Sim</t>
        </is>
      </c>
      <c r="H32" s="114" t="inlineStr">
        <is>
          <t>não tem preenchimento</t>
        </is>
      </c>
      <c r="I32" s="114" t="n"/>
      <c r="J32" s="114" t="inlineStr">
        <is>
          <t>Não</t>
        </is>
      </c>
      <c r="K32" s="114" t="n"/>
    </row>
    <row r="33">
      <c r="A33" s="113" t="inlineStr">
        <is>
          <t>Gabriel</t>
        </is>
      </c>
      <c r="B33" s="114" t="inlineStr">
        <is>
          <t>Francisco Alves</t>
        </is>
      </c>
      <c r="C33" s="114" t="n">
        <v>1</v>
      </c>
      <c r="D33" s="114" t="inlineStr">
        <is>
          <t>Paulo Rogerio Hiroshi Fujii</t>
        </is>
      </c>
      <c r="E33" s="119" t="inlineStr">
        <is>
          <t>Enviado</t>
        </is>
      </c>
      <c r="F33" s="114" t="inlineStr">
        <is>
          <t>18/03/2025</t>
        </is>
      </c>
      <c r="G33" s="116" t="inlineStr">
        <is>
          <t>Não</t>
        </is>
      </c>
      <c r="H33" s="114" t="n"/>
      <c r="I33" s="114" t="n"/>
      <c r="J33" s="114" t="inlineStr">
        <is>
          <t>Não</t>
        </is>
      </c>
      <c r="K33" s="114" t="n"/>
    </row>
    <row r="34">
      <c r="A34" s="113" t="inlineStr">
        <is>
          <t>Gabriel</t>
        </is>
      </c>
      <c r="B34" s="114" t="inlineStr">
        <is>
          <t>Guaira</t>
        </is>
      </c>
      <c r="C34" s="114" t="n">
        <v>1</v>
      </c>
      <c r="D34" s="114" t="inlineStr">
        <is>
          <t>Marlene R. Oliveira Dallacosta</t>
        </is>
      </c>
      <c r="E34" s="119" t="inlineStr">
        <is>
          <t>Enviado</t>
        </is>
      </c>
      <c r="F34" s="114" t="inlineStr">
        <is>
          <t>25/03/2025</t>
        </is>
      </c>
      <c r="G34" s="116" t="inlineStr">
        <is>
          <t>Não</t>
        </is>
      </c>
      <c r="H34" s="114" t="n"/>
      <c r="I34" s="114" t="n"/>
      <c r="J34" s="114" t="inlineStr">
        <is>
          <t>Não</t>
        </is>
      </c>
      <c r="K34" s="114" t="n"/>
    </row>
    <row r="35">
      <c r="A35" s="117" t="inlineStr">
        <is>
          <t>Bianca</t>
        </is>
      </c>
      <c r="B35" s="114" t="inlineStr">
        <is>
          <t>Guaraniacu</t>
        </is>
      </c>
      <c r="C35" s="114" t="n">
        <v>1</v>
      </c>
      <c r="D35" s="114" t="inlineStr">
        <is>
          <t>Vitolor dos Santos Almeida</t>
        </is>
      </c>
      <c r="E35" s="119" t="inlineStr">
        <is>
          <t>Enviado</t>
        </is>
      </c>
      <c r="F35" s="114" t="inlineStr">
        <is>
          <t>06/08/2025</t>
        </is>
      </c>
      <c r="G35" s="124" t="inlineStr">
        <is>
          <t>Sim</t>
        </is>
      </c>
      <c r="H35" s="114" t="inlineStr">
        <is>
          <t>ok</t>
        </is>
      </c>
      <c r="I35" s="114" t="inlineStr">
        <is>
          <t>ID4419</t>
        </is>
      </c>
      <c r="J35" s="114" t="inlineStr">
        <is>
          <t>Sim</t>
        </is>
      </c>
      <c r="K35" s="114" t="inlineStr">
        <is>
          <t>Deletado 4419</t>
        </is>
      </c>
    </row>
    <row r="36">
      <c r="A36" s="117" t="inlineStr">
        <is>
          <t>Bianca</t>
        </is>
      </c>
      <c r="B36" s="114" t="inlineStr">
        <is>
          <t>Ibema</t>
        </is>
      </c>
      <c r="C36" s="114" t="n">
        <v>1</v>
      </c>
      <c r="D36" s="114" t="inlineStr">
        <is>
          <t>Kelly Jackeline Silva do Valle</t>
        </is>
      </c>
      <c r="E36" s="119" t="inlineStr">
        <is>
          <t>Enviado</t>
        </is>
      </c>
      <c r="F36" s="114" t="inlineStr">
        <is>
          <t>01/04/2025</t>
        </is>
      </c>
      <c r="G36" s="124" t="inlineStr">
        <is>
          <t>Sim</t>
        </is>
      </c>
      <c r="H36" s="114" t="inlineStr">
        <is>
          <t>ok</t>
        </is>
      </c>
      <c r="I36" s="114" t="n"/>
      <c r="J36" s="114" t="inlineStr">
        <is>
          <t>Não</t>
        </is>
      </c>
      <c r="K36" s="114" t="n"/>
    </row>
    <row r="37">
      <c r="A37" s="117" t="inlineStr">
        <is>
          <t>Bianca</t>
        </is>
      </c>
      <c r="B37" s="114" t="inlineStr">
        <is>
          <t>Iguatu</t>
        </is>
      </c>
      <c r="C37" s="114" t="n">
        <v>1</v>
      </c>
      <c r="D37" s="114" t="inlineStr">
        <is>
          <t>Felipe Carvalho Zydek</t>
        </is>
      </c>
      <c r="E37" s="119" t="inlineStr">
        <is>
          <t>Enviado</t>
        </is>
      </c>
      <c r="F37" s="114" t="inlineStr">
        <is>
          <t>28/02/2025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t="inlineStr">
        <is>
          <t>Eliane Borin</t>
        </is>
      </c>
      <c r="E38" s="119" t="inlineStr">
        <is>
          <t>Enviado</t>
        </is>
      </c>
      <c r="F38" s="114" t="inlineStr">
        <is>
          <t>19/03/2025</t>
        </is>
      </c>
      <c r="G38" s="116" t="inlineStr">
        <is>
          <t>Não</t>
        </is>
      </c>
      <c r="H38" s="114" t="n"/>
      <c r="I38" s="114" t="n"/>
      <c r="J38" s="114" t="inlineStr">
        <is>
          <t>Não</t>
        </is>
      </c>
      <c r="K38" s="114" t="n"/>
    </row>
    <row r="39">
      <c r="A39" s="121" t="inlineStr">
        <is>
          <t>Luana</t>
        </is>
      </c>
      <c r="B39" s="114" t="inlineStr">
        <is>
          <t>Itaipulândia</t>
        </is>
      </c>
      <c r="C39" s="114" t="n">
        <v>1</v>
      </c>
      <c r="D39" s="114" t="inlineStr">
        <is>
          <t>Tatiana schrard</t>
        </is>
      </c>
      <c r="E39" s="119" t="inlineStr">
        <is>
          <t>Enviado</t>
        </is>
      </c>
      <c r="F39" s="114" t="inlineStr">
        <is>
          <t>03/04/2025</t>
        </is>
      </c>
      <c r="G39" s="116" t="inlineStr">
        <is>
          <t>Não</t>
        </is>
      </c>
      <c r="H39" s="114" t="n"/>
      <c r="I39" s="114" t="n"/>
      <c r="J39" s="114" t="inlineStr">
        <is>
          <t>Não</t>
        </is>
      </c>
      <c r="K39" s="114" t="n"/>
    </row>
    <row r="40">
      <c r="A40" s="118" t="inlineStr">
        <is>
          <t>Gustavo</t>
        </is>
      </c>
      <c r="B40" s="127" t="inlineStr">
        <is>
          <t>Jesuítas</t>
        </is>
      </c>
      <c r="C40" s="114" t="n">
        <v>1</v>
      </c>
      <c r="D40" s="114" t="inlineStr">
        <is>
          <t>César Piva Glinglani</t>
        </is>
      </c>
      <c r="E40" s="119" t="inlineStr">
        <is>
          <t>Enviado</t>
        </is>
      </c>
      <c r="F40" s="114" t="inlineStr">
        <is>
          <t>25/11/2025</t>
        </is>
      </c>
      <c r="G40" s="116" t="inlineStr">
        <is>
          <t>Não</t>
        </is>
      </c>
      <c r="H40" s="114" t="n"/>
      <c r="I40" s="114" t="n"/>
      <c r="J40" s="114" t="inlineStr">
        <is>
          <t>Não</t>
        </is>
      </c>
      <c r="K40" s="114" t="n"/>
    </row>
    <row r="41">
      <c r="A41" s="120" t="inlineStr">
        <is>
          <t>Valquiria</t>
        </is>
      </c>
      <c r="B41" s="114" t="inlineStr">
        <is>
          <t>Lindoeste</t>
        </is>
      </c>
      <c r="C41" s="114" t="n">
        <v>1</v>
      </c>
      <c r="D41" s="114" t="inlineStr">
        <is>
          <t>Ailton Carlos Fialho</t>
        </is>
      </c>
      <c r="E41" s="119" t="inlineStr">
        <is>
          <t>Enviado</t>
        </is>
      </c>
      <c r="F41" s="114" t="inlineStr">
        <is>
          <t>25/03/2025</t>
        </is>
      </c>
      <c r="G41" s="124" t="inlineStr">
        <is>
          <t>Sim</t>
        </is>
      </c>
      <c r="H41" s="114" t="inlineStr">
        <is>
          <t>ok</t>
        </is>
      </c>
      <c r="I41" s="114" t="n"/>
      <c r="J41" s="114" t="inlineStr">
        <is>
          <t>Não</t>
        </is>
      </c>
      <c r="K41" s="114" t="n"/>
    </row>
    <row r="42">
      <c r="A42" s="121" t="inlineStr">
        <is>
          <t>Luana</t>
        </is>
      </c>
      <c r="B42" s="127" t="inlineStr">
        <is>
          <t>Marechal Candido Rondon</t>
        </is>
      </c>
      <c r="C42" s="114" t="n">
        <v>1</v>
      </c>
      <c r="D42" s="114" t="inlineStr">
        <is>
          <t>Marcos José Chaves</t>
        </is>
      </c>
      <c r="E42" s="119" t="inlineStr">
        <is>
          <t>Enviado</t>
        </is>
      </c>
      <c r="F42" s="114" t="inlineStr">
        <is>
          <t>25/11/2025</t>
        </is>
      </c>
      <c r="G42" s="116" t="inlineStr">
        <is>
          <t>Não</t>
        </is>
      </c>
      <c r="H42" s="114" t="inlineStr">
        <is>
          <t xml:space="preserve">Não foi enviado nem jan.fv.marc e abril ( puxando de 2024). </t>
        </is>
      </c>
      <c r="I42" s="114" t="n"/>
      <c r="J42" s="114" t="inlineStr">
        <is>
          <t>Não</t>
        </is>
      </c>
      <c r="K42" s="114" t="n"/>
    </row>
    <row r="43">
      <c r="A43" s="121" t="inlineStr">
        <is>
          <t>Luana</t>
        </is>
      </c>
      <c r="B43" s="127" t="inlineStr">
        <is>
          <t>Marechal Candido Rondon</t>
        </is>
      </c>
      <c r="C43" s="114" t="n">
        <v>2</v>
      </c>
      <c r="D43" s="114" t="inlineStr">
        <is>
          <t>Diego Matheus Reinicke</t>
        </is>
      </c>
      <c r="E43" s="119" t="inlineStr">
        <is>
          <t>Enviado</t>
        </is>
      </c>
      <c r="F43" s="114" t="inlineStr">
        <is>
          <t>25/11/2025</t>
        </is>
      </c>
      <c r="G43" s="116" t="inlineStr">
        <is>
          <t>Não</t>
        </is>
      </c>
      <c r="H43" s="114" t="n"/>
      <c r="I43" s="114" t="n"/>
      <c r="J43" s="114" t="inlineStr">
        <is>
          <t>Não</t>
        </is>
      </c>
      <c r="K43" s="114" t="n"/>
    </row>
    <row r="44">
      <c r="A44" s="118" t="inlineStr">
        <is>
          <t>Gustavo</t>
        </is>
      </c>
      <c r="B44" s="114" t="inlineStr">
        <is>
          <t>Maripa</t>
        </is>
      </c>
      <c r="C44" s="114" t="n">
        <v>1</v>
      </c>
      <c r="D44" s="114" t="inlineStr">
        <is>
          <t>Cleiton Manske</t>
        </is>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t="inlineStr">
        <is>
          <t>Alexandro Aparecido de Lima Vieira</t>
        </is>
      </c>
      <c r="E45" s="119" t="inlineStr">
        <is>
          <t>Enviado</t>
        </is>
      </c>
      <c r="F45" s="114" t="inlineStr">
        <is>
          <t>01/07/2025</t>
        </is>
      </c>
      <c r="G45" s="124" t="inlineStr">
        <is>
          <t>Sim</t>
        </is>
      </c>
      <c r="H45" s="114" t="n"/>
      <c r="I45" s="114" t="n"/>
      <c r="J45" s="114" t="inlineStr">
        <is>
          <t>Não</t>
        </is>
      </c>
      <c r="K45" s="114" t="n"/>
    </row>
    <row r="46">
      <c r="A46" s="122" t="inlineStr">
        <is>
          <t>Larissa</t>
        </is>
      </c>
      <c r="B46" s="114" t="inlineStr">
        <is>
          <t>Medianeira</t>
        </is>
      </c>
      <c r="C46" s="114" t="n">
        <v>1</v>
      </c>
      <c r="D46" s="114" t="inlineStr">
        <is>
          <t>Natielly Pereira Ochoa</t>
        </is>
      </c>
      <c r="E46" s="119" t="inlineStr">
        <is>
          <t>Enviado</t>
        </is>
      </c>
      <c r="F46" s="114" t="inlineStr">
        <is>
          <t>18/03/2025</t>
        </is>
      </c>
      <c r="G46" s="124" t="inlineStr">
        <is>
          <t>Sim</t>
        </is>
      </c>
      <c r="H46" s="114" t="n"/>
      <c r="I46" s="114" t="n"/>
      <c r="J46" s="114" t="inlineStr">
        <is>
          <t>Não</t>
        </is>
      </c>
      <c r="K46" s="114" t="n"/>
    </row>
    <row r="47">
      <c r="A47" s="113" t="inlineStr">
        <is>
          <t>Gabriel</t>
        </is>
      </c>
      <c r="B47" s="114" t="inlineStr">
        <is>
          <t>Mercedes</t>
        </is>
      </c>
      <c r="C47" s="114" t="n">
        <v>1</v>
      </c>
      <c r="D47" s="114" t="inlineStr">
        <is>
          <t>Roberto Pedron</t>
        </is>
      </c>
      <c r="E47" s="119" t="inlineStr">
        <is>
          <t>Enviado</t>
        </is>
      </c>
      <c r="F47" s="114" t="inlineStr">
        <is>
          <t>07/03/2025</t>
        </is>
      </c>
      <c r="G47" s="116" t="inlineStr">
        <is>
          <t>Não</t>
        </is>
      </c>
      <c r="H47" s="114" t="n"/>
      <c r="I47" s="114" t="n"/>
      <c r="J47" s="114" t="inlineStr">
        <is>
          <t>Não</t>
        </is>
      </c>
      <c r="K47" s="114" t="n"/>
    </row>
    <row r="48">
      <c r="A48" s="121" t="inlineStr">
        <is>
          <t>Luana</t>
        </is>
      </c>
      <c r="B48" s="114" t="inlineStr">
        <is>
          <t>Missal</t>
        </is>
      </c>
      <c r="C48" s="114" t="n">
        <v>1</v>
      </c>
      <c r="D48" s="114" t="inlineStr">
        <is>
          <t>Luciane Spies</t>
        </is>
      </c>
      <c r="E48" s="119" t="inlineStr">
        <is>
          <t>Enviado</t>
        </is>
      </c>
      <c r="F48" s="114" t="inlineStr">
        <is>
          <t>12/03/2025</t>
        </is>
      </c>
      <c r="G48" s="124" t="inlineStr">
        <is>
          <t>Sim</t>
        </is>
      </c>
      <c r="H48" s="114" t="n"/>
      <c r="I48" s="114" t="n"/>
      <c r="J48" s="114" t="inlineStr">
        <is>
          <t>Não</t>
        </is>
      </c>
      <c r="K48" s="114" t="n"/>
    </row>
    <row r="49">
      <c r="A49" s="113" t="inlineStr">
        <is>
          <t>Gabriel</t>
        </is>
      </c>
      <c r="B49" s="114" t="inlineStr">
        <is>
          <t>Mundo Novo</t>
        </is>
      </c>
      <c r="C49" s="114" t="n">
        <v>1</v>
      </c>
      <c r="D49" s="114" t="inlineStr">
        <is>
          <t>Jaqueline Fernanda Meireles</t>
        </is>
      </c>
      <c r="E49" s="119" t="inlineStr">
        <is>
          <t>Enviado</t>
        </is>
      </c>
      <c r="F49" s="114" t="inlineStr">
        <is>
          <t>07/04/2025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t="inlineStr">
        <is>
          <t>Luiz Fernando Pereira Barbosa</t>
        </is>
      </c>
      <c r="E50" s="119" t="inlineStr">
        <is>
          <t>Enviado</t>
        </is>
      </c>
      <c r="F50" s="114" t="inlineStr">
        <is>
          <t>20/05/2025</t>
        </is>
      </c>
      <c r="G50" s="116" t="inlineStr">
        <is>
          <t>Não</t>
        </is>
      </c>
      <c r="H50" s="114" t="n"/>
      <c r="I50" s="114" t="n"/>
      <c r="J50" s="114" t="inlineStr">
        <is>
          <t>Não</t>
        </is>
      </c>
      <c r="K50" s="114" t="n"/>
    </row>
    <row r="51">
      <c r="A51" s="113" t="inlineStr">
        <is>
          <t>Gabriel</t>
        </is>
      </c>
      <c r="B51" s="114" t="inlineStr">
        <is>
          <t>Nova Santa Rosa</t>
        </is>
      </c>
      <c r="C51" s="114" t="n">
        <v>1</v>
      </c>
      <c r="D51" s="114" t="inlineStr">
        <is>
          <t>Carolina Eggers</t>
        </is>
      </c>
      <c r="E51" s="119" t="inlineStr">
        <is>
          <t>Enviado</t>
        </is>
      </c>
      <c r="F51" s="114" t="inlineStr">
        <is>
          <t>14/03/2025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t="inlineStr">
        <is>
          <t>Ivan Gonçalves da Silva</t>
        </is>
      </c>
      <c r="E52" s="119" t="inlineStr">
        <is>
          <t>Enviado</t>
        </is>
      </c>
      <c r="F52" s="114" t="inlineStr">
        <is>
          <t>01/04/2025</t>
        </is>
      </c>
      <c r="G52" s="124" t="inlineStr">
        <is>
          <t>Sim</t>
        </is>
      </c>
      <c r="H52" s="114" t="inlineStr">
        <is>
          <t>sem controle de despesas</t>
        </is>
      </c>
      <c r="I52" s="114" t="n"/>
      <c r="J52" s="114" t="inlineStr">
        <is>
          <t>Não</t>
        </is>
      </c>
      <c r="K52" s="114" t="n"/>
    </row>
    <row r="53">
      <c r="A53" s="118" t="inlineStr">
        <is>
          <t>Gustavo</t>
        </is>
      </c>
      <c r="B53" s="114" t="inlineStr">
        <is>
          <t>Palotina</t>
        </is>
      </c>
      <c r="C53" s="114" t="n">
        <v>1</v>
      </c>
      <c r="D53" s="114" t="inlineStr">
        <is>
          <t>Dorival Manoel Canhete</t>
        </is>
      </c>
      <c r="E53" s="119" t="inlineStr">
        <is>
          <t>Enviado</t>
        </is>
      </c>
      <c r="F53" s="114" t="inlineStr">
        <is>
          <t>24/11/2025</t>
        </is>
      </c>
      <c r="G53" s="116" t="inlineStr">
        <is>
          <t>Não</t>
        </is>
      </c>
      <c r="H53" s="114" t="n"/>
      <c r="I53" s="114" t="n"/>
      <c r="J53" s="114" t="inlineStr">
        <is>
          <t>Não</t>
        </is>
      </c>
      <c r="K53" s="114" t="n"/>
    </row>
    <row r="54">
      <c r="A54" s="121" t="inlineStr">
        <is>
          <t>Luana</t>
        </is>
      </c>
      <c r="B54" s="114" t="inlineStr">
        <is>
          <t>Pato Bragado</t>
        </is>
      </c>
      <c r="C54" s="114" t="n">
        <v>1</v>
      </c>
      <c r="D54" s="114" t="inlineStr">
        <is>
          <t>Jaqueline Vanelli</t>
        </is>
      </c>
      <c r="E54" s="119" t="inlineStr">
        <is>
          <t>Enviado</t>
        </is>
      </c>
      <c r="F54" s="114" t="inlineStr">
        <is>
          <t>27/02/2025</t>
        </is>
      </c>
      <c r="G54" s="116" t="inlineStr">
        <is>
          <t>Não</t>
        </is>
      </c>
      <c r="H54" s="114" t="n"/>
      <c r="I54" s="114" t="n"/>
      <c r="J54" s="114" t="inlineStr">
        <is>
          <t>Não</t>
        </is>
      </c>
      <c r="K54" s="114" t="n"/>
    </row>
    <row r="55">
      <c r="A55" s="113" t="inlineStr">
        <is>
          <t>Gabriel</t>
        </is>
      </c>
      <c r="B55" s="114" t="inlineStr">
        <is>
          <t>Quatro Pontes</t>
        </is>
      </c>
      <c r="C55" s="114" t="n">
        <v>1</v>
      </c>
      <c r="D55" s="114" t="inlineStr">
        <is>
          <t>Fernanda Jung</t>
        </is>
      </c>
      <c r="E55" s="119" t="inlineStr">
        <is>
          <t>Enviado</t>
        </is>
      </c>
      <c r="F55" s="114" t="inlineStr">
        <is>
          <t>26/03/2025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t="inlineStr">
        <is>
          <t>Ana Paula Romagnoli</t>
        </is>
      </c>
      <c r="E56" s="119" t="inlineStr">
        <is>
          <t>Enviado</t>
        </is>
      </c>
      <c r="F56" s="114" t="inlineStr">
        <is>
          <t>10/04/2025</t>
        </is>
      </c>
      <c r="G56" s="116" t="inlineStr">
        <is>
          <t>Não</t>
        </is>
      </c>
      <c r="H56" s="114" t="n"/>
      <c r="I56" s="114" t="n"/>
      <c r="J56" s="114" t="inlineStr">
        <is>
          <t>Não</t>
        </is>
      </c>
      <c r="K56" s="114" t="n"/>
    </row>
    <row r="57">
      <c r="A57" s="121" t="inlineStr">
        <is>
          <t>Luana</t>
        </is>
      </c>
      <c r="B57" s="114" t="inlineStr">
        <is>
          <t>Santa Helena</t>
        </is>
      </c>
      <c r="C57" s="114" t="n">
        <v>1</v>
      </c>
      <c r="D57" s="114" t="inlineStr">
        <is>
          <t>Alexandro Schaparini</t>
        </is>
      </c>
      <c r="E57" s="119" t="inlineStr">
        <is>
          <t>Enviado</t>
        </is>
      </c>
      <c r="F57" s="114" t="inlineStr">
        <is>
          <t>26/03/2025</t>
        </is>
      </c>
      <c r="G57" s="116" t="inlineStr">
        <is>
          <t>Não</t>
        </is>
      </c>
      <c r="H57" s="114" t="n"/>
      <c r="I57" s="114" t="n"/>
      <c r="J57" s="114" t="inlineStr">
        <is>
          <t>Não</t>
        </is>
      </c>
      <c r="K57" s="114" t="n"/>
    </row>
    <row r="58">
      <c r="A58" s="120" t="inlineStr">
        <is>
          <t>Valquiria</t>
        </is>
      </c>
      <c r="B58" s="114" t="inlineStr">
        <is>
          <t>Santa Lúcia</t>
        </is>
      </c>
      <c r="C58" s="114" t="n">
        <v>1</v>
      </c>
      <c r="D58" s="114" t="inlineStr">
        <is>
          <t>Marina Ancelmo da Silva</t>
        </is>
      </c>
      <c r="E58" s="119" t="inlineStr">
        <is>
          <t>Enviado</t>
        </is>
      </c>
      <c r="F58" s="114" t="inlineStr">
        <is>
          <t>12/03/2025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t="inlineStr">
        <is>
          <t>Ana Carolina Peterle Ribeiro</t>
        </is>
      </c>
      <c r="E59" s="119" t="inlineStr">
        <is>
          <t>Enviado</t>
        </is>
      </c>
      <c r="F59" s="114" t="inlineStr">
        <is>
          <t>28/02/2025</t>
        </is>
      </c>
      <c r="G59" s="116" t="inlineStr">
        <is>
          <t>Não</t>
        </is>
      </c>
      <c r="H59" s="114" t="n"/>
      <c r="I59" s="114" t="n"/>
      <c r="J59" s="114" t="inlineStr">
        <is>
          <t>Não</t>
        </is>
      </c>
      <c r="K59" s="114" t="n"/>
    </row>
    <row r="60">
      <c r="A60" s="122" t="inlineStr">
        <is>
          <t>Larissa</t>
        </is>
      </c>
      <c r="B60" s="114" t="inlineStr">
        <is>
          <t>Santa Terezinha de Itaipu</t>
        </is>
      </c>
      <c r="C60" s="114" t="n">
        <v>1</v>
      </c>
      <c r="D60" s="114" t="inlineStr">
        <is>
          <t>Taiane Amélia Mondardo</t>
        </is>
      </c>
      <c r="E60" s="119" t="inlineStr">
        <is>
          <t>Enviado</t>
        </is>
      </c>
      <c r="F60" s="114" t="inlineStr">
        <is>
          <t>11/03/2025</t>
        </is>
      </c>
      <c r="G60" s="124" t="inlineStr">
        <is>
          <t>Sim</t>
        </is>
      </c>
      <c r="H60" s="114" t="inlineStr">
        <is>
          <t>rejeito preenchido errado</t>
        </is>
      </c>
      <c r="I60" s="114" t="n"/>
      <c r="J60" s="114" t="inlineStr">
        <is>
          <t>Não</t>
        </is>
      </c>
      <c r="K60" s="114" t="n"/>
    </row>
    <row r="61">
      <c r="A61" s="113" t="inlineStr">
        <is>
          <t>Gabriel</t>
        </is>
      </c>
      <c r="B61" s="114" t="inlineStr">
        <is>
          <t>São Jose das Palmeiras</t>
        </is>
      </c>
      <c r="C61" s="114" t="n">
        <v>1</v>
      </c>
      <c r="D61" s="114" t="inlineStr">
        <is>
          <t>Regiane Lucia Pereira</t>
        </is>
      </c>
      <c r="E61" s="119" t="inlineStr">
        <is>
          <t>Enviado</t>
        </is>
      </c>
      <c r="F61" s="114" t="inlineStr">
        <is>
          <t>10/03/2025</t>
        </is>
      </c>
      <c r="G61" s="116" t="inlineStr">
        <is>
          <t>Não</t>
        </is>
      </c>
      <c r="H61" s="114" t="n"/>
      <c r="I61" s="114" t="n"/>
      <c r="J61" s="114" t="inlineStr">
        <is>
          <t>Não</t>
        </is>
      </c>
      <c r="K61" s="114" t="n"/>
    </row>
    <row r="62">
      <c r="A62" s="122" t="inlineStr">
        <is>
          <t>Larissa</t>
        </is>
      </c>
      <c r="B62" s="114" t="inlineStr">
        <is>
          <t>São Miguel do Iguaçu</t>
        </is>
      </c>
      <c r="C62" s="114" t="n">
        <v>1</v>
      </c>
      <c r="D62" s="114" t="inlineStr">
        <is>
          <t>Andryws Rafael Gois</t>
        </is>
      </c>
      <c r="E62" s="119" t="inlineStr">
        <is>
          <t>Enviado</t>
        </is>
      </c>
      <c r="F62" s="114" t="inlineStr">
        <is>
          <t>17/03/2025</t>
        </is>
      </c>
      <c r="G62" s="124" t="inlineStr">
        <is>
          <t>Sim</t>
        </is>
      </c>
      <c r="H62" s="114" t="n"/>
      <c r="I62" s="114" t="n"/>
      <c r="J62" s="114" t="inlineStr">
        <is>
          <t>Não</t>
        </is>
      </c>
      <c r="K62" s="114" t="n"/>
    </row>
    <row r="63">
      <c r="A63" s="121" t="inlineStr">
        <is>
          <t>Luana</t>
        </is>
      </c>
      <c r="B63" s="114" t="inlineStr">
        <is>
          <t>São Pedro do Iguaçu</t>
        </is>
      </c>
      <c r="C63" s="114" t="n">
        <v>1</v>
      </c>
      <c r="D63" s="114" t="inlineStr">
        <is>
          <t>Mayara Ketllyn de Paula Rosetti</t>
        </is>
      </c>
      <c r="E63" s="119" t="inlineStr">
        <is>
          <t>Enviado</t>
        </is>
      </c>
      <c r="F63" s="114" t="inlineStr">
        <is>
          <t>17/04/2025</t>
        </is>
      </c>
      <c r="G63" s="116" t="inlineStr">
        <is>
          <t>Não</t>
        </is>
      </c>
      <c r="H63" s="114" t="n"/>
      <c r="I63" s="114" t="n"/>
      <c r="J63" s="114" t="inlineStr">
        <is>
          <t>Não</t>
        </is>
      </c>
      <c r="K63" s="114" t="n"/>
    </row>
    <row r="64">
      <c r="A64" s="122" t="inlineStr">
        <is>
          <t>Larissa</t>
        </is>
      </c>
      <c r="B64" s="114" t="inlineStr">
        <is>
          <t>Serranopolis do Iguaçu</t>
        </is>
      </c>
      <c r="C64" s="114" t="n">
        <v>1</v>
      </c>
      <c r="D64" s="114" t="inlineStr">
        <is>
          <t>Junior Andre Britzke</t>
        </is>
      </c>
      <c r="E64" s="119" t="inlineStr">
        <is>
          <t>Enviado</t>
        </is>
      </c>
      <c r="F64" s="114" t="inlineStr">
        <is>
          <t>05/03/2025</t>
        </is>
      </c>
      <c r="G64" s="124" t="inlineStr">
        <is>
          <t>Sim</t>
        </is>
      </c>
      <c r="H64" s="114" t="n"/>
      <c r="I64" s="114" t="n"/>
      <c r="J64" s="114" t="inlineStr">
        <is>
          <t>Não</t>
        </is>
      </c>
      <c r="K64" s="114" t="n"/>
    </row>
    <row r="65">
      <c r="A65" s="113" t="inlineStr">
        <is>
          <t>Gabriel</t>
        </is>
      </c>
      <c r="B65" s="114" t="inlineStr">
        <is>
          <t>Terra Roxa</t>
        </is>
      </c>
      <c r="C65" s="114" t="n">
        <v>1</v>
      </c>
      <c r="D65" s="114" t="inlineStr">
        <is>
          <t>Adriano Pereira Guedes</t>
        </is>
      </c>
      <c r="E65" s="119" t="inlineStr">
        <is>
          <t>Enviado</t>
        </is>
      </c>
      <c r="F65" s="114" t="inlineStr">
        <is>
          <t>15/04/2025</t>
        </is>
      </c>
      <c r="G65" s="116" t="inlineStr">
        <is>
          <t>Não</t>
        </is>
      </c>
      <c r="H65" s="114" t="n"/>
      <c r="I65" s="114" t="n"/>
      <c r="J65" s="114" t="inlineStr">
        <is>
          <t>Não</t>
        </is>
      </c>
      <c r="K65" s="114" t="n"/>
    </row>
    <row r="66">
      <c r="A66" s="113" t="inlineStr">
        <is>
          <t>Gabriel</t>
        </is>
      </c>
      <c r="B66" s="114" t="inlineStr">
        <is>
          <t>Toledo</t>
        </is>
      </c>
      <c r="C66" s="114" t="n">
        <v>1</v>
      </c>
      <c r="D66" s="114" t="inlineStr">
        <is>
          <t xml:space="preserve">Suzana Cristina de Almeida </t>
        </is>
      </c>
      <c r="E66" s="119" t="inlineStr">
        <is>
          <t>Enviado</t>
        </is>
      </c>
      <c r="F66" s="114" t="inlineStr">
        <is>
          <t>29/07/2025</t>
        </is>
      </c>
      <c r="G66" s="124" t="inlineStr">
        <is>
          <t>Sim</t>
        </is>
      </c>
      <c r="H66" s="114" t="n"/>
      <c r="I66" s="114" t="inlineStr">
        <is>
          <t>ID5079</t>
        </is>
      </c>
      <c r="J66" s="114" t="inlineStr">
        <is>
          <t>Sim</t>
        </is>
      </c>
      <c r="K66" s="114" t="inlineStr">
        <is>
          <t>Deletado 5079</t>
        </is>
      </c>
    </row>
    <row r="67">
      <c r="A67" s="117" t="inlineStr">
        <is>
          <t>Bianca</t>
        </is>
      </c>
      <c r="B67" s="127" t="inlineStr">
        <is>
          <t>Tres Barras do Parana</t>
        </is>
      </c>
      <c r="C67" s="114" t="n">
        <v>1</v>
      </c>
      <c r="D67" s="114" t="inlineStr">
        <is>
          <t>Alice Cristiane Zancheta</t>
        </is>
      </c>
      <c r="E67" s="119" t="inlineStr">
        <is>
          <t>Enviado</t>
        </is>
      </c>
      <c r="F67" s="114" t="inlineStr">
        <is>
          <t>25/11/2025</t>
        </is>
      </c>
      <c r="G67" s="116" t="inlineStr">
        <is>
          <t>Não</t>
        </is>
      </c>
      <c r="H67" s="114" t="n"/>
      <c r="I67" s="114" t="n"/>
      <c r="J67" s="114" t="inlineStr">
        <is>
          <t>Não</t>
        </is>
      </c>
      <c r="K67" s="114" t="n"/>
    </row>
    <row r="68">
      <c r="A68" s="118" t="inlineStr">
        <is>
          <t>Gustavo</t>
        </is>
      </c>
      <c r="B68" s="114" t="inlineStr">
        <is>
          <t>Tupassi</t>
        </is>
      </c>
      <c r="C68" s="114" t="n">
        <v>1</v>
      </c>
      <c r="D68" s="114" t="inlineStr">
        <is>
          <t>Fernanda kaezer de Godoy</t>
        </is>
      </c>
      <c r="E68" s="119" t="inlineStr">
        <is>
          <t>Enviado</t>
        </is>
      </c>
      <c r="F68" s="114" t="inlineStr">
        <is>
          <t>06/03/2025</t>
        </is>
      </c>
      <c r="G68" s="116" t="inlineStr">
        <is>
          <t>Não</t>
        </is>
      </c>
      <c r="H68" s="114" t="n"/>
      <c r="I68" s="114" t="n"/>
      <c r="J68" s="114" t="inlineStr">
        <is>
          <t>Não</t>
        </is>
      </c>
      <c r="K68" s="114" t="n"/>
    </row>
    <row r="69">
      <c r="A69" s="118" t="inlineStr">
        <is>
          <t>Gustavo</t>
        </is>
      </c>
      <c r="B69" s="114" t="inlineStr">
        <is>
          <t>Ubirata</t>
        </is>
      </c>
      <c r="C69" s="114" t="n">
        <v>1</v>
      </c>
      <c r="D69" s="114" t="inlineStr">
        <is>
          <t xml:space="preserve">Ademir Papini Júnior </t>
        </is>
      </c>
      <c r="E69" s="119" t="inlineStr">
        <is>
          <t>Enviado</t>
        </is>
      </c>
      <c r="F69" s="114" t="inlineStr">
        <is>
          <t>16/04/2025</t>
        </is>
      </c>
      <c r="G69" s="116" t="inlineStr">
        <is>
          <t>Não</t>
        </is>
      </c>
      <c r="H69" s="114" t="n"/>
      <c r="I69" s="114" t="n"/>
      <c r="J69" s="114" t="inlineStr">
        <is>
          <t>Não</t>
        </is>
      </c>
      <c r="K69" s="114" t="n"/>
    </row>
    <row r="70">
      <c r="A70" s="121" t="inlineStr">
        <is>
          <t>Luana</t>
        </is>
      </c>
      <c r="B70" s="114" t="inlineStr">
        <is>
          <t>Vera Cruz do Oeste</t>
        </is>
      </c>
      <c r="C70" s="114" t="n">
        <v>1</v>
      </c>
      <c r="D70" s="114" t="inlineStr">
        <is>
          <t>Heloísa Maria Beloni Insenha</t>
        </is>
      </c>
      <c r="E70" s="119" t="inlineStr">
        <is>
          <t>Enviado</t>
        </is>
      </c>
      <c r="F70" s="114" t="inlineStr">
        <is>
          <t>31/03/2025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7" customWidth="1" min="6" max="6"/>
    <col width="27" customWidth="1" min="7" max="7"/>
    <col width="149" customWidth="1" min="8" max="8"/>
    <col width="111"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21/03/2025</t>
        </is>
      </c>
      <c r="G2" s="124" t="inlineStr">
        <is>
          <t>Sim</t>
        </is>
      </c>
      <c r="H2" s="114" t="inlineStr">
        <is>
          <t>revisar salário total (dificil dar valor inteiro)</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10/03/2025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20/03/2025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18/03/2025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10/03/2025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11/03/2025</t>
        </is>
      </c>
      <c r="G8" s="116" t="inlineStr">
        <is>
          <t>Não</t>
        </is>
      </c>
      <c r="H8" s="114" t="n"/>
      <c r="I8" s="114" t="n"/>
      <c r="J8" s="114" t="inlineStr">
        <is>
          <t>Não</t>
        </is>
      </c>
      <c r="K8" s="114" t="n"/>
    </row>
    <row r="9" ht="28.5"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10/03/2025</t>
        </is>
      </c>
      <c r="G9" s="124" t="inlineStr">
        <is>
          <t>Sim</t>
        </is>
      </c>
      <c r="H9" s="129" t="inlineStr">
        <is>
          <t>Receita de venda da pág 2 não coincide com pág 4 (ou pág 8)
Despesas de operação e de manutenção da pág 2 não coincidem com as lançadas na pág 6</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26" t="inlineStr">
        <is>
          <t>Duplicado</t>
        </is>
      </c>
      <c r="F10" s="114" t="inlineStr">
        <is>
          <t>25/11/2025, 05/03/2025</t>
        </is>
      </c>
      <c r="G10" s="116" t="inlineStr">
        <is>
          <t>Não</t>
        </is>
      </c>
      <c r="H10" s="114" t="inlineStr">
        <is>
          <t>Despesas de operação pág 2 e 6 não coincidem</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17/06/2025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11/04/2025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5" t="inlineStr">
        <is>
          <t>Atrasado &gt;= 2</t>
        </is>
      </c>
      <c r="F14" s="114" t="n"/>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13/05/2025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22/04/2025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07/03/2025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05/08/2025</t>
        </is>
      </c>
      <c r="G18" s="124" t="inlineStr">
        <is>
          <t>Sim</t>
        </is>
      </c>
      <c r="H18" s="114" t="inlineStr">
        <is>
          <t xml:space="preserve">Editei o item convenio para contrato, mas ainda não as despesas não estão batendo. </t>
        </is>
      </c>
      <c r="I18" s="114" t="inlineStr">
        <is>
          <t>Deletar o formulário 02/2025 enviado no dia 07/03- porque ele foi mandado no fomarto simplificado (ID4313)</t>
        </is>
      </c>
      <c r="J18" s="114" t="inlineStr">
        <is>
          <t>Sim</t>
        </is>
      </c>
      <c r="K18" s="114" t="inlineStr">
        <is>
          <t>Deletado 4313</t>
        </is>
      </c>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09/04/2025</t>
        </is>
      </c>
      <c r="G19" s="124" t="inlineStr">
        <is>
          <t>Sim</t>
        </is>
      </c>
      <c r="H19" s="114" t="inlineStr">
        <is>
          <t>Falta preencher o Fundo de cx das pág 2 e 6</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18/03/2025</t>
        </is>
      </c>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13/03/2025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27/03/2025</t>
        </is>
      </c>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13/03/2025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11/03/2025</t>
        </is>
      </c>
      <c r="G26" s="124" t="inlineStr">
        <is>
          <t>Sim</t>
        </is>
      </c>
      <c r="H26" s="114" t="inlineStr">
        <is>
          <t>corrigir aba 2, aba 5 e aba 8</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10/03/2025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06/03/2025</t>
        </is>
      </c>
      <c r="G28" s="124" t="inlineStr">
        <is>
          <t>Sim</t>
        </is>
      </c>
      <c r="H28" s="114" t="inlineStr">
        <is>
          <t>excluir ID</t>
        </is>
      </c>
      <c r="I28" s="114" t="inlineStr">
        <is>
          <t>ID5168</t>
        </is>
      </c>
      <c r="J28" s="114" t="inlineStr">
        <is>
          <t>Sim</t>
        </is>
      </c>
      <c r="K28" s="114" t="inlineStr">
        <is>
          <t>Deletado 5168</t>
        </is>
      </c>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11/03/2025</t>
        </is>
      </c>
      <c r="G29" s="124" t="inlineStr">
        <is>
          <t>Sim</t>
        </is>
      </c>
      <c r="H29" s="114" t="inlineStr">
        <is>
          <t>corrigir aba 2, aba 5 e aba 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11/03/2025</t>
        </is>
      </c>
      <c r="G30" s="124" t="inlineStr">
        <is>
          <t>Sim</t>
        </is>
      </c>
      <c r="H30" s="114" t="inlineStr">
        <is>
          <t>Está ok</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10/03/2025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20/03/2025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25/03/2025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14/04/2025</t>
        </is>
      </c>
      <c r="G35" s="124" t="inlineStr">
        <is>
          <t>Sim</t>
        </is>
      </c>
      <c r="H35" s="114" t="inlineStr">
        <is>
          <t>ok</t>
        </is>
      </c>
      <c r="I35" s="114" t="inlineStr">
        <is>
          <t>ID4403</t>
        </is>
      </c>
      <c r="J35" s="114" t="inlineStr">
        <is>
          <t>Sim</t>
        </is>
      </c>
      <c r="K35" s="114" t="inlineStr">
        <is>
          <t>Deletado 4403</t>
        </is>
      </c>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02/04/2025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10/03/2025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19/03/2025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28/04/2025</t>
        </is>
      </c>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23/03/2025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10/03/2025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04/12/2025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5" t="inlineStr">
        <is>
          <t>Atrasado &gt;= 2</t>
        </is>
      </c>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11/03/2025</t>
        </is>
      </c>
      <c r="G45" s="124" t="inlineStr">
        <is>
          <t>Sim</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11/03/2025</t>
        </is>
      </c>
      <c r="G46" s="124" t="inlineStr">
        <is>
          <t>Sim</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11/03/2025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13/03/2025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07/04/2025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22/05/2025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19/03/2025</t>
        </is>
      </c>
      <c r="G51" s="124" t="inlineStr">
        <is>
          <t>Sim</t>
        </is>
      </c>
      <c r="H51" s="114" t="inlineStr">
        <is>
          <t>revisar rejeito, mas 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01/04/2025</t>
        </is>
      </c>
      <c r="G52" s="124" t="inlineStr">
        <is>
          <t>Sim</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03/03/2025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06/03/2025</t>
        </is>
      </c>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07/05/2025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10/04/2025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28/03/2025</t>
        </is>
      </c>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14/03/2025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10/03/2025</t>
        </is>
      </c>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12/03/2025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07/03/2025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17/03/2025</t>
        </is>
      </c>
      <c r="G62" s="124" t="inlineStr">
        <is>
          <t>Sim</t>
        </is>
      </c>
      <c r="H62" s="114" t="inlineStr">
        <is>
          <t>receita na aba 2 nao confere com a aba 8</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17/04/2025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05/03/2025</t>
        </is>
      </c>
      <c r="G64" s="124" t="inlineStr">
        <is>
          <t>Sim</t>
        </is>
      </c>
      <c r="H64" s="114" t="inlineStr">
        <is>
          <t>receita na aba 2 nao confere com a aba 8</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15/04/2025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29/07/2025</t>
        </is>
      </c>
      <c r="G66" s="124" t="inlineStr">
        <is>
          <t>Sim</t>
        </is>
      </c>
      <c r="H66" s="114" t="n"/>
      <c r="I66" s="114" t="inlineStr">
        <is>
          <t>ID5080</t>
        </is>
      </c>
      <c r="J66" s="114" t="inlineStr">
        <is>
          <t>Sim</t>
        </is>
      </c>
      <c r="K66" s="114" t="inlineStr">
        <is>
          <t>Deletado 5080</t>
        </is>
      </c>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10/03/2025</t>
        </is>
      </c>
      <c r="G67" s="124" t="inlineStr">
        <is>
          <t>Sim</t>
        </is>
      </c>
      <c r="H67" s="114" t="inlineStr">
        <is>
          <t>Despesas das pág 2 e 6 não coincidem</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10/03/2025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16/04/2025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31/03/2025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107"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09/04/2025</t>
        </is>
      </c>
      <c r="G2" s="124" t="inlineStr">
        <is>
          <t>Sim</t>
        </is>
      </c>
      <c r="H2" s="114" t="inlineStr">
        <is>
          <t>revisar valor de despesas totais (no começo, não apareceu todos)</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15/04/2025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inlineStr">
        <is>
          <t>ok</t>
        </is>
      </c>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30/04/2025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10/04/2025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09/04/2025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28/04/2025</t>
        </is>
      </c>
      <c r="G8" s="116" t="inlineStr">
        <is>
          <t>Não</t>
        </is>
      </c>
      <c r="H8" s="114" t="n"/>
      <c r="I8" s="114" t="n"/>
      <c r="J8" s="114" t="inlineStr">
        <is>
          <t>Não</t>
        </is>
      </c>
      <c r="K8" s="114" t="n"/>
    </row>
    <row r="9" ht="28.5"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10/04/2025</t>
        </is>
      </c>
      <c r="G9" s="124" t="inlineStr">
        <is>
          <t>Sim</t>
        </is>
      </c>
      <c r="H9" s="129" t="inlineStr">
        <is>
          <t>Receita da Venda não coincidem com pág 4 e 8
Despesas da pág 2 não coincidem a pág 6</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28/03/2025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14/04/2025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07/04/2025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18/04/2025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13/05/2025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10/04/2025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10/04/2025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11/04/2025</t>
        </is>
      </c>
      <c r="G18" s="124" t="inlineStr">
        <is>
          <t>Sim</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09/06/2025</t>
        </is>
      </c>
      <c r="G19" s="124" t="inlineStr">
        <is>
          <t>Sim</t>
        </is>
      </c>
      <c r="H19" s="114" t="inlineStr">
        <is>
          <t>ok</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17/04/2025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09/04/2025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03/04/2025</t>
        </is>
      </c>
      <c r="G22" s="124" t="inlineStr">
        <is>
          <t>Sim</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15/04/2025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10/04/2025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10/04/2025</t>
        </is>
      </c>
      <c r="G26" s="124" t="inlineStr">
        <is>
          <t>Sim</t>
        </is>
      </c>
      <c r="H26" s="114" t="inlineStr">
        <is>
          <t>o inss soma como despesa e aumenta o valor da despesa no final do na aba 8, nao conferindo com a aba 2</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09/04/2025</t>
        </is>
      </c>
      <c r="G27" s="124" t="inlineStr">
        <is>
          <t>Sim</t>
        </is>
      </c>
      <c r="H27" s="114" t="inlineStr">
        <is>
          <t>corrigir taxa de rejeito, esta em ton</t>
        </is>
      </c>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08/04/2025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14/04/2025</t>
        </is>
      </c>
      <c r="G29" s="124" t="inlineStr">
        <is>
          <t>Sim</t>
        </is>
      </c>
      <c r="H29" s="114" t="inlineStr">
        <is>
          <t>corrigir lançamentos de receita e despesa (nao confere aba 2 e aba 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09/04/2025</t>
        </is>
      </c>
      <c r="G30" s="124" t="inlineStr">
        <is>
          <t>Sim</t>
        </is>
      </c>
      <c r="H30" s="114" t="inlineStr">
        <is>
          <t>corrigir despesas na aba 2 e aba 8 não batem</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10/04/2025</t>
        </is>
      </c>
      <c r="G31" s="124" t="inlineStr">
        <is>
          <t>Sim</t>
        </is>
      </c>
      <c r="H31" s="114" t="inlineStr">
        <is>
          <t>despesas na aba 8 e aba 2 nao conferem</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22/04/2025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17/04/2025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14/04/2025</t>
        </is>
      </c>
      <c r="G35" s="124" t="inlineStr">
        <is>
          <t>Sim</t>
        </is>
      </c>
      <c r="H35" s="114" t="inlineStr">
        <is>
          <t>ok</t>
        </is>
      </c>
      <c r="I35" s="114" t="n">
        <v>4578</v>
      </c>
      <c r="J35" s="114" t="inlineStr">
        <is>
          <t>Sim</t>
        </is>
      </c>
      <c r="K35" s="114" t="inlineStr">
        <is>
          <t>Deletado 4578</t>
        </is>
      </c>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27/05/2025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10/04/2025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07/04/2025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02/04/2025</t>
        </is>
      </c>
      <c r="G39" s="124" t="inlineStr">
        <is>
          <t>Sim</t>
        </is>
      </c>
      <c r="H39" s="114" t="inlineStr">
        <is>
          <t xml:space="preserve">valores de despensas mencionados, porem não divididos por categoria </t>
        </is>
      </c>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20/04/2025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14/04/2025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04/12/2025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5" t="inlineStr">
        <is>
          <t>Atrasado &gt;= 2</t>
        </is>
      </c>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10/04/2025</t>
        </is>
      </c>
      <c r="G45" s="124" t="inlineStr">
        <is>
          <t>Sim</t>
        </is>
      </c>
      <c r="H45" s="114" t="inlineStr">
        <is>
          <t>corrigir despesas na aba 2 e aba 8 não batem</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01/04/2025</t>
        </is>
      </c>
      <c r="G46" s="124" t="inlineStr">
        <is>
          <t>Sim</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04/04/2025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07/04/2025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07/04/2025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22/05/2025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10/04/2025</t>
        </is>
      </c>
      <c r="G51" s="124" t="inlineStr">
        <is>
          <t>Sim</t>
        </is>
      </c>
      <c r="H51" s="114" t="inlineStr">
        <is>
          <t>revisar despesas no inicio com os valores totais</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08/04/2025</t>
        </is>
      </c>
      <c r="G52" s="124" t="inlineStr">
        <is>
          <t>Sim</t>
        </is>
      </c>
      <c r="H52" s="114" t="inlineStr">
        <is>
          <t>revisar dados, incosistentes</t>
        </is>
      </c>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29/03/2025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09/04/2025</t>
        </is>
      </c>
      <c r="G54" s="124" t="inlineStr">
        <is>
          <t>Sim</t>
        </is>
      </c>
      <c r="H54" s="114" t="inlineStr">
        <is>
          <t>valores das despesas divergêntes</t>
        </is>
      </c>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07/05/2025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23/04/2025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14/04/2025</t>
        </is>
      </c>
      <c r="G57" s="124" t="inlineStr">
        <is>
          <t>Sim</t>
        </is>
      </c>
      <c r="H57" s="114" t="inlineStr">
        <is>
          <t>valores das despesas divergêntes</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09/04/2025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11/04/2025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06/05/2025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07/04/2025</t>
        </is>
      </c>
      <c r="G61" s="124" t="inlineStr">
        <is>
          <t>Sim</t>
        </is>
      </c>
      <c r="H61" s="114" t="inlineStr">
        <is>
          <t>valor das despesas de operação divergentes</t>
        </is>
      </c>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22/04/2025</t>
        </is>
      </c>
      <c r="G62" s="124" t="inlineStr">
        <is>
          <t>Sim</t>
        </is>
      </c>
      <c r="H62" s="114" t="inlineStr">
        <is>
          <t>corrigir despesas e receita na aba 2 e aba 8 não batem</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17/04/2025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09/04/2025</t>
        </is>
      </c>
      <c r="G64" s="124" t="inlineStr">
        <is>
          <t>Sim</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08/04/2025</t>
        </is>
      </c>
      <c r="G65" s="116" t="inlineStr">
        <is>
          <t>Não</t>
        </is>
      </c>
      <c r="H65" s="114" t="n"/>
      <c r="I65" s="114" t="inlineStr">
        <is>
          <t>ID4450</t>
        </is>
      </c>
      <c r="J65" s="114" t="inlineStr">
        <is>
          <t>Sim</t>
        </is>
      </c>
      <c r="K65" s="114" t="inlineStr">
        <is>
          <t>Deletado o 4450</t>
        </is>
      </c>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13/11/2025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02/04/2025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10/04/2025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16/04/2025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24/06/2025</t>
        </is>
      </c>
      <c r="G70" s="124" t="inlineStr">
        <is>
          <t>Sim</t>
        </is>
      </c>
      <c r="H70" s="114" t="inlineStr">
        <is>
          <t>faltou completar certo as despesas</t>
        </is>
      </c>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64"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14/05/2025</t>
        </is>
      </c>
      <c r="G2" s="124" t="inlineStr">
        <is>
          <t>Sim</t>
        </is>
      </c>
      <c r="H2" s="114" t="inlineStr">
        <is>
          <t xml:space="preserve">Revisar valor do salário total </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13/05/2025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27/05/2025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14/05/2025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14/05/2025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10/05/2025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16/05/2025</t>
        </is>
      </c>
      <c r="G9" s="124" t="inlineStr">
        <is>
          <t>Sim</t>
        </is>
      </c>
      <c r="H9" s="114" t="inlineStr">
        <is>
          <t>Receita de venda e Despesas das pág 2 e 8 não coincidem</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05/05/2025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12/05/2025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09/05/2025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12/06/2025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12/05/2025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14/05/2025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09/05/2025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09/05/2025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12/05/2025</t>
        </is>
      </c>
      <c r="G18" s="124" t="inlineStr">
        <is>
          <t>Sim</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09/06/2025</t>
        </is>
      </c>
      <c r="G19" s="124" t="inlineStr">
        <is>
          <t>Sim</t>
        </is>
      </c>
      <c r="H19" s="114" t="inlineStr">
        <is>
          <t>ok</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22/05/2025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12/05/2025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20/05/2025</t>
        </is>
      </c>
      <c r="G22" s="124" t="inlineStr">
        <is>
          <t>Sim</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12/05/2025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09/05/2025</t>
        </is>
      </c>
      <c r="G26" s="124" t="inlineStr">
        <is>
          <t>Sim</t>
        </is>
      </c>
      <c r="H26" s="114" t="inlineStr">
        <is>
          <t>corrigir receita, aba 02 e aba 08 não confere</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13/05/2025</t>
        </is>
      </c>
      <c r="G27" s="124" t="inlineStr">
        <is>
          <t>Sim</t>
        </is>
      </c>
      <c r="H27" s="114" t="inlineStr">
        <is>
          <t>corrigir receita e despesa, aba 02 e aba 08 não conferem</t>
        </is>
      </c>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08/05/2025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21/05/2025</t>
        </is>
      </c>
      <c r="G29" s="124" t="inlineStr">
        <is>
          <t>Sim</t>
        </is>
      </c>
      <c r="H29" s="114" t="inlineStr">
        <is>
          <t>corrigir receita e despesa, aba 02 e aba 08 não conferem</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20/05/2025</t>
        </is>
      </c>
      <c r="G30" s="124" t="inlineStr">
        <is>
          <t>Sim</t>
        </is>
      </c>
      <c r="H30" s="114" t="n"/>
      <c r="I30" s="114" t="inlineStr">
        <is>
          <t>excluir  4790</t>
        </is>
      </c>
      <c r="J30" s="114" t="inlineStr">
        <is>
          <t>Sim</t>
        </is>
      </c>
      <c r="K30" s="114" t="inlineStr">
        <is>
          <t>Deletado 4790</t>
        </is>
      </c>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19/05/2025</t>
        </is>
      </c>
      <c r="G31" s="124" t="inlineStr">
        <is>
          <t>Sim</t>
        </is>
      </c>
      <c r="H31" s="114" t="inlineStr">
        <is>
          <t>conferir despesas da aba 02 e aba 08 não conferem</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28/05/2025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12/05/2025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12/05/2025</t>
        </is>
      </c>
      <c r="G35" s="124" t="inlineStr">
        <is>
          <t>Sim</t>
        </is>
      </c>
      <c r="H35" s="114"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27/05/2025</t>
        </is>
      </c>
      <c r="G36" s="124" t="inlineStr">
        <is>
          <t>Sim</t>
        </is>
      </c>
      <c r="H36" s="114" t="inlineStr">
        <is>
          <t>A Receita de venda da pág 2 e da pág 4 não coincidem</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13/05/2025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06/05/2025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19/05/2025</t>
        </is>
      </c>
      <c r="G39" s="124" t="inlineStr">
        <is>
          <t>Sim</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18/05/2025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20/05/2025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26/11/2025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5" t="inlineStr">
        <is>
          <t>Atrasado &gt;= 2</t>
        </is>
      </c>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08/05/2025</t>
        </is>
      </c>
      <c r="G45" s="124" t="inlineStr">
        <is>
          <t>Sim</t>
        </is>
      </c>
      <c r="H45" s="114" t="inlineStr">
        <is>
          <t>conferir despesas e receita da aba 02 e aba 08 não conferem</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09/05/2025</t>
        </is>
      </c>
      <c r="G46" s="124" t="inlineStr">
        <is>
          <t>Sim</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22/05/2025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07/05/2025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21/05/2025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23/05/2025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13/05/2025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07/05/2025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02/05/2025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05/05/2025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27/05/2025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03/06/2025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16/05/2025</t>
        </is>
      </c>
      <c r="G57" s="124" t="inlineStr">
        <is>
          <t>Sim</t>
        </is>
      </c>
      <c r="H57" s="114" t="inlineStr">
        <is>
          <t>Valores das despesas não batem</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08/05/2025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13/05/2025</t>
        </is>
      </c>
      <c r="G59" s="124" t="inlineStr">
        <is>
          <t>Sim</t>
        </is>
      </c>
      <c r="H59" s="114" t="inlineStr">
        <is>
          <t>Valores das despesas não batem</t>
        </is>
      </c>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21/05/2025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11/05/2025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06/05/2025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21/05/2025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06/05/2025</t>
        </is>
      </c>
      <c r="G64" s="124" t="inlineStr">
        <is>
          <t>Sim</t>
        </is>
      </c>
      <c r="H64" s="114" t="inlineStr">
        <is>
          <t>corrigir despesas aba 02 e aba 08 não confere</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12/05/2025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29/07/2025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09/05/2025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07/05/2025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12/08/2025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24/04/2025</t>
        </is>
      </c>
      <c r="G70" s="124" t="inlineStr">
        <is>
          <t>Sim</t>
        </is>
      </c>
      <c r="H70" s="114" t="inlineStr">
        <is>
          <t xml:space="preserve">incompleto </t>
        </is>
      </c>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139"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17/06/2025</t>
        </is>
      </c>
      <c r="G2" s="124" t="inlineStr">
        <is>
          <t>Sim</t>
        </is>
      </c>
      <c r="H2" s="114" t="inlineStr">
        <is>
          <t>valor do salário médio, já não tinha nota fiscal? se tiver temos que adicionar no envio</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09/06/2025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17/11/2025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23/06/2025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10/06/2025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13/06/2025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11/06/2025</t>
        </is>
      </c>
      <c r="G8" s="116" t="inlineStr">
        <is>
          <t>Não</t>
        </is>
      </c>
      <c r="H8" s="114" t="n"/>
      <c r="I8" s="114" t="n"/>
      <c r="J8" s="114" t="inlineStr">
        <is>
          <t>Não</t>
        </is>
      </c>
      <c r="K8" s="114" t="n"/>
    </row>
    <row r="9" ht="28.5"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11/06/2025</t>
        </is>
      </c>
      <c r="G9" s="124" t="inlineStr">
        <is>
          <t>Sim</t>
        </is>
      </c>
      <c r="H9" s="129" t="inlineStr">
        <is>
          <t>Receita de venda pág 2 não coincide com a pág 4 (ou pág 8)
Despesas de operação e de manutenção não coincidem com as lançadas na pág 6</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03/06/2025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11/06/2025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11/06/2025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17/06/2025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12/06/2025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07/07/2025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10/07/2025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09/06/2025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03/06/2025</t>
        </is>
      </c>
      <c r="G18" s="124" t="inlineStr">
        <is>
          <t>Sim</t>
        </is>
      </c>
      <c r="H18" s="114" t="inlineStr">
        <is>
          <t xml:space="preserve">o valor de manunteção foi colocado em operação - corrigido </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23/07/2025</t>
        </is>
      </c>
      <c r="G19" s="124" t="inlineStr">
        <is>
          <t>Sim</t>
        </is>
      </c>
      <c r="H19" s="114" t="inlineStr">
        <is>
          <t>ok</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26/06/2025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16/06/2025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04/06/2025</t>
        </is>
      </c>
      <c r="G22" s="124" t="inlineStr">
        <is>
          <t>Sim</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06/06/2025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10/06/2025</t>
        </is>
      </c>
      <c r="G25" s="124" t="inlineStr">
        <is>
          <t>Sim</t>
        </is>
      </c>
      <c r="H25" s="114" t="inlineStr">
        <is>
          <t>Faltou o preenchimento da despesa da operação/manutenção na aba 02</t>
        </is>
      </c>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11/06/2025</t>
        </is>
      </c>
      <c r="G26" s="124" t="inlineStr">
        <is>
          <t>Sim</t>
        </is>
      </c>
      <c r="H26" s="114" t="inlineStr">
        <is>
          <t>corrigir despesa da operação, está errada, nao confere com aba 02</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09/06/2025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10/06/2025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17/06/2025</t>
        </is>
      </c>
      <c r="G29" s="124" t="inlineStr">
        <is>
          <t>Sim</t>
        </is>
      </c>
      <c r="H29" s="114" t="inlineStr">
        <is>
          <t>corrigir despesas e receita, não confere aba 02 e aba 08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19/08/2025</t>
        </is>
      </c>
      <c r="G30" s="124" t="inlineStr">
        <is>
          <t>Sim</t>
        </is>
      </c>
      <c r="H30" s="114" t="inlineStr">
        <is>
          <t>corrigir despesas e receita, não confere aba 02 e aba 08</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10/06/2025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16/07/2025</t>
        </is>
      </c>
      <c r="G32" s="124" t="inlineStr">
        <is>
          <t>Sim</t>
        </is>
      </c>
      <c r="H32" s="114" t="inlineStr">
        <is>
          <t>Nas despesas, na aba 8 nao confere com aba 2, faltam 2.000,00</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17/06/2025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13/06/2025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11/07/2025</t>
        </is>
      </c>
      <c r="G35" s="124" t="inlineStr">
        <is>
          <t>Sim</t>
        </is>
      </c>
      <c r="H35" s="114" t="inlineStr">
        <is>
          <t>ok</t>
        </is>
      </c>
      <c r="I35" s="114" t="inlineStr">
        <is>
          <t>ID4918</t>
        </is>
      </c>
      <c r="J35" s="114" t="inlineStr">
        <is>
          <t>Sim</t>
        </is>
      </c>
      <c r="K35" s="114" t="inlineStr">
        <is>
          <t>Deletado o 4918</t>
        </is>
      </c>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24/06/2025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09/06/2025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11/06/2025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inlineStr">
        <is>
          <t xml:space="preserve">Foi solicitado o envio </t>
        </is>
      </c>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10/06/2025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11/06/2025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04/06/2025</t>
        </is>
      </c>
      <c r="G42" s="124" t="inlineStr">
        <is>
          <t>Sim</t>
        </is>
      </c>
      <c r="H42" s="114" t="inlineStr">
        <is>
          <t>Valores de despesas não batem</t>
        </is>
      </c>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5" t="inlineStr">
        <is>
          <t>Atrasado &gt;= 2</t>
        </is>
      </c>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13/11/2025</t>
        </is>
      </c>
      <c r="G44" s="124" t="inlineStr">
        <is>
          <t>Sim</t>
        </is>
      </c>
      <c r="H44" s="114" t="inlineStr">
        <is>
          <t>ok</t>
        </is>
      </c>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09/06/2025</t>
        </is>
      </c>
      <c r="G45" s="124" t="inlineStr">
        <is>
          <t>Sim</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02/06/2025</t>
        </is>
      </c>
      <c r="G46" s="124" t="inlineStr">
        <is>
          <t>Sim</t>
        </is>
      </c>
      <c r="H46" s="114" t="inlineStr">
        <is>
          <t>está faltando 400,00 na aba 08 das despesas (diferença do valor declarado na aba 02)</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16/06/2025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05/06/2025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10/07/2025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08/07/2025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12/06/2025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09/06/2025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03/06/2025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10/06/2025</t>
        </is>
      </c>
      <c r="G54" s="124" t="inlineStr">
        <is>
          <t>Sim</t>
        </is>
      </c>
      <c r="H54" s="114" t="inlineStr">
        <is>
          <t>Valores de despesas não batem</t>
        </is>
      </c>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18/06/2025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12/06/2025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13/06/2025</t>
        </is>
      </c>
      <c r="G57" s="124" t="inlineStr">
        <is>
          <t>Sim</t>
        </is>
      </c>
      <c r="H57" s="114" t="inlineStr">
        <is>
          <t>valores de receita e despesas não batem</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13/06/2025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23/07/2025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11/06/2025</t>
        </is>
      </c>
      <c r="G60" s="124" t="inlineStr">
        <is>
          <t>Sim</t>
        </is>
      </c>
      <c r="H60" s="114" t="inlineStr">
        <is>
          <t>Nã receita está faltando +/- 1000,00 do valor declarado na aba 2 e aba 8, nas despesas está faltando 30,00</t>
        </is>
      </c>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12/06/2025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05/06/2025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17/06/2025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18/06/2025</t>
        </is>
      </c>
      <c r="G64" s="124" t="inlineStr">
        <is>
          <t>Sim</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11/06/2025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30/07/2025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09/06/2025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10/06/2025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12/08/2025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27/06/2025</t>
        </is>
      </c>
      <c r="G70" s="124" t="inlineStr">
        <is>
          <t>Sim</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138" customWidth="1" min="8" max="8"/>
    <col width="34" customWidth="1" min="9" max="9"/>
    <col width="25" customWidth="1" min="10" max="10"/>
    <col width="35"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18/07/2025</t>
        </is>
      </c>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30/06/2025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17/07/2025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07/07/2025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09/07/2025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17/07/2025</t>
        </is>
      </c>
      <c r="G8" s="116" t="inlineStr">
        <is>
          <t>Não</t>
        </is>
      </c>
      <c r="H8" s="114" t="n"/>
      <c r="I8" s="114" t="n"/>
      <c r="J8" s="114" t="inlineStr">
        <is>
          <t>Não</t>
        </is>
      </c>
      <c r="K8" s="114" t="n"/>
    </row>
    <row r="9" ht="28.5"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11/07/2025</t>
        </is>
      </c>
      <c r="G9" s="124" t="inlineStr">
        <is>
          <t>Sim</t>
        </is>
      </c>
      <c r="H9" s="129" t="inlineStr">
        <is>
          <t>Falta a inclusão da NF
Receita venda materias pág 2 e 8 não coincidem</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02/07/2025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10/07/2025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10/07/2025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09/07/2025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10/07/2025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26/08/2025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23/07/2025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09/07/2025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04/07/2025</t>
        </is>
      </c>
      <c r="G18" s="124" t="inlineStr">
        <is>
          <t>Sim</t>
        </is>
      </c>
      <c r="H18" s="114" t="inlineStr">
        <is>
          <t>ok</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23/07/2025</t>
        </is>
      </c>
      <c r="G19" s="124" t="inlineStr">
        <is>
          <t>Sim</t>
        </is>
      </c>
      <c r="H19" s="129" t="inlineStr">
        <is>
          <t>ok</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22/07/2025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10/07/2025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08/07/2025</t>
        </is>
      </c>
      <c r="G22" s="124" t="inlineStr">
        <is>
          <t>Sim</t>
        </is>
      </c>
      <c r="H22" s="114" t="inlineStr">
        <is>
          <t>ok</t>
        </is>
      </c>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07/07/2025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09/07/2025</t>
        </is>
      </c>
      <c r="G26" s="124" t="inlineStr">
        <is>
          <t>Sim</t>
        </is>
      </c>
      <c r="H26" s="114" t="inlineStr">
        <is>
          <t>não confere o valor da receita e desesa da aba 2 e aba 8 (valor de despesa muito alto); vallor do contrato foi preenchido em convenio</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07/07/2025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16/07/2025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20/08/2025</t>
        </is>
      </c>
      <c r="G29" s="124" t="inlineStr">
        <is>
          <t>Sim</t>
        </is>
      </c>
      <c r="H29" s="114" t="inlineStr">
        <is>
          <t>receita nao confere, da aba 2 para aba 8 faltam +/-2000,00</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13/11/2025</t>
        </is>
      </c>
      <c r="G30" s="124" t="inlineStr">
        <is>
          <t>Sim</t>
        </is>
      </c>
      <c r="H30" s="114" t="inlineStr">
        <is>
          <t>corrigir valor mensal do contrato</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12/07/2025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20/07/2025</t>
        </is>
      </c>
      <c r="G32" s="124" t="inlineStr">
        <is>
          <t>Sim</t>
        </is>
      </c>
      <c r="H32" s="114" t="inlineStr">
        <is>
          <t>Nas despesas da aba 02 para aba 8 está faltando +/-1.800,00</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17/07/2025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23/07/2025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16/07/2025</t>
        </is>
      </c>
      <c r="G35" s="124" t="inlineStr">
        <is>
          <t>Sim</t>
        </is>
      </c>
      <c r="H35" s="114" t="inlineStr">
        <is>
          <t>ok</t>
        </is>
      </c>
      <c r="I35" s="114" t="inlineStr">
        <is>
          <t>ID5001</t>
        </is>
      </c>
      <c r="J35" s="114" t="inlineStr">
        <is>
          <t>Sim</t>
        </is>
      </c>
      <c r="K35" s="114" t="inlineStr">
        <is>
          <t>Deletado o 5001</t>
        </is>
      </c>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17/07/2025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09/07/2025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11/07/2025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16/07/2025</t>
        </is>
      </c>
      <c r="G39" s="124" t="inlineStr">
        <is>
          <t>Sim</t>
        </is>
      </c>
      <c r="H39" s="114" t="inlineStr">
        <is>
          <t xml:space="preserve">Corrigido </t>
        </is>
      </c>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10/09/2025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15/07/2025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15/07/2025</t>
        </is>
      </c>
      <c r="G42" s="124" t="inlineStr">
        <is>
          <t>Sim</t>
        </is>
      </c>
      <c r="H42" s="114" t="inlineStr">
        <is>
          <t>ok</t>
        </is>
      </c>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09/07/2025</t>
        </is>
      </c>
      <c r="G43" s="124" t="inlineStr">
        <is>
          <t>Sim</t>
        </is>
      </c>
      <c r="H43" s="114" t="inlineStr">
        <is>
          <t xml:space="preserve">O valor das despensa inicial não bate com a final </t>
        </is>
      </c>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08/07/2025</t>
        </is>
      </c>
      <c r="G45" s="124" t="inlineStr">
        <is>
          <t>Sim</t>
        </is>
      </c>
      <c r="H45" s="114" t="inlineStr">
        <is>
          <t>aba 02 e aba 08 receitas e despesas nao conferem</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04/07/2025</t>
        </is>
      </c>
      <c r="G46" s="124" t="inlineStr">
        <is>
          <t>Sim</t>
        </is>
      </c>
      <c r="H46" s="114" t="inlineStr">
        <is>
          <t>não incluiu as NFe de vendas</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07/07/2025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07/07/2025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10/07/2025</t>
        </is>
      </c>
      <c r="G49" s="124" t="inlineStr">
        <is>
          <t>Sim</t>
        </is>
      </c>
      <c r="H49" s="114" t="inlineStr">
        <is>
          <t xml:space="preserve">preenchimento ok </t>
        </is>
      </c>
      <c r="I49" s="114" t="inlineStr">
        <is>
          <t>ID5016; ID5014; ID4814</t>
        </is>
      </c>
      <c r="J49" s="114" t="inlineStr">
        <is>
          <t>Sim</t>
        </is>
      </c>
      <c r="K49" s="114" t="inlineStr">
        <is>
          <t>Deletados os 4814, 5014 e 5016</t>
        </is>
      </c>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10/07/2025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17/07/2025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08/07/2025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02/07/2025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04/07/2025</t>
        </is>
      </c>
      <c r="G54" s="124" t="inlineStr">
        <is>
          <t>Sim</t>
        </is>
      </c>
      <c r="H54" s="114" t="inlineStr">
        <is>
          <t>ok</t>
        </is>
      </c>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15/07/2025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15/07/2025</t>
        </is>
      </c>
      <c r="G56" s="124" t="inlineStr">
        <is>
          <t>Sim</t>
        </is>
      </c>
      <c r="H56" s="114" t="inlineStr">
        <is>
          <t>ok</t>
        </is>
      </c>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28/07/2025</t>
        </is>
      </c>
      <c r="G57" s="124" t="inlineStr">
        <is>
          <t>Sim</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14/07/2025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24/07/2025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15/07/2025</t>
        </is>
      </c>
      <c r="G60" s="124" t="inlineStr">
        <is>
          <t>Sim</t>
        </is>
      </c>
      <c r="H60" s="114" t="inlineStr">
        <is>
          <t>valor da despesa nao confere da aba 02 com aba 08</t>
        </is>
      </c>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18/07/2025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11/07/2025</t>
        </is>
      </c>
      <c r="G62" s="124" t="inlineStr">
        <is>
          <t>Sim</t>
        </is>
      </c>
      <c r="H62" s="114" t="inlineStr">
        <is>
          <t>despesas da aba 02 e aba 8 nao conferem, faltam 2000,00</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10/07/2025</t>
        </is>
      </c>
      <c r="G63" s="124" t="inlineStr">
        <is>
          <t>Sim</t>
        </is>
      </c>
      <c r="H63" s="114" t="inlineStr">
        <is>
          <t>ok</t>
        </is>
      </c>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23/07/2025</t>
        </is>
      </c>
      <c r="G64" s="124" t="inlineStr">
        <is>
          <t>Sim</t>
        </is>
      </c>
      <c r="H64" s="114" t="inlineStr">
        <is>
          <t>despesas e receita nao conferem (aba 2 e aba 8)</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30/06/2025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29/07/2025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10/07/2025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09/07/2025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12/08/2025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11/07/2025</t>
        </is>
      </c>
      <c r="G70" s="124" t="inlineStr">
        <is>
          <t>Sim</t>
        </is>
      </c>
      <c r="H70" s="114" t="inlineStr">
        <is>
          <t>Valor das despesas alto (verificar com a responsável técnica)</t>
        </is>
      </c>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6" customWidth="1" min="5" max="5"/>
    <col width="27" customWidth="1" min="6" max="6"/>
    <col width="27" customWidth="1" min="7" max="7"/>
    <col width="185"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13/08/2025</t>
        </is>
      </c>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04/08/2025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18/08/2025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08/08/2025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07/08/2025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04/08/2025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11/08/2025</t>
        </is>
      </c>
      <c r="G9" s="124" t="inlineStr">
        <is>
          <t>Sim</t>
        </is>
      </c>
      <c r="H9" s="114" t="inlineStr">
        <is>
          <t>ok</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04/08/2025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10/08/2025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08/08/2025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11/08/2025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10/08/2025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20/08/2025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15/08/2025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08/08/2025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04/08/2025</t>
        </is>
      </c>
      <c r="G18" s="124" t="inlineStr">
        <is>
          <t>Sim</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24/09/2025</t>
        </is>
      </c>
      <c r="G19" s="124" t="inlineStr">
        <is>
          <t>Sim</t>
        </is>
      </c>
      <c r="H19" s="114" t="inlineStr">
        <is>
          <t xml:space="preserve">ok </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25/08/2025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11/08/2025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11/08/2025</t>
        </is>
      </c>
      <c r="G22" s="124" t="inlineStr">
        <is>
          <t>Sim</t>
        </is>
      </c>
      <c r="H22" s="114" t="inlineStr">
        <is>
          <t>ok*</t>
        </is>
      </c>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26" t="inlineStr">
        <is>
          <t>Duplicado</t>
        </is>
      </c>
      <c r="F23" s="114" t="inlineStr">
        <is>
          <t>04/08/2025, 01/09/2025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11/08/2025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15/09/2025</t>
        </is>
      </c>
      <c r="G26" s="124" t="inlineStr">
        <is>
          <t>Sim</t>
        </is>
      </c>
      <c r="H26" s="114" t="inlineStr">
        <is>
          <t>Lançamento do valor do contrato em convenio; valor da receita de venda da aba 02 nao confere com aba 08; despesas nao conferem da aba 02 e aba 08; lançamento do rejeito está errado</t>
        </is>
      </c>
      <c r="I26" s="114" t="inlineStr">
        <is>
          <t>ID5170</t>
        </is>
      </c>
      <c r="J26" s="114" t="inlineStr">
        <is>
          <t>Sim</t>
        </is>
      </c>
      <c r="K26" s="114" t="inlineStr">
        <is>
          <t>Deletado 5170</t>
        </is>
      </c>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06/08/2025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08/08/2025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20/08/2025</t>
        </is>
      </c>
      <c r="G29" s="124" t="inlineStr">
        <is>
          <t>Sim</t>
        </is>
      </c>
      <c r="H29" s="114" t="inlineStr">
        <is>
          <t>valor da receita da aba 02 nao confere com aba 08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13/11/2025</t>
        </is>
      </c>
      <c r="G30" s="124" t="inlineStr">
        <is>
          <t>Sim</t>
        </is>
      </c>
      <c r="H30" s="114" t="inlineStr">
        <is>
          <t>corrigir valor de contrato</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08/08/2025</t>
        </is>
      </c>
      <c r="G31" s="124" t="inlineStr">
        <is>
          <t>Sim</t>
        </is>
      </c>
      <c r="H31" s="114" t="inlineStr">
        <is>
          <t>Despesas pág 2 e 8 não coincidem</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13/08/2025</t>
        </is>
      </c>
      <c r="G32" s="124" t="inlineStr">
        <is>
          <t>Sim</t>
        </is>
      </c>
      <c r="H32" s="114" t="inlineStr">
        <is>
          <t>Faltou declaração das despesas na aba 02</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13/08/2025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20/08/2025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06/08/2025</t>
        </is>
      </c>
      <c r="G35" s="124" t="inlineStr">
        <is>
          <t>Sim</t>
        </is>
      </c>
      <c r="H35" s="114"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13/08/2025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11/08/2025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11/08/2025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04/09/2025</t>
        </is>
      </c>
      <c r="G39" s="124" t="inlineStr">
        <is>
          <t>Sim</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10/09/2025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11/08/2025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06/08/2025</t>
        </is>
      </c>
      <c r="G42" s="124" t="inlineStr">
        <is>
          <t>Sim</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13/08/2025</t>
        </is>
      </c>
      <c r="G43" s="124" t="inlineStr">
        <is>
          <t>Sim</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13/11/2025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05/08/2025</t>
        </is>
      </c>
      <c r="G45" s="124" t="inlineStr">
        <is>
          <t>Sim</t>
        </is>
      </c>
      <c r="H45" s="114" t="inlineStr">
        <is>
          <t>valor da receita e despesa da aba 02 nao confere com aba 08</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04/08/2025</t>
        </is>
      </c>
      <c r="G46" s="124" t="inlineStr">
        <is>
          <t>Sim</t>
        </is>
      </c>
      <c r="H46" s="114" t="inlineStr">
        <is>
          <t>Não foram lançadas as NFe de venda</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29/10/2025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12/08/2025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05/08/2025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26/08/2025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11/08/2025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01/08/2025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04/08/2025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05/08/2025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12/08/2025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12/08/2025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12/08/2025</t>
        </is>
      </c>
      <c r="G57" s="124" t="inlineStr">
        <is>
          <t>Sim</t>
        </is>
      </c>
      <c r="H57" s="114" t="inlineStr">
        <is>
          <t>ok*</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11/08/2025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18/08/2025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18/08/2025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13/08/2025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12/08/2025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10/08/2025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20/08/2025</t>
        </is>
      </c>
      <c r="G64" s="124" t="inlineStr">
        <is>
          <t>Sim</t>
        </is>
      </c>
      <c r="H64" s="114" t="inlineStr">
        <is>
          <t>Receita declarada na aba 02 nao confere com aba 08- faltam +/- 2000,00</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08/08/2025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13/11/2025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14/08/2025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07/08/2025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20/08/2025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16/09/2025</t>
        </is>
      </c>
      <c r="G70" s="124" t="inlineStr">
        <is>
          <t>Sim</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142"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16/09/2025</t>
        </is>
      </c>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03/09/2025</t>
        </is>
      </c>
      <c r="G3" s="124" t="inlineStr">
        <is>
          <t>Sim</t>
        </is>
      </c>
      <c r="H3" s="114" t="inlineStr">
        <is>
          <t>Receita de vendas pág 2 e 8 (ou pag 4) não coincidem</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17/11/2025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06/09/2025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16/09/2025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09/09/2025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04/09/2025</t>
        </is>
      </c>
      <c r="G8" s="116" t="inlineStr">
        <is>
          <t>Não</t>
        </is>
      </c>
      <c r="H8" s="114" t="n"/>
      <c r="I8" s="114" t="n"/>
      <c r="J8" s="114" t="inlineStr">
        <is>
          <t>Não</t>
        </is>
      </c>
      <c r="K8" s="114" t="n"/>
    </row>
    <row r="9" ht="42"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10/09/2025</t>
        </is>
      </c>
      <c r="G9" s="124" t="inlineStr">
        <is>
          <t>Sim</t>
        </is>
      </c>
      <c r="H9" s="129" t="inlineStr">
        <is>
          <t>Incluir NF venda
Receita venda recicláveis pág 2 e 8 não coincidem
Despesas de operação pág 2 e 6 não coincidem</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02/09/2025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10/09/2025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09/09/2025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10/09/2025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10/09/2025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14/10/2025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10/09/2025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08/09/2025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11/09/2025</t>
        </is>
      </c>
      <c r="G18" s="124" t="inlineStr">
        <is>
          <t>Sim</t>
        </is>
      </c>
      <c r="H18" s="114" t="n"/>
      <c r="I18" s="114" t="n"/>
      <c r="J18" s="114" t="inlineStr">
        <is>
          <t>Não</t>
        </is>
      </c>
      <c r="K18" s="114" t="n"/>
    </row>
    <row r="19" ht="28.5" customHeight="1">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03/11/2025</t>
        </is>
      </c>
      <c r="G19" s="124" t="inlineStr">
        <is>
          <t>Sim</t>
        </is>
      </c>
      <c r="H19" s="129" t="inlineStr">
        <is>
          <t>Receita de vendas pág 2 e 8 (ou pag 4) não coincidem
Despesas de manutenção pág 2 e 6 não coincidem</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26/09/2025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09/09/2025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03/09/2025</t>
        </is>
      </c>
      <c r="G22" s="124" t="inlineStr">
        <is>
          <t>Sim</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20/08/2025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19" t="inlineStr">
        <is>
          <t>Enviado</t>
        </is>
      </c>
      <c r="F24" s="114" t="inlineStr">
        <is>
          <t>05/09/2025</t>
        </is>
      </c>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05/09/2025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08/09/2025</t>
        </is>
      </c>
      <c r="G26" s="124" t="inlineStr">
        <is>
          <t>Sim</t>
        </is>
      </c>
      <c r="H26" s="114" t="inlineStr">
        <is>
          <t>corrigir para contrato em vez de convenio</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05/09/2025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10/09/2025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15/11/2025</t>
        </is>
      </c>
      <c r="G29" s="124" t="inlineStr">
        <is>
          <t>Sim</t>
        </is>
      </c>
      <c r="H29" s="114" t="inlineStr">
        <is>
          <t>corrigir valores aba 2 e aba 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24/11/2025</t>
        </is>
      </c>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15/09/2025</t>
        </is>
      </c>
      <c r="G31" s="124" t="inlineStr">
        <is>
          <t>Sim</t>
        </is>
      </c>
      <c r="H31" s="114" t="inlineStr">
        <is>
          <t>corrigir despesas de operação e manutenção faltantes</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18/11/2025</t>
        </is>
      </c>
      <c r="G32" s="124" t="inlineStr">
        <is>
          <t>Sim</t>
        </is>
      </c>
      <c r="H32" s="114" t="inlineStr">
        <is>
          <t>Nao confere aba 2 - despesas e aba 8 - despesas</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11/09/2025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16/09/2025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08/09/2025</t>
        </is>
      </c>
      <c r="G35" s="124" t="inlineStr">
        <is>
          <t>Sim</t>
        </is>
      </c>
      <c r="H35" s="114"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25/09/2025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09/09/2025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04/09/2025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10/09/2025</t>
        </is>
      </c>
      <c r="G39" s="124" t="inlineStr">
        <is>
          <t>Sim</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10/09/2025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12/09/2025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08/09/2025</t>
        </is>
      </c>
      <c r="G42" s="124" t="inlineStr">
        <is>
          <t>Sim</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5" t="inlineStr">
        <is>
          <t>Atrasado &gt;= 2</t>
        </is>
      </c>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08/09/2025</t>
        </is>
      </c>
      <c r="G45" s="124" t="inlineStr">
        <is>
          <t>Sim</t>
        </is>
      </c>
      <c r="H45" s="114" t="inlineStr">
        <is>
          <t>necessita corrigir despesa lançada no fundo de caixa</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02/09/2025</t>
        </is>
      </c>
      <c r="G46" s="124" t="inlineStr">
        <is>
          <t>Sim</t>
        </is>
      </c>
      <c r="H46" s="114" t="inlineStr">
        <is>
          <t>necessita corrigir despesa lançada no fundo de caixa</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30/10/2025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10/09/2025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04/09/2025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12/09/2025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10/09/2025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08/09/2025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01/09/2025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04/09/2025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01/10/2025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15/09/2025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07/10/2025</t>
        </is>
      </c>
      <c r="G57" s="124" t="inlineStr">
        <is>
          <t>Sim</t>
        </is>
      </c>
      <c r="H57" s="114" t="inlineStr">
        <is>
          <t xml:space="preserve">Valores de despesas não batem. </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10/09/2025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10/09/2025</t>
        </is>
      </c>
      <c r="G59" s="124" t="inlineStr">
        <is>
          <t>Sim</t>
        </is>
      </c>
      <c r="H59" s="114" t="inlineStr">
        <is>
          <t xml:space="preserve">Em agosto não teve venda, por conta quea UVR está passando por alguma melhorias. os associados estão sendo pagos como frene de trabalho. </t>
        </is>
      </c>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13/09/2025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15/09/2025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05/09/2025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10/09/2025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02/09/2025</t>
        </is>
      </c>
      <c r="G64" s="124" t="inlineStr">
        <is>
          <t>Sim</t>
        </is>
      </c>
      <c r="H64" s="114" t="inlineStr">
        <is>
          <t>corrigir fundo de caixa</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27/08/2025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17/09/2025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16/09/2025</t>
        </is>
      </c>
      <c r="G67" s="124" t="inlineStr">
        <is>
          <t>Sim</t>
        </is>
      </c>
      <c r="H67" s="114" t="inlineStr">
        <is>
          <t>ok (acompanhar fundo cx 300/100)</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10/09/2025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23/09/2025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16/09/2025</t>
        </is>
      </c>
      <c r="G70" s="124" t="inlineStr">
        <is>
          <t>Sim</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114"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14/10/2025</t>
        </is>
      </c>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07/10/2025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18/11/2025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06/10/2025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16/10/2025</t>
        </is>
      </c>
      <c r="G6" s="124" t="inlineStr">
        <is>
          <t>Sim</t>
        </is>
      </c>
      <c r="H6" s="129"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08/10/2025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09/10/2025</t>
        </is>
      </c>
      <c r="G8" s="116" t="inlineStr">
        <is>
          <t>Não</t>
        </is>
      </c>
      <c r="H8" s="114" t="n"/>
      <c r="I8" s="114" t="n"/>
      <c r="J8" s="114" t="inlineStr">
        <is>
          <t>Não</t>
        </is>
      </c>
      <c r="K8" s="114" t="n"/>
    </row>
    <row r="9" ht="42"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08/10/2025</t>
        </is>
      </c>
      <c r="G9" s="124" t="inlineStr">
        <is>
          <t>Sim</t>
        </is>
      </c>
      <c r="H9" s="129" t="inlineStr">
        <is>
          <t>Incluir NF venda
Receita venda recicláveis pág 2 e 8 não coincidem
Fundo de caixa da pág 6 não foi preenchido</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02/10/2025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08/10/2025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07/10/2025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09/10/2025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08/10/2025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14/10/2025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13/10/2025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09/10/2025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07/10/2025</t>
        </is>
      </c>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5" t="inlineStr">
        <is>
          <t>Atrasado &gt;= 2</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21/10/2025</t>
        </is>
      </c>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13/10/2025</t>
        </is>
      </c>
      <c r="G21" s="124" t="inlineStr">
        <is>
          <t>Sim</t>
        </is>
      </c>
      <c r="H21" s="129"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10/10/2025</t>
        </is>
      </c>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06/10/2025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19" t="inlineStr">
        <is>
          <t>Enviado</t>
        </is>
      </c>
      <c r="F24" s="114" t="inlineStr">
        <is>
          <t>26/11/2025</t>
        </is>
      </c>
      <c r="G24" s="116" t="inlineStr">
        <is>
          <t>Não</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07/10/2025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10/10/2025</t>
        </is>
      </c>
      <c r="G26" s="124" t="inlineStr">
        <is>
          <t>Sim</t>
        </is>
      </c>
      <c r="H26" s="114" t="n"/>
      <c r="I26" s="114" t="n"/>
      <c r="J26" s="114" t="inlineStr">
        <is>
          <t>Não</t>
        </is>
      </c>
      <c r="K26" s="114" t="n"/>
    </row>
    <row r="27" ht="16.5" customHeight="1">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10/10/2025</t>
        </is>
      </c>
      <c r="G27" s="124" t="inlineStr">
        <is>
          <t>Sim</t>
        </is>
      </c>
      <c r="H27" s="129" t="inlineStr">
        <is>
          <t>conferir que a tecnica nao enviou esse mes ainda</t>
        </is>
      </c>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03/10/2025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16/11/2025</t>
        </is>
      </c>
      <c r="G29" s="124" t="inlineStr">
        <is>
          <t>Sim</t>
        </is>
      </c>
      <c r="H29" s="114" t="inlineStr">
        <is>
          <t>conferir aba 2 com aba 8 - corrigir valores</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5" t="inlineStr">
        <is>
          <t>Atrasado &gt;= 2</t>
        </is>
      </c>
      <c r="F30" s="114" t="n"/>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16/10/2025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24/11/2025</t>
        </is>
      </c>
      <c r="G32" s="116" t="inlineStr">
        <is>
          <t>Não</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10/10/2025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5" t="inlineStr">
        <is>
          <t>Atrasado &gt;= 2</t>
        </is>
      </c>
      <c r="F34" s="114" t="n"/>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13/10/2025</t>
        </is>
      </c>
      <c r="G35" s="124" t="inlineStr">
        <is>
          <t>Sim</t>
        </is>
      </c>
      <c r="H35" s="129"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06/11/2025</t>
        </is>
      </c>
      <c r="G36" s="124" t="inlineStr">
        <is>
          <t>Sim</t>
        </is>
      </c>
      <c r="H36" s="114" t="inlineStr">
        <is>
          <t xml:space="preserve">ok </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10/10/2025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09/10/2025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03/10/2025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13/10/2025</t>
        </is>
      </c>
      <c r="G41" s="124" t="inlineStr">
        <is>
          <t>Sim</t>
        </is>
      </c>
      <c r="H41" s="129"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07/10/2025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25/11/2025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13/11/2025</t>
        </is>
      </c>
      <c r="G44" s="124" t="inlineStr">
        <is>
          <t>Sim</t>
        </is>
      </c>
      <c r="H44" s="114" t="inlineStr">
        <is>
          <t>ok*</t>
        </is>
      </c>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08/10/2025</t>
        </is>
      </c>
      <c r="G45" s="124" t="inlineStr">
        <is>
          <t>Sim</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17/10/2025</t>
        </is>
      </c>
      <c r="G46" s="124" t="inlineStr">
        <is>
          <t>Sim</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30/10/2025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14/10/2025</t>
        </is>
      </c>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02/10/2025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14/10/2025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08/10/2025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06/10/2025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01/10/2025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02/10/2025</t>
        </is>
      </c>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23/10/2025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17/10/2025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5" t="inlineStr">
        <is>
          <t>Atrasado &gt;= 2</t>
        </is>
      </c>
      <c r="F57" s="114" t="n"/>
      <c r="G57" s="116" t="inlineStr">
        <is>
          <t>Não</t>
        </is>
      </c>
      <c r="H57" s="114" t="n"/>
      <c r="I57" s="114" t="n"/>
      <c r="J57" s="114" t="inlineStr">
        <is>
          <t>Não</t>
        </is>
      </c>
      <c r="K57" s="114" t="n"/>
    </row>
    <row r="58" ht="42" customHeight="1">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07/10/2025</t>
        </is>
      </c>
      <c r="G58" s="124" t="inlineStr">
        <is>
          <t>Sim</t>
        </is>
      </c>
      <c r="H58" s="129" t="inlineStr">
        <is>
          <t>Incluir NF
Receita vendas recicláveis pág 2 e 4 não coincidem
Despesas de operação pág 2 e 6 não coincidem</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13/10/2025</t>
        </is>
      </c>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14/10/2025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10/10/2025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03/10/2025</t>
        </is>
      </c>
      <c r="G62" s="124" t="inlineStr">
        <is>
          <t>Sim</t>
        </is>
      </c>
      <c r="H62" s="114" t="inlineStr">
        <is>
          <t>receita nao confere aba 2 e aba 8</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10/10/2025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13/10/2025</t>
        </is>
      </c>
      <c r="G64" s="124" t="inlineStr">
        <is>
          <t>Sim</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30/09/2025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20/10/2025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14/10/2025</t>
        </is>
      </c>
      <c r="G67" s="124" t="inlineStr">
        <is>
          <t>Sim</t>
        </is>
      </c>
      <c r="H67" s="129" t="inlineStr">
        <is>
          <t>Despesas operação pág 2 e 6 não coincidem</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09/10/2025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25/09/2025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88"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07/11/2025</t>
        </is>
      </c>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06/11/2025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10/11/2025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14/11/2025</t>
        </is>
      </c>
      <c r="G6" s="124" t="inlineStr">
        <is>
          <t>Sim</t>
        </is>
      </c>
      <c r="H6" s="114" t="inlineStr">
        <is>
          <t>Receita de vendas pág 2 não coincide com o somatório da pág 8</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07/11/2025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10/11/2025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10/11/2025</t>
        </is>
      </c>
      <c r="G9" s="124" t="inlineStr">
        <is>
          <t>Sim</t>
        </is>
      </c>
      <c r="H9" s="114" t="inlineStr">
        <is>
          <t>Receita de vendas pág 2 não coincide com o somatório da pág 8</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03/11/2025</t>
        </is>
      </c>
      <c r="G10" s="116" t="inlineStr">
        <is>
          <t>Não</t>
        </is>
      </c>
      <c r="H10" s="114" t="inlineStr">
        <is>
          <t xml:space="preserve">ok </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11/11/2025</t>
        </is>
      </c>
      <c r="G11" s="116" t="inlineStr">
        <is>
          <t>Não</t>
        </is>
      </c>
      <c r="H11" s="114" t="inlineStr">
        <is>
          <t>Tecnica que está preenchendo UVR 1  e UVR 6 é Daniele</t>
        </is>
      </c>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07/11/2025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11/11/2025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06/11/2025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04/11/2025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11/11/2025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07/11/2025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10/11/2025</t>
        </is>
      </c>
      <c r="G18" s="116" t="inlineStr">
        <is>
          <t>Não</t>
        </is>
      </c>
      <c r="H18" s="114" t="inlineStr">
        <is>
          <t>Tecnica que está preenchendo UVR 1  e UVR 6 é Daniele</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5" t="inlineStr">
        <is>
          <t>Atrasado &gt;= 2</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26/11/2025</t>
        </is>
      </c>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07/11/2025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06/11/2025</t>
        </is>
      </c>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05/11/2025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19" t="inlineStr">
        <is>
          <t>Enviado</t>
        </is>
      </c>
      <c r="F24" s="114" t="inlineStr">
        <is>
          <t>07/11/2025</t>
        </is>
      </c>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04/11/2025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10/11/2025</t>
        </is>
      </c>
      <c r="G26" s="124" t="inlineStr">
        <is>
          <t>Sim</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04/11/2025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10/11/2025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16/11/2025</t>
        </is>
      </c>
      <c r="G29" s="124" t="inlineStr">
        <is>
          <t>Sim</t>
        </is>
      </c>
      <c r="H29" s="114" t="inlineStr">
        <is>
          <t>Colocou o valor do contrato e de venda iguais</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5" t="inlineStr">
        <is>
          <t>Atrasado &gt;= 2</t>
        </is>
      </c>
      <c r="F30" s="114" t="n"/>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13/11/2025</t>
        </is>
      </c>
      <c r="G31" s="124" t="inlineStr">
        <is>
          <t>Sim</t>
        </is>
      </c>
      <c r="H31" s="114" t="inlineStr">
        <is>
          <t>nao foi declarou os valores de manutenção na aba 02 e o gasto total nao bate</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13/11/2025</t>
        </is>
      </c>
      <c r="G32" s="124" t="inlineStr">
        <is>
          <t>Sim</t>
        </is>
      </c>
      <c r="H32" s="114" t="inlineStr">
        <is>
          <t>Receita de vendas pág 2 não coincide com o somatório da pág 8</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10/11/2025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5" t="inlineStr">
        <is>
          <t>Atrasado &gt;= 2</t>
        </is>
      </c>
      <c r="F34" s="114" t="n"/>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06/11/2025</t>
        </is>
      </c>
      <c r="G35" s="124" t="inlineStr">
        <is>
          <t>Sim</t>
        </is>
      </c>
      <c r="H35" s="114"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11/11/2025</t>
        </is>
      </c>
      <c r="G36" s="124" t="inlineStr">
        <is>
          <t>Sim</t>
        </is>
      </c>
      <c r="H36" s="114" t="inlineStr">
        <is>
          <t xml:space="preserve">ok </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11/11/2025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06/11/2025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17/11/2025</t>
        </is>
      </c>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19/11/2025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10/11/2025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19/11/2025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25/11/2025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07/11/2025</t>
        </is>
      </c>
      <c r="G45" s="124" t="inlineStr">
        <is>
          <t>Sim</t>
        </is>
      </c>
      <c r="H45" s="114" t="inlineStr">
        <is>
          <t>Somatório das despesas nao conferem da aba 2 e aba 8</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05/11/2025</t>
        </is>
      </c>
      <c r="G46" s="124" t="inlineStr">
        <is>
          <t>Sim</t>
        </is>
      </c>
      <c r="H46" s="114" t="inlineStr">
        <is>
          <t>despesas totais nao conferem aba 2 e aba 8</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07/11/2025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04/12/2025</t>
        </is>
      </c>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04/11/2025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13/11/2025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10/11/2025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06/11/2025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03/11/2025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06/11/2025</t>
        </is>
      </c>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19/11/2025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25/11/2025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5" t="inlineStr">
        <is>
          <t>Atrasado &gt;= 2</t>
        </is>
      </c>
      <c r="F57" s="114" t="n"/>
      <c r="G57" s="116" t="inlineStr">
        <is>
          <t>Não</t>
        </is>
      </c>
      <c r="H57" s="114" t="n"/>
      <c r="I57" s="114" t="n"/>
      <c r="J57" s="114" t="inlineStr">
        <is>
          <t>Não</t>
        </is>
      </c>
      <c r="K57" s="114" t="n"/>
    </row>
    <row r="58" ht="28.5" customHeight="1">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11/11/2025</t>
        </is>
      </c>
      <c r="G58" s="124" t="inlineStr">
        <is>
          <t>Sim</t>
        </is>
      </c>
      <c r="H58" s="129" t="inlineStr">
        <is>
          <t>Incluir NF
Receita vendas recicláveis pág 2 e 4 não coincidem</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20/11/2025</t>
        </is>
      </c>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17/11/2025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10/11/2025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05/11/2025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10/11/2025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06/11/2025</t>
        </is>
      </c>
      <c r="G64" s="124" t="inlineStr">
        <is>
          <t>Sim</t>
        </is>
      </c>
      <c r="H64" s="114" t="inlineStr">
        <is>
          <t>despesas totais nao conferem aba 2 e aba 8</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03/11/2025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27/11/2025</t>
        </is>
      </c>
      <c r="G66" s="116" t="inlineStr">
        <is>
          <t>Não</t>
        </is>
      </c>
      <c r="H66" s="114" t="n"/>
      <c r="I66" s="114" t="n"/>
      <c r="J66" s="114" t="inlineStr">
        <is>
          <t>Não</t>
        </is>
      </c>
      <c r="K66" s="114" t="n"/>
    </row>
    <row r="67" ht="28.5" customHeight="1">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17/11/2025</t>
        </is>
      </c>
      <c r="G67" s="124" t="inlineStr">
        <is>
          <t>Sim</t>
        </is>
      </c>
      <c r="H67" s="129" t="inlineStr">
        <is>
          <t>Receita de vendas pág 2 e 8 não coincidem
Despesas operação pág 2 e 6 não coincidem</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07/11/2025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19/11/2025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3" customWidth="1" min="5" max="5"/>
    <col width="18" customWidth="1" min="6" max="6"/>
    <col width="27" customWidth="1" min="7" max="7"/>
    <col width="16"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31" t="inlineStr">
        <is>
          <t>Atrasado</t>
        </is>
      </c>
      <c r="F2" s="114" t="n"/>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31" t="inlineStr">
        <is>
          <t>Atrasado</t>
        </is>
      </c>
      <c r="F3" s="114" t="n"/>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31" t="inlineStr">
        <is>
          <t>Atrasado</t>
        </is>
      </c>
      <c r="F4" s="114" t="n"/>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31" t="inlineStr">
        <is>
          <t>Atrasado</t>
        </is>
      </c>
      <c r="F5" s="114" t="n"/>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31" t="inlineStr">
        <is>
          <t>Atrasado</t>
        </is>
      </c>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31" t="inlineStr">
        <is>
          <t>Atrasado</t>
        </is>
      </c>
      <c r="F7" s="114" t="n"/>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31" t="inlineStr">
        <is>
          <t>Atrasado</t>
        </is>
      </c>
      <c r="F8" s="114" t="n"/>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31" t="inlineStr">
        <is>
          <t>Atrasado</t>
        </is>
      </c>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02/12/2025</t>
        </is>
      </c>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31" t="inlineStr">
        <is>
          <t>Atrasado</t>
        </is>
      </c>
      <c r="F11" s="114" t="n"/>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31" t="inlineStr">
        <is>
          <t>Atrasado</t>
        </is>
      </c>
      <c r="F12" s="114" t="n"/>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31" t="inlineStr">
        <is>
          <t>Atrasado</t>
        </is>
      </c>
      <c r="F13" s="114" t="n"/>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31" t="inlineStr">
        <is>
          <t>Atrasado</t>
        </is>
      </c>
      <c r="F14" s="114" t="n"/>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31" t="inlineStr">
        <is>
          <t>Atrasado</t>
        </is>
      </c>
      <c r="F15" s="114" t="n"/>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31" t="inlineStr">
        <is>
          <t>Atrasado</t>
        </is>
      </c>
      <c r="F16" s="114" t="n"/>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31" t="inlineStr">
        <is>
          <t>Atrasado</t>
        </is>
      </c>
      <c r="F17" s="114" t="n"/>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31" t="inlineStr">
        <is>
          <t>Atrasado</t>
        </is>
      </c>
      <c r="F18" s="114" t="n"/>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31" t="inlineStr">
        <is>
          <t>Atrasado</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31" t="inlineStr">
        <is>
          <t>Atrasado</t>
        </is>
      </c>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31" t="inlineStr">
        <is>
          <t>Atrasado</t>
        </is>
      </c>
      <c r="F21" s="114" t="n"/>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31" t="inlineStr">
        <is>
          <t>Atrasado</t>
        </is>
      </c>
      <c r="F22" s="114" t="n"/>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31" t="inlineStr">
        <is>
          <t>Atrasado</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31" t="inlineStr">
        <is>
          <t>Atrasado</t>
        </is>
      </c>
      <c r="F24" s="114" t="n"/>
      <c r="G24" s="116" t="inlineStr">
        <is>
          <t>Não</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31" t="inlineStr">
        <is>
          <t>Atrasado</t>
        </is>
      </c>
      <c r="F25" s="114" t="n"/>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31" t="inlineStr">
        <is>
          <t>Atrasado</t>
        </is>
      </c>
      <c r="F26" s="114" t="n"/>
      <c r="G26" s="116" t="inlineStr">
        <is>
          <t>Não</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31" t="inlineStr">
        <is>
          <t>Atrasado</t>
        </is>
      </c>
      <c r="F27" s="114" t="n"/>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31" t="inlineStr">
        <is>
          <t>Atrasado</t>
        </is>
      </c>
      <c r="F28" s="114" t="n"/>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31" t="inlineStr">
        <is>
          <t>Atrasado</t>
        </is>
      </c>
      <c r="F29" s="114" t="n"/>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31" t="inlineStr">
        <is>
          <t>Atrasado</t>
        </is>
      </c>
      <c r="F30" s="114" t="n"/>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31" t="inlineStr">
        <is>
          <t>Atrasado</t>
        </is>
      </c>
      <c r="F31" s="114" t="n"/>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31" t="inlineStr">
        <is>
          <t>Atrasado</t>
        </is>
      </c>
      <c r="F32" s="114" t="n"/>
      <c r="G32" s="116" t="inlineStr">
        <is>
          <t>Não</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04/12/2025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31" t="inlineStr">
        <is>
          <t>Atrasado</t>
        </is>
      </c>
      <c r="F34" s="114" t="n"/>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31" t="inlineStr">
        <is>
          <t>Atrasado</t>
        </is>
      </c>
      <c r="F35" s="114" t="n"/>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31" t="inlineStr">
        <is>
          <t>Atrasado</t>
        </is>
      </c>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11/11/2025</t>
        </is>
      </c>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31" t="inlineStr">
        <is>
          <t>Atrasado</t>
        </is>
      </c>
      <c r="F38" s="114" t="n"/>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31" t="inlineStr">
        <is>
          <t>Atrasado</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31" t="inlineStr">
        <is>
          <t>Atrasado</t>
        </is>
      </c>
      <c r="F40" s="114" t="n"/>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31" t="inlineStr">
        <is>
          <t>Atrasado</t>
        </is>
      </c>
      <c r="F41" s="114" t="n"/>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04/12/2025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31" t="inlineStr">
        <is>
          <t>Atrasado</t>
        </is>
      </c>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31" t="inlineStr">
        <is>
          <t>Atrasado</t>
        </is>
      </c>
      <c r="F44" s="114" t="n"/>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31" t="inlineStr">
        <is>
          <t>Atrasado</t>
        </is>
      </c>
      <c r="F45" s="114" t="n"/>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04/12/2025</t>
        </is>
      </c>
      <c r="G46" s="116" t="inlineStr">
        <is>
          <t>Não</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31" t="inlineStr">
        <is>
          <t>Atrasado</t>
        </is>
      </c>
      <c r="F47" s="114" t="n"/>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31" t="inlineStr">
        <is>
          <t>Atrasado</t>
        </is>
      </c>
      <c r="F48" s="114" t="n"/>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31" t="inlineStr">
        <is>
          <t>Atrasado</t>
        </is>
      </c>
      <c r="F49" s="114" t="n"/>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31" t="inlineStr">
        <is>
          <t>Atrasado</t>
        </is>
      </c>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31" t="inlineStr">
        <is>
          <t>Atrasado</t>
        </is>
      </c>
      <c r="F51" s="114" t="n"/>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31" t="inlineStr">
        <is>
          <t>Atrasado</t>
        </is>
      </c>
      <c r="F52" s="114" t="n"/>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01/12/2025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04/12/2025</t>
        </is>
      </c>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31" t="inlineStr">
        <is>
          <t>Atrasado</t>
        </is>
      </c>
      <c r="F55" s="114" t="n"/>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31" t="inlineStr">
        <is>
          <t>Atrasado</t>
        </is>
      </c>
      <c r="F56" s="114" t="n"/>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31" t="inlineStr">
        <is>
          <t>Atrasado</t>
        </is>
      </c>
      <c r="F57" s="114" t="n"/>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31" t="inlineStr">
        <is>
          <t>Atrasado</t>
        </is>
      </c>
      <c r="F58" s="114" t="n"/>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31" t="inlineStr">
        <is>
          <t>Atrasado</t>
        </is>
      </c>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31" t="inlineStr">
        <is>
          <t>Atrasado</t>
        </is>
      </c>
      <c r="F60" s="114" t="n"/>
      <c r="G60" s="116" t="inlineStr">
        <is>
          <t>Não</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31" t="inlineStr">
        <is>
          <t>Atrasado</t>
        </is>
      </c>
      <c r="F61" s="114" t="n"/>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31" t="inlineStr">
        <is>
          <t>Atrasado</t>
        </is>
      </c>
      <c r="F62" s="114" t="n"/>
      <c r="G62" s="116" t="inlineStr">
        <is>
          <t>Não</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31" t="inlineStr">
        <is>
          <t>Atrasado</t>
        </is>
      </c>
      <c r="F63" s="114" t="n"/>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31" t="inlineStr">
        <is>
          <t>Atrasado</t>
        </is>
      </c>
      <c r="F64" s="114" t="n"/>
      <c r="G64" s="116" t="inlineStr">
        <is>
          <t>Não</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02/12/2025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31" t="inlineStr">
        <is>
          <t>Atrasado</t>
        </is>
      </c>
      <c r="F66" s="114" t="n"/>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31" t="inlineStr">
        <is>
          <t>Atrasado</t>
        </is>
      </c>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31" t="inlineStr">
        <is>
          <t>Atrasado</t>
        </is>
      </c>
      <c r="F68" s="114" t="n"/>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31" t="inlineStr">
        <is>
          <t>Atrasado</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31" t="inlineStr">
        <is>
          <t>Atrasado</t>
        </is>
      </c>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3" customWidth="1" min="5" max="5"/>
    <col width="18" customWidth="1" min="6" max="6"/>
    <col width="27" customWidth="1" min="7" max="7"/>
    <col width="16"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4" t="n"/>
      <c r="F2" s="114" t="n"/>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4" t="n"/>
      <c r="F3" s="114" t="n"/>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4" t="n"/>
      <c r="F4" s="114" t="n"/>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4" t="n"/>
      <c r="F5" s="114" t="n"/>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4" t="n"/>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4" t="n"/>
      <c r="F7" s="114" t="n"/>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4" t="n"/>
      <c r="F8" s="114" t="n"/>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4" t="n"/>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4" t="n"/>
      <c r="F10" s="114" t="n"/>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4" t="n"/>
      <c r="F11" s="114" t="n"/>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4" t="n"/>
      <c r="F12" s="114" t="n"/>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4" t="n"/>
      <c r="F13" s="114" t="n"/>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4" t="n"/>
      <c r="F14" s="114" t="n"/>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4" t="n"/>
      <c r="F15" s="114" t="n"/>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4" t="n"/>
      <c r="F16" s="114" t="n"/>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4" t="n"/>
      <c r="F17" s="114" t="n"/>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4" t="n"/>
      <c r="F18" s="114" t="n"/>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4" t="n"/>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4" t="n"/>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4" t="n"/>
      <c r="F21" s="114" t="n"/>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4" t="n"/>
      <c r="F22" s="114" t="n"/>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4" t="n"/>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14" t="n"/>
      <c r="F24" s="114" t="n"/>
      <c r="G24" s="116" t="inlineStr">
        <is>
          <t>Não</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4" t="n"/>
      <c r="F25" s="114" t="n"/>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4" t="n"/>
      <c r="F26" s="114" t="n"/>
      <c r="G26" s="116" t="inlineStr">
        <is>
          <t>Não</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4" t="n"/>
      <c r="F27" s="114" t="n"/>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4" t="n"/>
      <c r="F28" s="114" t="n"/>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4" t="n"/>
      <c r="F29" s="114" t="n"/>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4" t="n"/>
      <c r="F30" s="114" t="n"/>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4" t="n"/>
      <c r="F31" s="114" t="n"/>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4" t="n"/>
      <c r="F32" s="114" t="n"/>
      <c r="G32" s="116" t="inlineStr">
        <is>
          <t>Não</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4" t="n"/>
      <c r="F33" s="114" t="n"/>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4" t="n"/>
      <c r="F34" s="114" t="n"/>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4" t="n"/>
      <c r="F35" s="114" t="n"/>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4" t="n"/>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4" t="n"/>
      <c r="F37" s="114" t="n"/>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4" t="n"/>
      <c r="F38" s="114" t="n"/>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4" t="n"/>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4" t="n"/>
      <c r="F40" s="114" t="n"/>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4" t="n"/>
      <c r="F41" s="114" t="n"/>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4" t="n"/>
      <c r="F42" s="114" t="n"/>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4" t="n"/>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4" t="n"/>
      <c r="F44" s="114" t="n"/>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4" t="n"/>
      <c r="F45" s="114" t="n"/>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4" t="n"/>
      <c r="F46" s="114" t="n"/>
      <c r="G46" s="116" t="inlineStr">
        <is>
          <t>Não</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4" t="n"/>
      <c r="F47" s="114" t="n"/>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4" t="n"/>
      <c r="F48" s="114" t="n"/>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4" t="n"/>
      <c r="F49" s="114" t="n"/>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4" t="n"/>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4" t="n"/>
      <c r="F51" s="114" t="n"/>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4" t="n"/>
      <c r="F52" s="114" t="n"/>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4" t="n"/>
      <c r="F53" s="114" t="n"/>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4" t="n"/>
      <c r="F54" s="114" t="n"/>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4" t="n"/>
      <c r="F55" s="114" t="n"/>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4" t="n"/>
      <c r="F56" s="114" t="n"/>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4" t="n"/>
      <c r="F57" s="114" t="n"/>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4" t="n"/>
      <c r="F58" s="114" t="n"/>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4" t="n"/>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4" t="n"/>
      <c r="F60" s="114" t="n"/>
      <c r="G60" s="116" t="inlineStr">
        <is>
          <t>Não</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4" t="n"/>
      <c r="F61" s="114" t="n"/>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4" t="n"/>
      <c r="F62" s="114" t="n"/>
      <c r="G62" s="116" t="inlineStr">
        <is>
          <t>Não</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4" t="n"/>
      <c r="F63" s="114" t="n"/>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4" t="n"/>
      <c r="F64" s="114" t="n"/>
      <c r="G64" s="116" t="inlineStr">
        <is>
          <t>Não</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4" t="n"/>
      <c r="F65" s="114" t="n"/>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4" t="n"/>
      <c r="F66" s="114" t="n"/>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4" t="n"/>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4" t="n"/>
      <c r="F68" s="114" t="n"/>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4" t="n"/>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4" t="n"/>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pane xSplit="3" topLeftCell="D1" activePane="topRight" state="frozen"/>
      <selection pane="topRight" activeCell="A1" sqref="A1"/>
    </sheetView>
  </sheetViews>
  <sheetFormatPr baseColWidth="8" defaultRowHeight="15"/>
  <cols>
    <col width="13" customWidth="1" min="1" max="1"/>
    <col width="14" customWidth="1" min="2" max="2"/>
    <col width="8" customWidth="1" min="3" max="3"/>
    <col width="22" customWidth="1" min="4" max="4"/>
    <col width="18" customWidth="1" min="5" max="5"/>
    <col width="22" customWidth="1" min="6" max="6"/>
    <col width="27" customWidth="1" min="7" max="7"/>
    <col width="60" customWidth="1" min="8" max="8"/>
    <col width="34" customWidth="1" min="9" max="9"/>
    <col width="26" customWidth="1" min="10" max="10"/>
    <col width="26" customWidth="1" min="11" max="11"/>
  </cols>
  <sheetData>
    <row r="1">
      <c r="A1" s="112" t="inlineStr">
        <is>
          <t>Regional</t>
        </is>
      </c>
      <c r="B1" s="112" t="inlineStr">
        <is>
          <t>Município</t>
        </is>
      </c>
      <c r="C1" s="112" t="inlineStr">
        <is>
          <t>UVR</t>
        </is>
      </c>
      <c r="D1" s="112" t="inlineStr">
        <is>
          <t>Técnico de UVR</t>
        </is>
      </c>
      <c r="E1" s="112" t="inlineStr">
        <is>
          <t>Data de Envio</t>
        </is>
      </c>
      <c r="F1" s="112" t="inlineStr">
        <is>
          <t>Mês de referência</t>
        </is>
      </c>
      <c r="G1" s="112" t="inlineStr">
        <is>
          <t>Validado pelo Regional</t>
        </is>
      </c>
      <c r="H1" s="112" t="inlineStr">
        <is>
          <t>Observações</t>
        </is>
      </c>
      <c r="I1" s="112" t="inlineStr">
        <is>
          <t>Formulários para Deletar (ID)</t>
        </is>
      </c>
      <c r="J1" s="112" t="inlineStr">
        <is>
          <t>Validado Equipe de TI</t>
        </is>
      </c>
      <c r="K1" s="112" t="inlineStr">
        <is>
          <t>Resposta Equipe de TI</t>
        </is>
      </c>
    </row>
    <row r="2">
      <c r="A2" s="113" t="inlineStr">
        <is>
          <t>Gabriel</t>
        </is>
      </c>
      <c r="B2" s="114" t="inlineStr">
        <is>
          <t>Maripá</t>
        </is>
      </c>
      <c r="C2" s="114" t="inlineStr">
        <is>
          <t>1</t>
        </is>
      </c>
      <c r="D2" s="114" t="inlineStr">
        <is>
          <t>Admin Laboratório</t>
        </is>
      </c>
      <c r="E2" s="114" t="inlineStr">
        <is>
          <t>02/01/2025</t>
        </is>
      </c>
      <c r="F2" s="114" t="inlineStr">
        <is>
          <t>07.24</t>
        </is>
      </c>
      <c r="G2" s="114" t="inlineStr">
        <is>
          <t>Sim</t>
        </is>
      </c>
      <c r="H2" s="114" t="inlineStr">
        <is>
          <t>Formulário preenchido durante treinamento dos regionais</t>
        </is>
      </c>
      <c r="I2" s="114" t="n"/>
      <c r="J2" s="114" t="inlineStr">
        <is>
          <t>Não</t>
        </is>
      </c>
      <c r="K2" s="114" t="n"/>
    </row>
  </sheetData>
  <autoFilter ref="A1:G1"/>
  <conditionalFormatting sqref="G2">
    <cfRule type="cellIs" priority="1" operator="equal" dxfId="26" stopIfTrue="1">
      <formula>"Sim"</formula>
    </cfRule>
    <cfRule type="cellIs" priority="2" operator="equal" dxfId="27" stopIfTrue="1">
      <formula>"Não"</formula>
    </cfRule>
  </conditionalFormatting>
  <conditionalFormatting sqref="J2">
    <cfRule type="cellIs" priority="1" operator="equal" dxfId="26" stopIfTrue="1">
      <formula>"Sim"</formula>
    </cfRule>
    <cfRule type="cellIs" priority="2" operator="equal" dxfId="27" stopIfTrue="1">
      <formula>"Não"</formula>
    </cfRule>
  </conditionalFormatting>
  <dataValidations count="1">
    <dataValidation sqref="G2 J2" showDropDown="0" showInputMessage="0" showErrorMessage="0" allowBlank="0" type="list">
      <formula1>"Sim,Não"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2025-12-05T14:06:38Z</dcterms:created>
  <dcterms:modified xmlns:dcterms="http://purl.org/dc/terms/" xmlns:xsi="http://www.w3.org/2001/XMLSchema-instance" xsi:type="dcterms:W3CDTF">2025-12-05T14:06:47Z</dcterms:modified>
</cp:coreProperties>
</file>