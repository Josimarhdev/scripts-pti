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onitoramento" sheetId="2" state="visible" r:id="rId2"/>
    <sheet xmlns:r="http://schemas.openxmlformats.org/officeDocument/2006/relationships" name="Form 1 - Município" sheetId="3" state="visible" r:id="rId3"/>
    <sheet xmlns:r="http://schemas.openxmlformats.org/officeDocument/2006/relationships" name="Form 2 - UVR" sheetId="4" state="visible" r:id="rId4"/>
    <sheet xmlns:r="http://schemas.openxmlformats.org/officeDocument/2006/relationships"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Narrow"/>
      <color theme="0"/>
      <sz val="14"/>
    </font>
    <font>
      <name val="Calibri"/>
      <color theme="0"/>
      <sz val="11"/>
    </font>
    <font>
      <name val="Calibri"/>
      <color theme="1"/>
      <sz val="11"/>
    </font>
    <font>
      <name val="Aptos Narrow"/>
      <color theme="1"/>
      <sz val="12"/>
    </font>
    <font>
      <name val="Aptos Narrow"/>
      <b val="1"/>
      <color theme="1"/>
      <sz val="12"/>
    </font>
    <font>
      <name val="Aptos Narrow"/>
      <color theme="0"/>
      <sz val="12"/>
    </font>
    <font>
      <name val="Arial"/>
      <color theme="1"/>
      <sz val="11"/>
    </font>
    <font>
      <name val="Arial"/>
      <sz val="11"/>
    </font>
    <font>
      <name val="Arial"/>
      <b val="1"/>
      <color theme="1"/>
      <sz val="11"/>
    </font>
    <font>
      <name val="Calibri"/>
      <b val="1"/>
      <color theme="1"/>
      <sz val="11"/>
    </font>
    <font>
      <name val="Calibri"/>
      <sz val="11"/>
    </font>
    <font>
      <name val="Arial"/>
      <b val="1"/>
      <color rgb="00FFFFFF"/>
      <sz val="11"/>
    </font>
    <font>
      <name val="Arial"/>
      <color rgb="00FFFFFF"/>
      <sz val="11"/>
    </font>
  </fonts>
  <fills count="37">
    <fill>
      <patternFill/>
    </fill>
    <fill>
      <patternFill patternType="gray125"/>
    </fill>
    <fill>
      <patternFill patternType="solid">
        <fgColor theme="3" tint="0.249977111117893"/>
        <bgColor indexed="64"/>
      </patternFill>
    </fill>
    <fill>
      <patternFill patternType="solid">
        <fgColor rgb="FF002060"/>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rgb="FFC00000"/>
        <bgColor indexed="64"/>
      </patternFill>
    </fill>
    <fill>
      <patternFill patternType="solid">
        <fgColor rgb="00003366"/>
        <bgColor rgb="00003366"/>
      </patternFill>
    </fill>
    <fill>
      <patternFill patternType="solid">
        <fgColor rgb="00FF6666"/>
        <bgColor rgb="00FF6666"/>
      </patternFill>
    </fill>
    <fill>
      <patternFill patternType="solid">
        <fgColor rgb="00008000"/>
        <bgColor rgb="00008000"/>
      </patternFill>
    </fill>
    <fill>
      <patternFill patternType="solid">
        <fgColor rgb="FF008000"/>
        <bgColor rgb="FF008000"/>
      </patternFill>
    </fill>
    <fill>
      <patternFill patternType="solid">
        <fgColor rgb="FF006400"/>
        <bgColor rgb="FF006400"/>
      </patternFill>
    </fill>
    <fill>
      <patternFill patternType="solid">
        <fgColor rgb="FFFF6666"/>
        <bgColor rgb="FFFF6666"/>
      </patternFill>
    </fill>
    <fill>
      <patternFill patternType="solid">
        <fgColor rgb="00FDEE00"/>
        <bgColor rgb="00FDEE00"/>
      </patternFill>
    </fill>
    <fill>
      <patternFill patternType="solid">
        <fgColor rgb="FFFDEE00"/>
        <bgColor rgb="FFFDEE00"/>
      </patternFill>
    </fill>
    <fill>
      <patternFill patternType="solid">
        <fgColor rgb="0000BFFF"/>
        <bgColor rgb="0000BFFF"/>
      </patternFill>
    </fill>
    <fill>
      <patternFill patternType="solid">
        <fgColor rgb="FF00BFFF"/>
        <bgColor rgb="FF00BFFF"/>
      </patternFill>
    </fill>
    <fill>
      <patternFill patternType="solid">
        <fgColor rgb="FF808080"/>
        <bgColor rgb="FF808080"/>
      </patternFill>
    </fill>
    <fill>
      <patternFill patternType="solid">
        <fgColor rgb="00FFA500"/>
        <bgColor rgb="00FFA500"/>
      </patternFill>
    </fill>
    <fill>
      <patternFill patternType="solid">
        <fgColor rgb="FFFFA500"/>
        <bgColor rgb="FFFFA500"/>
      </patternFill>
    </fill>
    <fill>
      <patternFill patternType="solid">
        <fgColor rgb="FFFF6400"/>
        <bgColor rgb="FFFF6400"/>
      </patternFill>
    </fill>
    <fill>
      <patternFill patternType="solid">
        <fgColor rgb="0066FF66"/>
        <bgColor rgb="0066FF66"/>
      </patternFill>
    </fill>
    <fill>
      <patternFill patternType="solid">
        <fgColor rgb="00FF0000"/>
        <bgColor rgb="00FF0000"/>
      </patternFill>
    </fill>
    <fill>
      <patternFill patternType="solid">
        <fgColor rgb="FFFF0000"/>
        <bgColor rgb="FFFF0000"/>
      </patternFill>
    </fill>
    <fill>
      <patternFill patternType="solid">
        <fgColor rgb="00006400"/>
        <bgColor rgb="00006400"/>
      </patternFill>
    </fill>
    <fill>
      <patternFill patternType="solid">
        <fgColor rgb="00808080"/>
        <bgColor rgb="00808080"/>
      </patternFill>
    </fill>
    <fill>
      <patternFill patternType="solid">
        <fgColor rgb="00FF6400"/>
        <bgColor rgb="00FF6400"/>
      </patternFill>
    </fill>
    <fill>
      <patternFill patternType="solid">
        <fgColor rgb="FFA020F0"/>
        <bgColor rgb="FFA020F0"/>
      </patternFill>
    </fill>
    <fill>
      <patternFill patternType="solid">
        <fgColor rgb="00A020F0"/>
        <bgColor rgb="00A020F0"/>
      </patternFill>
    </fill>
    <fill>
      <patternFill patternType="solid">
        <fgColor rgb="FF31869B"/>
        <bgColor rgb="FF31869B"/>
      </patternFill>
    </fill>
    <fill>
      <patternFill patternType="solid">
        <fgColor rgb="FF66FF66"/>
        <bgColor rgb="FF66FF66"/>
      </patternFill>
    </fill>
    <fill>
      <patternFill patternType="solid">
        <fgColor rgb="0031869b"/>
        <bgColor rgb="0031869b"/>
      </patternFill>
    </fill>
  </fills>
  <borders count="12">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style="thin">
        <color rgb="00000000"/>
      </left>
      <right style="thin">
        <color rgb="00000000"/>
      </right>
      <top style="thin">
        <color rgb="00000000"/>
      </top>
      <bottom style="thin">
        <color rgb="00000000"/>
      </bottom>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0" fillId="0" borderId="8" pivotButton="0" quotePrefix="0" xfId="0"/>
    <xf numFmtId="0" fontId="4" fillId="0" borderId="2" applyAlignment="1" pivotButton="0" quotePrefix="0" xfId="0">
      <alignment horizontal="center" vertical="center"/>
    </xf>
    <xf numFmtId="9" fontId="4" fillId="0" borderId="2" applyAlignment="1" pivotButton="0" quotePrefix="0" xfId="0">
      <alignment horizontal="center" vertical="center"/>
    </xf>
    <xf numFmtId="0" fontId="5" fillId="0" borderId="2" applyAlignment="1" pivotButton="0" quotePrefix="0" xfId="0">
      <alignment horizontal="center" vertical="center"/>
    </xf>
    <xf numFmtId="0" fontId="3" fillId="0" borderId="2" applyAlignment="1" pivotButton="0" quotePrefix="0" xfId="0">
      <alignment horizontal="center" vertical="center"/>
    </xf>
    <xf numFmtId="0" fontId="4" fillId="0" borderId="4" applyAlignment="1" pivotButton="0" quotePrefix="0" xfId="0">
      <alignment horizontal="center" vertical="center"/>
    </xf>
    <xf numFmtId="9" fontId="3" fillId="0" borderId="2" applyAlignment="1" pivotButton="0" quotePrefix="0" xfId="0">
      <alignment horizontal="center" vertical="center"/>
    </xf>
    <xf numFmtId="0" fontId="6" fillId="2" borderId="5" applyAlignment="1" pivotButton="0" quotePrefix="0" xfId="0">
      <alignment horizontal="center" vertical="center"/>
    </xf>
    <xf numFmtId="0" fontId="6" fillId="2" borderId="2" applyAlignment="1" pivotButton="0" quotePrefix="0" xfId="0">
      <alignment horizontal="center" vertical="center"/>
    </xf>
    <xf numFmtId="0" fontId="0" fillId="0" borderId="9" pivotButton="0" quotePrefix="0" xfId="0"/>
    <xf numFmtId="0" fontId="6" fillId="2" borderId="1" applyAlignment="1" pivotButton="0" quotePrefix="0" xfId="0">
      <alignment horizontal="center" vertical="center"/>
    </xf>
    <xf numFmtId="0" fontId="7" fillId="4" borderId="4" applyAlignment="1" pivotButton="0" quotePrefix="0" xfId="0">
      <alignment horizontal="center" vertical="center"/>
    </xf>
    <xf numFmtId="0" fontId="7" fillId="5" borderId="4" applyAlignment="1" pivotButton="0" quotePrefix="0" xfId="0">
      <alignment horizontal="center" vertical="center"/>
    </xf>
    <xf numFmtId="0" fontId="8" fillId="6" borderId="2" applyAlignment="1" pivotButton="0" quotePrefix="0" xfId="0">
      <alignment horizontal="center" vertical="center"/>
    </xf>
    <xf numFmtId="0" fontId="8" fillId="7" borderId="2" applyAlignment="1" pivotButton="0" quotePrefix="0" xfId="0">
      <alignment horizontal="center" vertical="center"/>
    </xf>
    <xf numFmtId="0" fontId="8" fillId="8" borderId="2" applyAlignment="1" pivotButton="0" quotePrefix="0" xfId="0">
      <alignment horizontal="center" vertical="center"/>
    </xf>
    <xf numFmtId="0" fontId="9" fillId="9" borderId="4" applyAlignment="1" pivotButton="0" quotePrefix="0" xfId="0">
      <alignment horizontal="center" vertical="center"/>
    </xf>
    <xf numFmtId="0" fontId="10" fillId="0" borderId="2" applyAlignment="1" pivotButton="0" quotePrefix="0" xfId="0">
      <alignment horizontal="center" vertical="center"/>
    </xf>
    <xf numFmtId="9" fontId="10" fillId="0" borderId="2" applyAlignment="1" pivotButton="0" quotePrefix="0" xfId="0">
      <alignment horizontal="center" vertical="center"/>
    </xf>
    <xf numFmtId="0" fontId="6" fillId="2" borderId="4" applyAlignment="1" pivotButton="0" quotePrefix="0" xfId="0">
      <alignment horizontal="center" vertical="center"/>
    </xf>
    <xf numFmtId="0" fontId="6" fillId="2" borderId="4" applyAlignment="1" pivotButton="0" quotePrefix="0" xfId="0">
      <alignment horizontal="left" vertical="center"/>
    </xf>
    <xf numFmtId="49" fontId="6" fillId="2" borderId="2" applyAlignment="1" pivotButton="0" quotePrefix="0" xfId="0">
      <alignment horizontal="center" vertical="center"/>
    </xf>
    <xf numFmtId="0" fontId="11" fillId="4" borderId="2" applyAlignment="1" pivotButton="0" quotePrefix="0" xfId="0">
      <alignment horizontal="center" vertical="center"/>
    </xf>
    <xf numFmtId="0" fontId="11" fillId="0" borderId="2" applyAlignment="1" pivotButton="0" quotePrefix="0" xfId="0">
      <alignment horizontal="center" vertical="center"/>
    </xf>
    <xf numFmtId="0" fontId="7" fillId="10" borderId="10" applyAlignment="1" pivotButton="0" quotePrefix="0" xfId="0">
      <alignment horizontal="center" vertical="center"/>
    </xf>
    <xf numFmtId="0" fontId="7" fillId="10" borderId="2" applyAlignment="1" pivotButton="0" quotePrefix="0" xfId="0">
      <alignment horizontal="center" vertical="center"/>
    </xf>
    <xf numFmtId="0" fontId="7" fillId="11" borderId="10" applyAlignment="1" pivotButton="0" quotePrefix="0" xfId="0">
      <alignment horizontal="center" vertical="center"/>
    </xf>
    <xf numFmtId="0" fontId="11" fillId="5" borderId="2" applyAlignment="1" pivotButton="0" quotePrefix="0" xfId="0">
      <alignment horizontal="center" vertical="center"/>
    </xf>
    <xf numFmtId="0" fontId="8" fillId="0" borderId="2" applyAlignment="1" pivotButton="0" quotePrefix="0" xfId="0">
      <alignment horizontal="center" vertical="center"/>
    </xf>
    <xf numFmtId="0" fontId="11" fillId="6" borderId="2" applyAlignment="1" pivotButton="0" quotePrefix="0" xfId="0">
      <alignment horizontal="center" vertical="center"/>
    </xf>
    <xf numFmtId="0" fontId="11" fillId="7" borderId="2" applyAlignment="1" pivotButton="0" quotePrefix="0" xfId="0">
      <alignment horizontal="center" vertical="center"/>
    </xf>
    <xf numFmtId="0" fontId="11" fillId="8" borderId="2" applyAlignment="1" pivotButton="0" quotePrefix="0" xfId="0">
      <alignment horizontal="center" vertical="center"/>
    </xf>
    <xf numFmtId="0" fontId="12" fillId="12" borderId="11" applyAlignment="1" pivotButton="0" quotePrefix="0" xfId="0">
      <alignment horizontal="center" vertical="center"/>
    </xf>
    <xf numFmtId="0" fontId="8" fillId="14" borderId="11" applyAlignment="1" pivotButton="0" quotePrefix="0" xfId="0">
      <alignment horizontal="center" vertical="center"/>
    </xf>
    <xf numFmtId="0" fontId="8" fillId="0" borderId="11" applyAlignment="1" pivotButton="0" quotePrefix="0" xfId="0">
      <alignment horizontal="center" vertical="center"/>
    </xf>
    <xf numFmtId="0" fontId="13" fillId="29" borderId="11" applyAlignment="1" pivotButton="0" quotePrefix="0" xfId="0">
      <alignment horizontal="center" vertical="center"/>
    </xf>
    <xf numFmtId="0" fontId="8" fillId="17" borderId="11" applyAlignment="1" pivotButton="0" quotePrefix="0" xfId="0">
      <alignment horizontal="center" vertical="center"/>
    </xf>
    <xf numFmtId="0" fontId="8" fillId="18" borderId="11" applyAlignment="1" pivotButton="0" quotePrefix="0" xfId="0">
      <alignment horizontal="center" vertical="center"/>
    </xf>
    <xf numFmtId="0" fontId="8" fillId="20" borderId="11" applyAlignment="1" pivotButton="0" quotePrefix="0" xfId="0">
      <alignment horizontal="center" vertical="center"/>
    </xf>
    <xf numFmtId="0" fontId="13" fillId="30" borderId="11" applyAlignment="1" pivotButton="0" quotePrefix="0" xfId="0">
      <alignment horizontal="center" vertical="center"/>
    </xf>
    <xf numFmtId="0" fontId="8" fillId="23" borderId="11" applyAlignment="1" pivotButton="0" quotePrefix="0" xfId="0">
      <alignment horizontal="center" vertical="center"/>
    </xf>
    <xf numFmtId="0" fontId="13" fillId="31" borderId="11" applyAlignment="1" pivotButton="0" quotePrefix="0" xfId="0">
      <alignment horizontal="center" vertical="center"/>
    </xf>
    <xf numFmtId="0" fontId="8" fillId="27" borderId="11" applyAlignment="1" pivotButton="0" quotePrefix="0" xfId="0">
      <alignment horizontal="center" vertical="center"/>
    </xf>
    <xf numFmtId="0" fontId="13" fillId="33" borderId="11" applyAlignment="1" pivotButton="0" quotePrefix="0" xfId="0">
      <alignment horizontal="center" vertical="center"/>
    </xf>
    <xf numFmtId="0" fontId="8" fillId="13" borderId="11" applyAlignment="1" pivotButton="0" quotePrefix="0" xfId="0">
      <alignment horizontal="center" vertical="center"/>
    </xf>
    <xf numFmtId="0" fontId="13" fillId="36" borderId="11" applyAlignment="1" pivotButton="0" quotePrefix="0" xfId="0">
      <alignment horizontal="center" vertical="center"/>
    </xf>
    <xf numFmtId="0" fontId="8" fillId="26" borderId="11" applyAlignment="1" pivotButton="0" quotePrefix="0" xfId="0">
      <alignment horizontal="center" vertical="center"/>
    </xf>
  </cellXfs>
  <cellStyles count="1">
    <cellStyle name="Normal" xfId="0" builtinId="0" hidden="0"/>
  </cellStyles>
  <dxfs count="14">
    <dxf>
      <font>
        <color theme="0"/>
      </font>
      <fill>
        <patternFill patternType="solid">
          <bgColor theme="5" tint="-0.249977111117893"/>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theme="6"/>
        </patternFill>
      </fill>
    </dxf>
    <dxf>
      <font>
        <color theme="0"/>
      </font>
      <fill>
        <patternFill patternType="solid">
          <bgColor rgb="FF7030A0"/>
        </patternFill>
      </fill>
    </dxf>
    <dxf>
      <font>
        <color theme="0"/>
      </font>
      <fill>
        <patternFill patternType="solid">
          <bgColor rgb="FFAD0000"/>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8"/>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4.85546875" customWidth="1" min="8" max="8"/>
    <col width="14.5703125" customWidth="1" min="9" max="9"/>
    <col width="13.85546875" customWidth="1" min="10" max="10"/>
    <col width="27" customWidth="1" min="30" max="30"/>
    <col width="11.85546875" customWidth="1" min="31" max="31"/>
    <col width="27" customWidth="1" min="33" max="33"/>
    <col width="11.85546875" customWidth="1" min="34" max="34"/>
    <col width="27" customWidth="1" min="36" max="36"/>
    <col width="11.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AD1" s="2" t="inlineStr">
        <is>
          <t>Form 1</t>
        </is>
      </c>
      <c r="AE1" s="3" t="n"/>
      <c r="AG1" s="2" t="inlineStr">
        <is>
          <t>Form 2</t>
        </is>
      </c>
      <c r="AH1" s="3" t="n"/>
      <c r="AJ1" s="2" t="inlineStr">
        <is>
          <t>Form 3</t>
        </is>
      </c>
      <c r="AK1" s="3" t="n"/>
    </row>
    <row r="2" ht="15.75" customHeight="1">
      <c r="A2" s="4" t="inlineStr">
        <is>
          <t>1 - Município</t>
        </is>
      </c>
      <c r="B2" s="4">
        <f>COUNTIF(AE2:AE47,"Enviado")</f>
        <v/>
      </c>
      <c r="C2" s="5">
        <f>B2/SUM($B2,$D2,$F2)</f>
        <v/>
      </c>
      <c r="D2" s="4">
        <f>COUNTIF(AE2:AE47,"Atrasado")</f>
        <v/>
      </c>
      <c r="E2" s="5">
        <f>D2/SUM($B2,$D2,$F2)</f>
        <v/>
      </c>
      <c r="F2" s="4">
        <f>COUNTIF(AE2:AE47,"Sem Técnico")</f>
        <v/>
      </c>
      <c r="G2" s="5">
        <f>F2/SUM($B2,$D2,$F2)</f>
        <v/>
      </c>
      <c r="H2" s="4">
        <f>COUNTIF(AE2:AE47,"Duplicado")</f>
        <v/>
      </c>
      <c r="I2" s="5">
        <f>H2/SUM($B2,$D2,$F2,$H2)</f>
        <v/>
      </c>
      <c r="J2" s="6">
        <f>SUM(B2,D2,F2,H2)</f>
        <v/>
      </c>
      <c r="AD2" s="7">
        <f t="array" ref="AD2:AD48">_xlfn.UNIQUE(INDIRECT("'Form 1 - Município'!B2:B70"))</f>
        <v/>
      </c>
      <c r="AE2" s="7">
        <f>VLOOKUP(AD2,INDIRECT("'Form 1 - Município'!$B$2:$E$70"),4,FALSE)</f>
        <v/>
      </c>
      <c r="AG2" s="7">
        <f t="array" ref="AG2:AG48">_xlfn.UNIQUE(INDIRECT("'Form 2 - UVR'!B2:B70"))</f>
        <v/>
      </c>
      <c r="AH2" s="7">
        <f>VLOOKUP(AG2,INDIRECT("'Form 2 - UVR'!$B$2:$E$70"),4,FALSE)</f>
        <v/>
      </c>
      <c r="AJ2" s="7">
        <f t="array" ref="AJ2:AJ48">_xlfn.UNIQUE(INDIRECT("'Form 3 - Empreendimento'!B2:B70"))</f>
        <v/>
      </c>
      <c r="AK2" s="7">
        <f>VLOOKUP(AJ2,INDIRECT("'Form 3 - Empreendimento'!$B$2:$E$70"),4,FALSE)</f>
        <v/>
      </c>
    </row>
    <row r="3" ht="15.75" customHeight="1">
      <c r="A3" s="4" t="inlineStr">
        <is>
          <t>2 - UVR</t>
        </is>
      </c>
      <c r="B3" s="4">
        <f>COUNTIF(AH2:AH47,"Enviado")</f>
        <v/>
      </c>
      <c r="C3" s="5">
        <f>B3/SUM($B3,$D3,$F3)</f>
        <v/>
      </c>
      <c r="D3" s="4">
        <f>COUNTIF(AH2:AH47,"Atrasado")</f>
        <v/>
      </c>
      <c r="E3" s="5">
        <f>D3/SUM($B3,$D3,$F3)</f>
        <v/>
      </c>
      <c r="F3" s="4">
        <f>COUNTIF(AH2:AH47,"Sem Técnico")</f>
        <v/>
      </c>
      <c r="G3" s="5">
        <f>F3/SUM($B3,$D3,$F3)</f>
        <v/>
      </c>
      <c r="H3" s="4">
        <f>COUNTIF(AH2:AH47,"Duplicado")</f>
        <v/>
      </c>
      <c r="I3" s="5">
        <f>H3/SUM($B3,$D3,$F3,$H3)</f>
        <v/>
      </c>
      <c r="J3" s="6">
        <f>SUM(B3,D3,F3,H3)</f>
        <v/>
      </c>
      <c r="AD3" s="7" t="inlineStr">
        <is>
          <t>=</t>
        </is>
      </c>
      <c r="AE3" s="7">
        <f>VLOOKUP(AD3,INDIRECT("'Form 1 - Município'!$B$2:$E$70"),4,FALSE)</f>
        <v/>
      </c>
      <c r="AG3" s="7" t="inlineStr">
        <is>
          <t>=</t>
        </is>
      </c>
      <c r="AH3" s="7">
        <f>VLOOKUP(AG3,INDIRECT("'Form 2 - UVR'!$B$2:$E$70"),4,FALSE)</f>
        <v/>
      </c>
      <c r="AJ3" s="7" t="inlineStr">
        <is>
          <t>=</t>
        </is>
      </c>
      <c r="AK3" s="7">
        <f>VLOOKUP(AJ3,INDIRECT("'Form 3 - Empreendimento'!$B$2:$E$70"),4,FALSE)</f>
        <v/>
      </c>
    </row>
    <row r="4" ht="15.75" customHeight="1">
      <c r="A4" s="4" t="inlineStr">
        <is>
          <t>3 - Empreendimento</t>
        </is>
      </c>
      <c r="B4" s="4">
        <f>COUNTIF(AK2:AK47,"Enviado")</f>
        <v/>
      </c>
      <c r="C4" s="5">
        <f>B4/SUM($B4,$D4,$F4)</f>
        <v/>
      </c>
      <c r="D4" s="4">
        <f>COUNTIF(AK2:AK47,"Atrasado")</f>
        <v/>
      </c>
      <c r="E4" s="5">
        <f>D4/SUM($B4,$D4,$F4)</f>
        <v/>
      </c>
      <c r="F4" s="4">
        <f>COUNTIF(AK2:AK47,"Sem Técnico")</f>
        <v/>
      </c>
      <c r="G4" s="5">
        <f>F4/SUM($B4,$D4,$F4)</f>
        <v/>
      </c>
      <c r="H4" s="4">
        <f>COUNTIF(AK2:AK47,"Duplicado")</f>
        <v/>
      </c>
      <c r="I4" s="5">
        <f>H4/SUM($B4,$D4,$F4,$H4)</f>
        <v/>
      </c>
      <c r="J4" s="6">
        <f>SUM(B4,D4,F4,H4)</f>
        <v/>
      </c>
      <c r="AD4" s="7" t="inlineStr">
        <is>
          <t>=</t>
        </is>
      </c>
      <c r="AE4" s="7">
        <f>VLOOKUP(AD4,INDIRECT("'Form 1 - Município'!$B$2:$E$70"),4,FALSE)</f>
        <v/>
      </c>
      <c r="AG4" s="7" t="inlineStr">
        <is>
          <t>=</t>
        </is>
      </c>
      <c r="AH4" s="7">
        <f>VLOOKUP(AG4,INDIRECT("'Form 2 - UVR'!$B$2:$E$70"),4,FALSE)</f>
        <v/>
      </c>
      <c r="AJ4" s="7" t="inlineStr">
        <is>
          <t>=</t>
        </is>
      </c>
      <c r="AK4" s="7">
        <f>VLOOKUP(AJ4,INDIRECT("'Form 3 - Empreendimento'!$B$2:$E$70"),4,FALSE)</f>
        <v/>
      </c>
    </row>
    <row r="5" ht="15.75" customHeight="1">
      <c r="A5" s="6" t="inlineStr">
        <is>
          <t>Total</t>
        </is>
      </c>
      <c r="B5" s="6">
        <f>SUM(B2:B4)</f>
        <v/>
      </c>
      <c r="C5" s="5">
        <f>B5/SUM($B5,$D5,$F5)</f>
        <v/>
      </c>
      <c r="D5" s="6">
        <f>SUM(D2:D4)</f>
        <v/>
      </c>
      <c r="E5" s="5">
        <f>D5/SUM($B5,$D5,$F5)</f>
        <v/>
      </c>
      <c r="F5" s="6">
        <f>SUM(F2:F4)</f>
        <v/>
      </c>
      <c r="G5" s="5">
        <f>F5/SUM($B5,$D5,$F5)</f>
        <v/>
      </c>
      <c r="H5" s="6">
        <f>SUM(H2:H4)</f>
        <v/>
      </c>
      <c r="I5" s="5">
        <f>H5/SUM($B5,$D5,$F5,$H5)</f>
        <v/>
      </c>
      <c r="J5" s="6">
        <f>SUM(B5,D5,F5,H5)</f>
        <v/>
      </c>
      <c r="AD5" s="7" t="inlineStr">
        <is>
          <t>=</t>
        </is>
      </c>
      <c r="AE5" s="7">
        <f>VLOOKUP(AD5,INDIRECT("'Form 1 - Município'!$B$2:$E$70"),4,FALSE)</f>
        <v/>
      </c>
      <c r="AG5" s="7" t="inlineStr">
        <is>
          <t>=</t>
        </is>
      </c>
      <c r="AH5" s="7">
        <f>VLOOKUP(AG5,INDIRECT("'Form 2 - UVR'!$B$2:$E$70"),4,FALSE)</f>
        <v/>
      </c>
      <c r="AJ5" s="7" t="inlineStr">
        <is>
          <t>=</t>
        </is>
      </c>
      <c r="AK5" s="7">
        <f>VLOOKUP(AJ5,INDIRECT("'Form 3 - Empreendimento'!$B$2:$E$70"),4,FALSE)</f>
        <v/>
      </c>
    </row>
    <row r="6">
      <c r="AD6" s="7" t="inlineStr">
        <is>
          <t>=</t>
        </is>
      </c>
      <c r="AE6" s="7">
        <f>VLOOKUP(AD6,INDIRECT("'Form 1 - Município'!$B$2:$E$70"),4,FALSE)</f>
        <v/>
      </c>
      <c r="AG6" s="7" t="inlineStr">
        <is>
          <t>=</t>
        </is>
      </c>
      <c r="AH6" s="7">
        <f>VLOOKUP(AG6,INDIRECT("'Form 2 - UVR'!$B$2:$E$70"),4,FALSE)</f>
        <v/>
      </c>
      <c r="AJ6" s="7" t="inlineStr">
        <is>
          <t>=</t>
        </is>
      </c>
      <c r="AK6" s="7">
        <f>VLOOKUP(AJ6,INDIRECT("'Form 3 - Empreendimento'!$B$2:$E$70"),4,FALSE)</f>
        <v/>
      </c>
    </row>
    <row r="7">
      <c r="AD7" s="7" t="inlineStr">
        <is>
          <t>=</t>
        </is>
      </c>
      <c r="AE7" s="7">
        <f>VLOOKUP(AD7,INDIRECT("'Form 1 - Município'!$B$2:$E$70"),4,FALSE)</f>
        <v/>
      </c>
      <c r="AG7" s="7" t="inlineStr">
        <is>
          <t>=</t>
        </is>
      </c>
      <c r="AH7" s="7">
        <f>VLOOKUP(AG7,INDIRECT("'Form 2 - UVR'!$B$2:$E$70"),4,FALSE)</f>
        <v/>
      </c>
      <c r="AJ7" s="7" t="inlineStr">
        <is>
          <t>=</t>
        </is>
      </c>
      <c r="AK7" s="7">
        <f>VLOOKUP(AJ7,INDIRECT("'Form 3 - Empreendimento'!$B$2:$E$70"),4,FALSE)</f>
        <v/>
      </c>
    </row>
    <row r="8">
      <c r="AD8" s="7" t="inlineStr">
        <is>
          <t>=</t>
        </is>
      </c>
      <c r="AE8" s="7">
        <f>VLOOKUP(AD8,INDIRECT("'Form 1 - Município'!$B$2:$E$70"),4,FALSE)</f>
        <v/>
      </c>
      <c r="AG8" s="7" t="inlineStr">
        <is>
          <t>=</t>
        </is>
      </c>
      <c r="AH8" s="7">
        <f>VLOOKUP(AG8,INDIRECT("'Form 2 - UVR'!$B$2:$E$70"),4,FALSE)</f>
        <v/>
      </c>
      <c r="AJ8" s="7" t="inlineStr">
        <is>
          <t>=</t>
        </is>
      </c>
      <c r="AK8" s="7">
        <f>VLOOKUP(AJ8,INDIRECT("'Form 3 - Empreendimento'!$B$2:$E$70"),4,FALSE)</f>
        <v/>
      </c>
    </row>
    <row r="9" ht="18.75" customHeight="1">
      <c r="A9" s="1" t="inlineStr">
        <is>
          <t>Formulário</t>
        </is>
      </c>
      <c r="B9" s="1" t="inlineStr">
        <is>
          <t>Validados</t>
        </is>
      </c>
      <c r="C9" s="1" t="inlineStr">
        <is>
          <t>%</t>
        </is>
      </c>
      <c r="AD9" s="7" t="inlineStr">
        <is>
          <t>=</t>
        </is>
      </c>
      <c r="AE9" s="7">
        <f>VLOOKUP(AD9,INDIRECT("'Form 1 - Município'!$B$2:$E$70"),4,FALSE)</f>
        <v/>
      </c>
      <c r="AG9" s="7" t="inlineStr">
        <is>
          <t>=</t>
        </is>
      </c>
      <c r="AH9" s="7">
        <f>VLOOKUP(AG9,INDIRECT("'Form 2 - UVR'!$B$2:$E$70"),4,FALSE)</f>
        <v/>
      </c>
      <c r="AJ9" s="7" t="inlineStr">
        <is>
          <t>=</t>
        </is>
      </c>
      <c r="AK9" s="7">
        <f>VLOOKUP(AJ9,INDIRECT("'Form 3 - Empreendimento'!$B$2:$E$70"),4,FALSE)</f>
        <v/>
      </c>
    </row>
    <row r="10" ht="15.75" customHeight="1">
      <c r="A10" s="8" t="inlineStr">
        <is>
          <t>1 - Município</t>
        </is>
      </c>
      <c r="B10" s="4">
        <f>COUNTIF(INDIRECT("'Form 1 - Município'!G2:G100"),"Sim")</f>
        <v/>
      </c>
      <c r="C10" s="9">
        <f>$B$10/(COUNTA(INDIRECT("'Form 1 - Município'!B2:B70")))</f>
        <v/>
      </c>
      <c r="AD10" s="7" t="inlineStr">
        <is>
          <t>=</t>
        </is>
      </c>
      <c r="AE10" s="7">
        <f>VLOOKUP(AD10,INDIRECT("'Form 1 - Município'!$B$2:$E$70"),4,FALSE)</f>
        <v/>
      </c>
      <c r="AG10" s="7" t="inlineStr">
        <is>
          <t>=</t>
        </is>
      </c>
      <c r="AH10" s="7">
        <f>VLOOKUP(AG10,INDIRECT("'Form 2 - UVR'!$B$2:$E$70"),4,FALSE)</f>
        <v/>
      </c>
      <c r="AJ10" s="7" t="inlineStr">
        <is>
          <t>=</t>
        </is>
      </c>
      <c r="AK10" s="7">
        <f>VLOOKUP(AJ10,INDIRECT("'Form 3 - Empreendimento'!$B$2:$E$70"),4,FALSE)</f>
        <v/>
      </c>
    </row>
    <row r="11" ht="15.75" customHeight="1">
      <c r="A11" s="8" t="inlineStr">
        <is>
          <t>2 - UVR</t>
        </is>
      </c>
      <c r="B11" s="4">
        <f>COUNTIF(INDIRECT("'Form 2 - UVR'!G2:G100"),"Sim")</f>
        <v/>
      </c>
      <c r="C11" s="9">
        <f>$B$11/(COUNTA(INDIRECT("'Form 2 - UVR'!B2:B70")))</f>
        <v/>
      </c>
      <c r="AD11" s="7" t="inlineStr">
        <is>
          <t>=</t>
        </is>
      </c>
      <c r="AE11" s="7">
        <f>VLOOKUP(AD11,INDIRECT("'Form 1 - Município'!$B$2:$E$70"),4,FALSE)</f>
        <v/>
      </c>
      <c r="AG11" s="7" t="inlineStr">
        <is>
          <t>=</t>
        </is>
      </c>
      <c r="AH11" s="7">
        <f>VLOOKUP(AG11,INDIRECT("'Form 2 - UVR'!$B$2:$E$70"),4,FALSE)</f>
        <v/>
      </c>
      <c r="AJ11" s="7" t="inlineStr">
        <is>
          <t>=</t>
        </is>
      </c>
      <c r="AK11" s="7">
        <f>VLOOKUP(AJ11,INDIRECT("'Form 3 - Empreendimento'!$B$2:$E$70"),4,FALSE)</f>
        <v/>
      </c>
    </row>
    <row r="12" ht="15.75" customHeight="1">
      <c r="A12" s="8" t="inlineStr">
        <is>
          <t>3 - Empreendimento</t>
        </is>
      </c>
      <c r="B12" s="4">
        <f>COUNTIF(INDIRECT("'Form 3 - Empreendimento'!G2:G100"),"Sim")</f>
        <v/>
      </c>
      <c r="C12" s="9">
        <f>$B$12/(COUNTA(INDIRECT("'Form 3 - Empreendimento'!B2:B70")))</f>
        <v/>
      </c>
      <c r="AD12" s="7" t="inlineStr">
        <is>
          <t>=</t>
        </is>
      </c>
      <c r="AE12" s="7">
        <f>VLOOKUP(AD12,INDIRECT("'Form 1 - Município'!$B$2:$E$70"),4,FALSE)</f>
        <v/>
      </c>
      <c r="AG12" s="7" t="inlineStr">
        <is>
          <t>=</t>
        </is>
      </c>
      <c r="AH12" s="7">
        <f>VLOOKUP(AG12,INDIRECT("'Form 2 - UVR'!$B$2:$E$70"),4,FALSE)</f>
        <v/>
      </c>
      <c r="AJ12" s="7" t="inlineStr">
        <is>
          <t>=</t>
        </is>
      </c>
      <c r="AK12" s="7">
        <f>VLOOKUP(AJ12,INDIRECT("'Form 3 - Empreendimento'!$B$2:$E$70"),4,FALSE)</f>
        <v/>
      </c>
    </row>
    <row r="13">
      <c r="AD13" s="7" t="inlineStr">
        <is>
          <t>=</t>
        </is>
      </c>
      <c r="AE13" s="7">
        <f>VLOOKUP(AD13,INDIRECT("'Form 1 - Município'!$B$2:$E$70"),4,FALSE)</f>
        <v/>
      </c>
      <c r="AG13" s="7" t="inlineStr">
        <is>
          <t>=</t>
        </is>
      </c>
      <c r="AH13" s="7">
        <f>VLOOKUP(AG13,INDIRECT("'Form 2 - UVR'!$B$2:$E$70"),4,FALSE)</f>
        <v/>
      </c>
      <c r="AJ13" s="7" t="inlineStr">
        <is>
          <t>=</t>
        </is>
      </c>
      <c r="AK13" s="7">
        <f>VLOOKUP(AJ13,INDIRECT("'Form 3 - Empreendimento'!$B$2:$E$70"),4,FALSE)</f>
        <v/>
      </c>
    </row>
    <row r="14">
      <c r="AD14" s="7" t="inlineStr">
        <is>
          <t>=</t>
        </is>
      </c>
      <c r="AE14" s="7">
        <f>VLOOKUP(AD14,INDIRECT("'Form 1 - Município'!$B$2:$E$70"),4,FALSE)</f>
        <v/>
      </c>
      <c r="AG14" s="7" t="inlineStr">
        <is>
          <t>=</t>
        </is>
      </c>
      <c r="AH14" s="7">
        <f>VLOOKUP(AG14,INDIRECT("'Form 2 - UVR'!$B$2:$E$70"),4,FALSE)</f>
        <v/>
      </c>
      <c r="AJ14" s="7" t="inlineStr">
        <is>
          <t>=</t>
        </is>
      </c>
      <c r="AK14" s="7">
        <f>VLOOKUP(AJ14,INDIRECT("'Form 3 - Empreendimento'!$B$2:$E$70"),4,FALSE)</f>
        <v/>
      </c>
    </row>
    <row r="15" ht="15.75" customHeight="1">
      <c r="A15" s="10" t="inlineStr">
        <is>
          <t>Regional</t>
        </is>
      </c>
      <c r="B15" s="11" t="inlineStr">
        <is>
          <t>Form 1 - Município</t>
        </is>
      </c>
      <c r="C15" s="3" t="n"/>
      <c r="D15" s="11" t="inlineStr">
        <is>
          <t>Form 2 - UVR</t>
        </is>
      </c>
      <c r="E15" s="3" t="n"/>
      <c r="F15" s="11" t="inlineStr">
        <is>
          <t>Form 3 - Empreendimento</t>
        </is>
      </c>
      <c r="G15" s="3" t="n"/>
      <c r="AD15" s="7" t="inlineStr">
        <is>
          <t>=</t>
        </is>
      </c>
      <c r="AE15" s="7">
        <f>VLOOKUP(AD15,INDIRECT("'Form 1 - Município'!$B$2:$E$70"),4,FALSE)</f>
        <v/>
      </c>
      <c r="AG15" s="7" t="inlineStr">
        <is>
          <t>=</t>
        </is>
      </c>
      <c r="AH15" s="7">
        <f>VLOOKUP(AG15,INDIRECT("'Form 2 - UVR'!$B$2:$E$70"),4,FALSE)</f>
        <v/>
      </c>
      <c r="AJ15" s="7" t="inlineStr">
        <is>
          <t>=</t>
        </is>
      </c>
      <c r="AK15" s="7">
        <f>VLOOKUP(AJ15,INDIRECT("'Form 3 - Empreendimento'!$B$2:$E$70"),4,FALSE)</f>
        <v/>
      </c>
    </row>
    <row r="16" ht="15.75" customHeight="1">
      <c r="A16" s="12" t="n"/>
      <c r="B16" s="13" t="inlineStr">
        <is>
          <t>Validados</t>
        </is>
      </c>
      <c r="C16" s="13" t="inlineStr">
        <is>
          <t>%</t>
        </is>
      </c>
      <c r="D16" s="13" t="inlineStr">
        <is>
          <t>Validados</t>
        </is>
      </c>
      <c r="E16" s="13" t="inlineStr">
        <is>
          <t>%</t>
        </is>
      </c>
      <c r="F16" s="13" t="inlineStr">
        <is>
          <t>Validados</t>
        </is>
      </c>
      <c r="G16" s="13" t="inlineStr">
        <is>
          <t>%</t>
        </is>
      </c>
      <c r="AD16" s="7" t="inlineStr">
        <is>
          <t>=</t>
        </is>
      </c>
      <c r="AE16" s="7">
        <f>VLOOKUP(AD16,INDIRECT("'Form 1 - Município'!$B$2:$E$70"),4,FALSE)</f>
        <v/>
      </c>
      <c r="AG16" s="7" t="inlineStr">
        <is>
          <t>=</t>
        </is>
      </c>
      <c r="AH16" s="7">
        <f>VLOOKUP(AG16,INDIRECT("'Form 2 - UVR'!$B$2:$E$70"),4,FALSE)</f>
        <v/>
      </c>
      <c r="AJ16" s="7" t="inlineStr">
        <is>
          <t>=</t>
        </is>
      </c>
      <c r="AK16" s="7">
        <f>VLOOKUP(AJ16,INDIRECT("'Form 3 - Empreendimento'!$B$2:$E$70"),4,FALSE)</f>
        <v/>
      </c>
    </row>
    <row r="17">
      <c r="A17" s="14" t="inlineStr">
        <is>
          <t>Coripa</t>
        </is>
      </c>
      <c r="B17" s="7">
        <f t="array" ref="B17">IFERROR(ROWS(_xlfn._xlws.FILTER(INDIRECT("'"&amp;B$15&amp;"'!A2:K100"),(INDIRECT("'"&amp;B$15&amp;"'!A2:A100")=$A17) * (INDIRECT("'"&amp;B$15&amp;"'!G2:G100")="Sim"))), 0)</f>
        <v/>
      </c>
      <c r="C17" s="9">
        <f>B17/(COUNTA(INDIRECT("'Form 1 - Município'!B2:B70")))</f>
        <v/>
      </c>
      <c r="D17" s="7">
        <f t="array" ref="D17">IFERROR(ROWS(_xlfn._xlws.FILTER(INDIRECT("'"&amp;D$15&amp;"'!A2:K100"),(INDIRECT("'"&amp;D$15&amp;"'!A2:A100")=$A17) * (INDIRECT("'"&amp;D$15&amp;"'!G2:G100")="Sim"))), 0)</f>
        <v/>
      </c>
      <c r="E17" s="9">
        <f>D17/(COUNTA(INDIRECT("'Form 2 - UVR'!B2:B70")))</f>
        <v/>
      </c>
      <c r="F17" s="7">
        <f t="array" ref="F17">IFERROR(ROWS(_xlfn._xlws.FILTER(INDIRECT("'"&amp;F$15&amp;"'!A2:K100"),(INDIRECT("'"&amp;F$15&amp;"'!A2:A100")=$A17) * (INDIRECT("'"&amp;F$15&amp;"'!G2:G100")="Sim"))), 0)</f>
        <v/>
      </c>
      <c r="G17" s="9">
        <f>F17/B4</f>
        <v/>
      </c>
      <c r="AD17" s="7" t="inlineStr">
        <is>
          <t>=</t>
        </is>
      </c>
      <c r="AE17" s="7">
        <f>VLOOKUP(AD17,INDIRECT("'Form 1 - Município'!$B$2:$E$70"),4,FALSE)</f>
        <v/>
      </c>
      <c r="AG17" s="7" t="inlineStr">
        <is>
          <t>=</t>
        </is>
      </c>
      <c r="AH17" s="7">
        <f>VLOOKUP(AG17,INDIRECT("'Form 2 - UVR'!$B$2:$E$70"),4,FALSE)</f>
        <v/>
      </c>
      <c r="AJ17" s="7" t="inlineStr">
        <is>
          <t>=</t>
        </is>
      </c>
      <c r="AK17" s="7">
        <f>VLOOKUP(AJ17,INDIRECT("'Form 3 - Empreendimento'!$B$2:$E$70"),4,FALSE)</f>
        <v/>
      </c>
    </row>
    <row r="18">
      <c r="A18" s="15" t="inlineStr">
        <is>
          <t>Comafen</t>
        </is>
      </c>
      <c r="B18" s="7">
        <f t="array" ref="B18">IFERROR(ROWS(_xlfn._xlws.FILTER(INDIRECT("'"&amp;B$15&amp;"'!A2:K100"),(INDIRECT("'"&amp;B$15&amp;"'!A2:A100")=$A18) * (INDIRECT("'"&amp;B$15&amp;"'!G2:G100")="Sim"))), 0)</f>
        <v/>
      </c>
      <c r="C18" s="9">
        <f>B18/(COUNTA(INDIRECT("'Form 1 - Município'!B2:B70")))</f>
        <v/>
      </c>
      <c r="D18" s="7">
        <f t="array" ref="D18">IFERROR(ROWS(_xlfn._xlws.FILTER(INDIRECT("'"&amp;D$15&amp;"'!A2:K100"),(INDIRECT("'"&amp;D$15&amp;"'!A2:A100")=$A18) * (INDIRECT("'"&amp;D$15&amp;"'!G2:G100")="Sim"))), 0)</f>
        <v/>
      </c>
      <c r="E18" s="9">
        <f>D18/(COUNTA(INDIRECT("'Form 2 - UVR'!B2:B70")))</f>
        <v/>
      </c>
      <c r="F18" s="7">
        <f t="array" ref="F18">IFERROR(ROWS(_xlfn._xlws.FILTER(INDIRECT("'"&amp;F$15&amp;"'!A2:K100"),(INDIRECT("'"&amp;F$15&amp;"'!A2:A100")=$A18) * (INDIRECT("'"&amp;F$15&amp;"'!G2:G100")="Sim"))), 0)</f>
        <v/>
      </c>
      <c r="G18" s="9">
        <f>F18/B5</f>
        <v/>
      </c>
      <c r="AD18" s="7" t="inlineStr">
        <is>
          <t>=</t>
        </is>
      </c>
      <c r="AE18" s="7">
        <f>VLOOKUP(AD18,INDIRECT("'Form 1 - Município'!$B$2:$E$70"),4,FALSE)</f>
        <v/>
      </c>
      <c r="AG18" s="7" t="inlineStr">
        <is>
          <t>=</t>
        </is>
      </c>
      <c r="AH18" s="7">
        <f>VLOOKUP(AG18,INDIRECT("'Form 2 - UVR'!$B$2:$E$70"),4,FALSE)</f>
        <v/>
      </c>
      <c r="AJ18" s="7" t="inlineStr">
        <is>
          <t>=</t>
        </is>
      </c>
      <c r="AK18" s="7">
        <f>VLOOKUP(AJ18,INDIRECT("'Form 3 - Empreendimento'!$B$2:$E$70"),4,FALSE)</f>
        <v/>
      </c>
    </row>
    <row r="19">
      <c r="A19" s="16" t="inlineStr">
        <is>
          <t>Cibax</t>
        </is>
      </c>
      <c r="B19" s="7">
        <f t="array" ref="B19">IFERROR(ROWS(_xlfn._xlws.FILTER(INDIRECT("'"&amp;B$15&amp;"'!A2:K100"),(INDIRECT("'"&amp;B$15&amp;"'!A2:A100")=$A19) * (INDIRECT("'"&amp;B$15&amp;"'!G2:G100")="Sim"))), 0)</f>
        <v/>
      </c>
      <c r="C19" s="9">
        <f>B19/(COUNTA(INDIRECT("'Form 1 - Município'!B2:B70")))</f>
        <v/>
      </c>
      <c r="D19" s="7">
        <f t="array" ref="D19">IFERROR(ROWS(_xlfn._xlws.FILTER(INDIRECT("'"&amp;D$15&amp;"'!A2:K100"),(INDIRECT("'"&amp;D$15&amp;"'!A2:A100")=$A19) * (INDIRECT("'"&amp;D$15&amp;"'!G2:G100")="Sim"))), 0)</f>
        <v/>
      </c>
      <c r="E19" s="9">
        <f>D19/(COUNTA(INDIRECT("'Form 2 - UVR'!B2:B70")))</f>
        <v/>
      </c>
      <c r="F19" s="7">
        <f t="array" ref="F19">IFERROR(ROWS(_xlfn._xlws.FILTER(INDIRECT("'"&amp;F$15&amp;"'!A2:K100"),(INDIRECT("'"&amp;F$15&amp;"'!A2:A100")=$A19) * (INDIRECT("'"&amp;F$15&amp;"'!G2:G100")="Sim"))), 0)</f>
        <v/>
      </c>
      <c r="G19" s="9">
        <f>F19/B5</f>
        <v/>
      </c>
      <c r="AD19" s="7" t="inlineStr">
        <is>
          <t>=</t>
        </is>
      </c>
      <c r="AE19" s="7">
        <f>VLOOKUP(AD19,INDIRECT("'Form 1 - Município'!$B$2:$E$70"),4,FALSE)</f>
        <v/>
      </c>
      <c r="AG19" s="7" t="inlineStr">
        <is>
          <t>=</t>
        </is>
      </c>
      <c r="AH19" s="7">
        <f>VLOOKUP(AG19,INDIRECT("'Form 2 - UVR'!$B$2:$E$70"),4,FALSE)</f>
        <v/>
      </c>
      <c r="AJ19" s="7" t="inlineStr">
        <is>
          <t>=</t>
        </is>
      </c>
      <c r="AK19" s="7">
        <f>VLOOKUP(AJ19,INDIRECT("'Form 3 - Empreendimento'!$B$2:$E$70"),4,FALSE)</f>
        <v/>
      </c>
    </row>
    <row r="20">
      <c r="A20" s="17" t="inlineStr">
        <is>
          <t>Cifra</t>
        </is>
      </c>
      <c r="B20" s="7">
        <f t="array" ref="B20">IFERROR(ROWS(_xlfn._xlws.FILTER(INDIRECT("'"&amp;B$15&amp;"'!A2:K100"),(INDIRECT("'"&amp;B$15&amp;"'!A2:A100")=$A20) * (INDIRECT("'"&amp;B$15&amp;"'!G2:G100")="Sim"))), 0)</f>
        <v/>
      </c>
      <c r="C20" s="9">
        <f>B20/(COUNTA(INDIRECT("'Form 1 - Município'!B2:B70")))</f>
        <v/>
      </c>
      <c r="D20" s="7">
        <f t="array" ref="D20">IFERROR(ROWS(_xlfn._xlws.FILTER(INDIRECT("'"&amp;D$15&amp;"'!A2:K100"),(INDIRECT("'"&amp;D$15&amp;"'!A2:A100")=$A20) * (INDIRECT("'"&amp;D$15&amp;"'!G2:G100")="Sim"))), 0)</f>
        <v/>
      </c>
      <c r="E20" s="9">
        <f>D20/(COUNTA(INDIRECT("'Form 2 - UVR'!B2:B70")))</f>
        <v/>
      </c>
      <c r="F20" s="7">
        <f t="array" ref="F20">IFERROR(ROWS(_xlfn._xlws.FILTER(INDIRECT("'"&amp;F$15&amp;"'!A2:K100"),(INDIRECT("'"&amp;F$15&amp;"'!A2:A100")=$A20) * (INDIRECT("'"&amp;F$15&amp;"'!G2:G100")="Sim"))), 0)</f>
        <v/>
      </c>
      <c r="G20" s="9">
        <f>F20/B5</f>
        <v/>
      </c>
      <c r="AD20" s="7" t="inlineStr">
        <is>
          <t>=</t>
        </is>
      </c>
      <c r="AE20" s="7">
        <f>VLOOKUP(AD20,INDIRECT("'Form 1 - Município'!$B$2:$E$70"),4,FALSE)</f>
        <v/>
      </c>
      <c r="AG20" s="7" t="inlineStr">
        <is>
          <t>=</t>
        </is>
      </c>
      <c r="AH20" s="7">
        <f>VLOOKUP(AG20,INDIRECT("'Form 2 - UVR'!$B$2:$E$70"),4,FALSE)</f>
        <v/>
      </c>
      <c r="AJ20" s="7" t="inlineStr">
        <is>
          <t>=</t>
        </is>
      </c>
      <c r="AK20" s="7">
        <f>VLOOKUP(AJ20,INDIRECT("'Form 3 - Empreendimento'!$B$2:$E$70"),4,FALSE)</f>
        <v/>
      </c>
    </row>
    <row r="21">
      <c r="A21" s="18" t="inlineStr">
        <is>
          <t>Conisul</t>
        </is>
      </c>
      <c r="B21" s="7">
        <f t="array" ref="B21">IFERROR(ROWS(_xlfn._xlws.FILTER(INDIRECT("'"&amp;B$15&amp;"'!A2:K100"),(INDIRECT("'"&amp;B$15&amp;"'!A2:A100")=$A21) * (INDIRECT("'"&amp;B$15&amp;"'!G2:G100")="Sim"))), 0)</f>
        <v/>
      </c>
      <c r="C21" s="9">
        <f>B21/(COUNTA(INDIRECT("'Form 1 - Município'!B2:B70")))</f>
        <v/>
      </c>
      <c r="D21" s="7">
        <f t="array" ref="D21">IFERROR(ROWS(_xlfn._xlws.FILTER(INDIRECT("'"&amp;D$15&amp;"'!A2:K100"),(INDIRECT("'"&amp;D$15&amp;"'!A2:A100")=$A21) * (INDIRECT("'"&amp;D$15&amp;"'!G2:G100")="Sim"))), 0)</f>
        <v/>
      </c>
      <c r="E21" s="9">
        <f>D21/(COUNTA(INDIRECT("'Form 2 - UVR'!B2:B70")))</f>
        <v/>
      </c>
      <c r="F21" s="7">
        <f t="array" ref="F21">IFERROR(ROWS(_xlfn._xlws.FILTER(INDIRECT("'"&amp;F$15&amp;"'!A2:K100"),(INDIRECT("'"&amp;F$15&amp;"'!A2:A100")=$A21) * (INDIRECT("'"&amp;F$15&amp;"'!G2:G100")="Sim"))), 0)</f>
        <v/>
      </c>
      <c r="G21" s="9">
        <f>F21/B5</f>
        <v/>
      </c>
      <c r="AD21" s="7" t="inlineStr">
        <is>
          <t>=</t>
        </is>
      </c>
      <c r="AE21" s="7">
        <f>VLOOKUP(AD21,INDIRECT("'Form 1 - Município'!$B$2:$E$70"),4,FALSE)</f>
        <v/>
      </c>
      <c r="AG21" s="7" t="inlineStr">
        <is>
          <t>=</t>
        </is>
      </c>
      <c r="AH21" s="7">
        <f>VLOOKUP(AG21,INDIRECT("'Form 2 - UVR'!$B$2:$E$70"),4,FALSE)</f>
        <v/>
      </c>
      <c r="AJ21" s="7" t="inlineStr">
        <is>
          <t>=</t>
        </is>
      </c>
      <c r="AK21" s="7">
        <f>VLOOKUP(AJ21,INDIRECT("'Form 3 - Empreendimento'!$B$2:$E$70"),4,FALSE)</f>
        <v/>
      </c>
    </row>
    <row r="22">
      <c r="A22" s="19" t="inlineStr">
        <is>
          <t>Total</t>
        </is>
      </c>
      <c r="B22" s="20">
        <f>SUM(B17:B21)</f>
        <v/>
      </c>
      <c r="C22" s="21">
        <f>SUM(C17:C21)</f>
        <v/>
      </c>
      <c r="D22" s="20">
        <f>SUM(D17:D21)</f>
        <v/>
      </c>
      <c r="E22" s="21">
        <f>SUM(E17:E21)</f>
        <v/>
      </c>
      <c r="F22" s="20">
        <f>SUM(F17:F21)</f>
        <v/>
      </c>
      <c r="G22" s="21">
        <f>SUM(G17:G21)</f>
        <v/>
      </c>
      <c r="AD22" s="7" t="inlineStr">
        <is>
          <t>=</t>
        </is>
      </c>
      <c r="AE22" s="7">
        <f>VLOOKUP(AD22,INDIRECT("'Form 1 - Município'!$B$2:$E$70"),4,FALSE)</f>
        <v/>
      </c>
      <c r="AG22" s="7" t="inlineStr">
        <is>
          <t>=</t>
        </is>
      </c>
      <c r="AH22" s="7">
        <f>VLOOKUP(AG22,INDIRECT("'Form 2 - UVR'!$B$2:$E$70"),4,FALSE)</f>
        <v/>
      </c>
      <c r="AJ22" s="7" t="inlineStr">
        <is>
          <t>=</t>
        </is>
      </c>
      <c r="AK22" s="7">
        <f>VLOOKUP(AJ22,INDIRECT("'Form 3 - Empreendimento'!$B$2:$E$70"),4,FALSE)</f>
        <v/>
      </c>
    </row>
    <row r="23">
      <c r="AD23" s="7" t="inlineStr">
        <is>
          <t>=</t>
        </is>
      </c>
      <c r="AE23" s="7">
        <f>VLOOKUP(AD23,INDIRECT("'Form 1 - Município'!$B$2:$E$70"),4,FALSE)</f>
        <v/>
      </c>
      <c r="AG23" s="7" t="inlineStr">
        <is>
          <t>=</t>
        </is>
      </c>
      <c r="AH23" s="7">
        <f>VLOOKUP(AG23,INDIRECT("'Form 2 - UVR'!$B$2:$E$70"),4,FALSE)</f>
        <v/>
      </c>
      <c r="AJ23" s="7" t="inlineStr">
        <is>
          <t>=</t>
        </is>
      </c>
      <c r="AK23" s="7">
        <f>VLOOKUP(AJ23,INDIRECT("'Form 3 - Empreendimento'!$B$2:$E$70"),4,FALSE)</f>
        <v/>
      </c>
    </row>
    <row r="24">
      <c r="AD24" s="7" t="inlineStr">
        <is>
          <t>=</t>
        </is>
      </c>
      <c r="AE24" s="7">
        <f>VLOOKUP(AD24,INDIRECT("'Form 1 - Município'!$B$2:$E$70"),4,FALSE)</f>
        <v/>
      </c>
      <c r="AG24" s="7" t="inlineStr">
        <is>
          <t>=</t>
        </is>
      </c>
      <c r="AH24" s="7">
        <f>VLOOKUP(AG24,INDIRECT("'Form 2 - UVR'!$B$2:$E$70"),4,FALSE)</f>
        <v/>
      </c>
      <c r="AJ24" s="7" t="inlineStr">
        <is>
          <t>=</t>
        </is>
      </c>
      <c r="AK24" s="7">
        <f>VLOOKUP(AJ24,INDIRECT("'Form 3 - Empreendimento'!$B$2:$E$70"),4,FALSE)</f>
        <v/>
      </c>
    </row>
    <row r="25">
      <c r="AD25" s="7" t="inlineStr">
        <is>
          <t>=</t>
        </is>
      </c>
      <c r="AE25" s="7">
        <f>VLOOKUP(AD25,INDIRECT("'Form 1 - Município'!$B$2:$E$70"),4,FALSE)</f>
        <v/>
      </c>
      <c r="AG25" s="7" t="inlineStr">
        <is>
          <t>=</t>
        </is>
      </c>
      <c r="AH25" s="7">
        <f>VLOOKUP(AG25,INDIRECT("'Form 2 - UVR'!$B$2:$E$70"),4,FALSE)</f>
        <v/>
      </c>
      <c r="AJ25" s="7" t="inlineStr">
        <is>
          <t>=</t>
        </is>
      </c>
      <c r="AK25" s="7">
        <f>VLOOKUP(AJ25,INDIRECT("'Form 3 - Empreendimento'!$B$2:$E$70"),4,FALSE)</f>
        <v/>
      </c>
    </row>
    <row r="26">
      <c r="AD26" s="7" t="inlineStr">
        <is>
          <t>=</t>
        </is>
      </c>
      <c r="AE26" s="7">
        <f>VLOOKUP(AD26,INDIRECT("'Form 1 - Município'!$B$2:$E$70"),4,FALSE)</f>
        <v/>
      </c>
      <c r="AG26" s="7" t="inlineStr">
        <is>
          <t>=</t>
        </is>
      </c>
      <c r="AH26" s="7">
        <f>VLOOKUP(AG26,INDIRECT("'Form 2 - UVR'!$B$2:$E$70"),4,FALSE)</f>
        <v/>
      </c>
      <c r="AJ26" s="7" t="inlineStr">
        <is>
          <t>=</t>
        </is>
      </c>
      <c r="AK26" s="7">
        <f>VLOOKUP(AJ26,INDIRECT("'Form 3 - Empreendimento'!$B$2:$E$70"),4,FALSE)</f>
        <v/>
      </c>
    </row>
    <row r="27">
      <c r="AD27" s="7" t="inlineStr">
        <is>
          <t>=</t>
        </is>
      </c>
      <c r="AE27" s="7">
        <f>VLOOKUP(AD27,INDIRECT("'Form 1 - Município'!$B$2:$E$70"),4,FALSE)</f>
        <v/>
      </c>
      <c r="AG27" s="7" t="inlineStr">
        <is>
          <t>=</t>
        </is>
      </c>
      <c r="AH27" s="7">
        <f>VLOOKUP(AG27,INDIRECT("'Form 2 - UVR'!$B$2:$E$70"),4,FALSE)</f>
        <v/>
      </c>
      <c r="AJ27" s="7" t="inlineStr">
        <is>
          <t>=</t>
        </is>
      </c>
      <c r="AK27" s="7">
        <f>VLOOKUP(AJ27,INDIRECT("'Form 3 - Empreendimento'!$B$2:$E$70"),4,FALSE)</f>
        <v/>
      </c>
    </row>
    <row r="28">
      <c r="AD28" s="7" t="inlineStr">
        <is>
          <t>=</t>
        </is>
      </c>
      <c r="AE28" s="7">
        <f>VLOOKUP(AD28,INDIRECT("'Form 1 - Município'!$B$2:$E$70"),4,FALSE)</f>
        <v/>
      </c>
      <c r="AG28" s="7" t="inlineStr">
        <is>
          <t>=</t>
        </is>
      </c>
      <c r="AH28" s="7">
        <f>VLOOKUP(AG28,INDIRECT("'Form 2 - UVR'!$B$2:$E$70"),4,FALSE)</f>
        <v/>
      </c>
      <c r="AJ28" s="7" t="inlineStr">
        <is>
          <t>=</t>
        </is>
      </c>
      <c r="AK28" s="7">
        <f>VLOOKUP(AJ28,INDIRECT("'Form 3 - Empreendimento'!$B$2:$E$70"),4,FALSE)</f>
        <v/>
      </c>
    </row>
    <row r="29">
      <c r="AD29" s="7" t="inlineStr">
        <is>
          <t>=</t>
        </is>
      </c>
      <c r="AE29" s="7">
        <f>VLOOKUP(AD29,INDIRECT("'Form 1 - Município'!$B$2:$E$70"),4,FALSE)</f>
        <v/>
      </c>
      <c r="AG29" s="7" t="inlineStr">
        <is>
          <t>=</t>
        </is>
      </c>
      <c r="AH29" s="7">
        <f>VLOOKUP(AG29,INDIRECT("'Form 2 - UVR'!$B$2:$E$70"),4,FALSE)</f>
        <v/>
      </c>
      <c r="AJ29" s="7" t="inlineStr">
        <is>
          <t>=</t>
        </is>
      </c>
      <c r="AK29" s="7">
        <f>VLOOKUP(AJ29,INDIRECT("'Form 3 - Empreendimento'!$B$2:$E$70"),4,FALSE)</f>
        <v/>
      </c>
    </row>
    <row r="30">
      <c r="AD30" s="7" t="inlineStr">
        <is>
          <t>=</t>
        </is>
      </c>
      <c r="AE30" s="7">
        <f>VLOOKUP(AD30,INDIRECT("'Form 1 - Município'!$B$2:$E$70"),4,FALSE)</f>
        <v/>
      </c>
      <c r="AG30" s="7" t="inlineStr">
        <is>
          <t>=</t>
        </is>
      </c>
      <c r="AH30" s="7">
        <f>VLOOKUP(AG30,INDIRECT("'Form 2 - UVR'!$B$2:$E$70"),4,FALSE)</f>
        <v/>
      </c>
      <c r="AJ30" s="7" t="inlineStr">
        <is>
          <t>=</t>
        </is>
      </c>
      <c r="AK30" s="7">
        <f>VLOOKUP(AJ30,INDIRECT("'Form 3 - Empreendimento'!$B$2:$E$70"),4,FALSE)</f>
        <v/>
      </c>
    </row>
    <row r="31">
      <c r="AD31" s="7" t="inlineStr">
        <is>
          <t>=</t>
        </is>
      </c>
      <c r="AE31" s="7">
        <f>VLOOKUP(AD31,INDIRECT("'Form 1 - Município'!$B$2:$E$70"),4,FALSE)</f>
        <v/>
      </c>
      <c r="AG31" s="7" t="inlineStr">
        <is>
          <t>=</t>
        </is>
      </c>
      <c r="AH31" s="7">
        <f>VLOOKUP(AG31,INDIRECT("'Form 2 - UVR'!$B$2:$E$70"),4,FALSE)</f>
        <v/>
      </c>
      <c r="AJ31" s="7" t="inlineStr">
        <is>
          <t>=</t>
        </is>
      </c>
      <c r="AK31" s="7">
        <f>VLOOKUP(AJ31,INDIRECT("'Form 3 - Empreendimento'!$B$2:$E$70"),4,FALSE)</f>
        <v/>
      </c>
    </row>
    <row r="32">
      <c r="AD32" s="7" t="inlineStr">
        <is>
          <t>=</t>
        </is>
      </c>
      <c r="AE32" s="7">
        <f>VLOOKUP(AD32,INDIRECT("'Form 1 - Município'!$B$2:$E$70"),4,FALSE)</f>
        <v/>
      </c>
      <c r="AG32" s="7" t="inlineStr">
        <is>
          <t>=</t>
        </is>
      </c>
      <c r="AH32" s="7">
        <f>VLOOKUP(AG32,INDIRECT("'Form 2 - UVR'!$B$2:$E$70"),4,FALSE)</f>
        <v/>
      </c>
      <c r="AJ32" s="7" t="inlineStr">
        <is>
          <t>=</t>
        </is>
      </c>
      <c r="AK32" s="7">
        <f>VLOOKUP(AJ32,INDIRECT("'Form 3 - Empreendimento'!$B$2:$E$70"),4,FALSE)</f>
        <v/>
      </c>
    </row>
    <row r="33">
      <c r="AD33" s="7" t="inlineStr">
        <is>
          <t>=</t>
        </is>
      </c>
      <c r="AE33" s="7">
        <f>VLOOKUP(AD33,INDIRECT("'Form 1 - Município'!$B$2:$E$70"),4,FALSE)</f>
        <v/>
      </c>
      <c r="AG33" s="7" t="inlineStr">
        <is>
          <t>=</t>
        </is>
      </c>
      <c r="AH33" s="7">
        <f>VLOOKUP(AG33,INDIRECT("'Form 2 - UVR'!$B$2:$E$70"),4,FALSE)</f>
        <v/>
      </c>
      <c r="AJ33" s="7" t="inlineStr">
        <is>
          <t>=</t>
        </is>
      </c>
      <c r="AK33" s="7">
        <f>VLOOKUP(AJ33,INDIRECT("'Form 3 - Empreendimento'!$B$2:$E$70"),4,FALSE)</f>
        <v/>
      </c>
    </row>
    <row r="34">
      <c r="AD34" s="7" t="inlineStr">
        <is>
          <t>=</t>
        </is>
      </c>
      <c r="AE34" s="7">
        <f>VLOOKUP(AD34,INDIRECT("'Form 1 - Município'!$B$2:$E$70"),4,FALSE)</f>
        <v/>
      </c>
      <c r="AG34" s="7" t="inlineStr">
        <is>
          <t>=</t>
        </is>
      </c>
      <c r="AH34" s="7">
        <f>VLOOKUP(AG34,INDIRECT("'Form 2 - UVR'!$B$2:$E$70"),4,FALSE)</f>
        <v/>
      </c>
      <c r="AJ34" s="7" t="inlineStr">
        <is>
          <t>=</t>
        </is>
      </c>
      <c r="AK34" s="7">
        <f>VLOOKUP(AJ34,INDIRECT("'Form 3 - Empreendimento'!$B$2:$E$70"),4,FALSE)</f>
        <v/>
      </c>
    </row>
    <row r="35">
      <c r="AD35" s="7" t="inlineStr">
        <is>
          <t>=</t>
        </is>
      </c>
      <c r="AE35" s="7">
        <f>VLOOKUP(AD35,INDIRECT("'Form 1 - Município'!$B$2:$E$70"),4,FALSE)</f>
        <v/>
      </c>
      <c r="AG35" s="7" t="inlineStr">
        <is>
          <t>=</t>
        </is>
      </c>
      <c r="AH35" s="7">
        <f>VLOOKUP(AG35,INDIRECT("'Form 2 - UVR'!$B$2:$E$70"),4,FALSE)</f>
        <v/>
      </c>
      <c r="AJ35" s="7" t="inlineStr">
        <is>
          <t>=</t>
        </is>
      </c>
      <c r="AK35" s="7">
        <f>VLOOKUP(AJ35,INDIRECT("'Form 3 - Empreendimento'!$B$2:$E$70"),4,FALSE)</f>
        <v/>
      </c>
    </row>
    <row r="36">
      <c r="AD36" s="7" t="inlineStr">
        <is>
          <t>=</t>
        </is>
      </c>
      <c r="AE36" s="7">
        <f>VLOOKUP(AD36,INDIRECT("'Form 1 - Município'!$B$2:$E$70"),4,FALSE)</f>
        <v/>
      </c>
      <c r="AG36" s="7" t="inlineStr">
        <is>
          <t>=</t>
        </is>
      </c>
      <c r="AH36" s="7">
        <f>VLOOKUP(AG36,INDIRECT("'Form 2 - UVR'!$B$2:$E$70"),4,FALSE)</f>
        <v/>
      </c>
      <c r="AJ36" s="7" t="inlineStr">
        <is>
          <t>=</t>
        </is>
      </c>
      <c r="AK36" s="7">
        <f>VLOOKUP(AJ36,INDIRECT("'Form 3 - Empreendimento'!$B$2:$E$70"),4,FALSE)</f>
        <v/>
      </c>
    </row>
    <row r="37">
      <c r="AD37" s="7" t="inlineStr">
        <is>
          <t>=</t>
        </is>
      </c>
      <c r="AE37" s="7">
        <f>VLOOKUP(AD37,INDIRECT("'Form 1 - Município'!$B$2:$E$70"),4,FALSE)</f>
        <v/>
      </c>
      <c r="AG37" s="7" t="inlineStr">
        <is>
          <t>=</t>
        </is>
      </c>
      <c r="AH37" s="7">
        <f>VLOOKUP(AG37,INDIRECT("'Form 2 - UVR'!$B$2:$E$70"),4,FALSE)</f>
        <v/>
      </c>
      <c r="AJ37" s="7" t="inlineStr">
        <is>
          <t>=</t>
        </is>
      </c>
      <c r="AK37" s="7">
        <f>VLOOKUP(AJ37,INDIRECT("'Form 3 - Empreendimento'!$B$2:$E$70"),4,FALSE)</f>
        <v/>
      </c>
    </row>
    <row r="38">
      <c r="AD38" s="7" t="inlineStr">
        <is>
          <t>=</t>
        </is>
      </c>
      <c r="AE38" s="7">
        <f>VLOOKUP(AD38,INDIRECT("'Form 1 - Município'!$B$2:$E$70"),4,FALSE)</f>
        <v/>
      </c>
      <c r="AG38" s="7" t="inlineStr">
        <is>
          <t>=</t>
        </is>
      </c>
      <c r="AH38" s="7">
        <f>VLOOKUP(AG38,INDIRECT("'Form 2 - UVR'!$B$2:$E$70"),4,FALSE)</f>
        <v/>
      </c>
      <c r="AJ38" s="7" t="inlineStr">
        <is>
          <t>=</t>
        </is>
      </c>
      <c r="AK38" s="7">
        <f>VLOOKUP(AJ38,INDIRECT("'Form 3 - Empreendimento'!$B$2:$E$70"),4,FALSE)</f>
        <v/>
      </c>
    </row>
    <row r="39">
      <c r="AD39" s="7" t="inlineStr">
        <is>
          <t>=</t>
        </is>
      </c>
      <c r="AE39" s="7">
        <f>VLOOKUP(AD39,INDIRECT("'Form 1 - Município'!$B$2:$E$70"),4,FALSE)</f>
        <v/>
      </c>
      <c r="AG39" s="7" t="inlineStr">
        <is>
          <t>=</t>
        </is>
      </c>
      <c r="AH39" s="7">
        <f>VLOOKUP(AG39,INDIRECT("'Form 2 - UVR'!$B$2:$E$70"),4,FALSE)</f>
        <v/>
      </c>
      <c r="AJ39" s="7" t="inlineStr">
        <is>
          <t>=</t>
        </is>
      </c>
      <c r="AK39" s="7">
        <f>VLOOKUP(AJ39,INDIRECT("'Form 3 - Empreendimento'!$B$2:$E$70"),4,FALSE)</f>
        <v/>
      </c>
    </row>
    <row r="40">
      <c r="AD40" s="7" t="inlineStr">
        <is>
          <t>=</t>
        </is>
      </c>
      <c r="AE40" s="7">
        <f>VLOOKUP(AD40,INDIRECT("'Form 1 - Município'!$B$2:$E$70"),4,FALSE)</f>
        <v/>
      </c>
      <c r="AG40" s="7" t="inlineStr">
        <is>
          <t>=</t>
        </is>
      </c>
      <c r="AH40" s="7">
        <f>VLOOKUP(AG40,INDIRECT("'Form 2 - UVR'!$B$2:$E$70"),4,FALSE)</f>
        <v/>
      </c>
      <c r="AJ40" s="7" t="inlineStr">
        <is>
          <t>=</t>
        </is>
      </c>
      <c r="AK40" s="7">
        <f>VLOOKUP(AJ40,INDIRECT("'Form 3 - Empreendimento'!$B$2:$E$70"),4,FALSE)</f>
        <v/>
      </c>
    </row>
    <row r="41">
      <c r="AD41" s="7" t="inlineStr">
        <is>
          <t>=</t>
        </is>
      </c>
      <c r="AE41" s="7">
        <f>VLOOKUP(AD41,INDIRECT("'Form 1 - Município'!$B$2:$E$70"),4,FALSE)</f>
        <v/>
      </c>
      <c r="AG41" s="7" t="inlineStr">
        <is>
          <t>=</t>
        </is>
      </c>
      <c r="AH41" s="7">
        <f>VLOOKUP(AG41,INDIRECT("'Form 2 - UVR'!$B$2:$E$70"),4,FALSE)</f>
        <v/>
      </c>
      <c r="AJ41" s="7" t="inlineStr">
        <is>
          <t>=</t>
        </is>
      </c>
      <c r="AK41" s="7">
        <f>VLOOKUP(AJ41,INDIRECT("'Form 3 - Empreendimento'!$B$2:$E$70"),4,FALSE)</f>
        <v/>
      </c>
    </row>
    <row r="42">
      <c r="AD42" s="7" t="inlineStr">
        <is>
          <t>=</t>
        </is>
      </c>
      <c r="AE42" s="7">
        <f>VLOOKUP(AD42,INDIRECT("'Form 1 - Município'!$B$2:$E$70"),4,FALSE)</f>
        <v/>
      </c>
      <c r="AG42" s="7" t="inlineStr">
        <is>
          <t>=</t>
        </is>
      </c>
      <c r="AH42" s="7">
        <f>VLOOKUP(AG42,INDIRECT("'Form 2 - UVR'!$B$2:$E$70"),4,FALSE)</f>
        <v/>
      </c>
      <c r="AJ42" s="7" t="inlineStr">
        <is>
          <t>=</t>
        </is>
      </c>
      <c r="AK42" s="7">
        <f>VLOOKUP(AJ42,INDIRECT("'Form 3 - Empreendimento'!$B$2:$E$70"),4,FALSE)</f>
        <v/>
      </c>
    </row>
    <row r="43">
      <c r="AD43" s="7" t="inlineStr">
        <is>
          <t>=</t>
        </is>
      </c>
      <c r="AE43" s="7">
        <f>VLOOKUP(AD43,INDIRECT("'Form 1 - Município'!$B$2:$E$70"),4,FALSE)</f>
        <v/>
      </c>
      <c r="AG43" s="7" t="inlineStr">
        <is>
          <t>=</t>
        </is>
      </c>
      <c r="AH43" s="7">
        <f>VLOOKUP(AG43,INDIRECT("'Form 2 - UVR'!$B$2:$E$70"),4,FALSE)</f>
        <v/>
      </c>
      <c r="AJ43" s="7" t="inlineStr">
        <is>
          <t>=</t>
        </is>
      </c>
      <c r="AK43" s="7">
        <f>VLOOKUP(AJ43,INDIRECT("'Form 3 - Empreendimento'!$B$2:$E$70"),4,FALSE)</f>
        <v/>
      </c>
    </row>
    <row r="44">
      <c r="AD44" s="7" t="inlineStr">
        <is>
          <t>=</t>
        </is>
      </c>
      <c r="AE44" s="7">
        <f>VLOOKUP(AD44,INDIRECT("'Form 1 - Município'!$B$2:$E$70"),4,FALSE)</f>
        <v/>
      </c>
      <c r="AG44" s="7" t="inlineStr">
        <is>
          <t>=</t>
        </is>
      </c>
      <c r="AH44" s="7">
        <f>VLOOKUP(AG44,INDIRECT("'Form 2 - UVR'!$B$2:$E$70"),4,FALSE)</f>
        <v/>
      </c>
      <c r="AJ44" s="7" t="inlineStr">
        <is>
          <t>=</t>
        </is>
      </c>
      <c r="AK44" s="7">
        <f>VLOOKUP(AJ44,INDIRECT("'Form 3 - Empreendimento'!$B$2:$E$70"),4,FALSE)</f>
        <v/>
      </c>
    </row>
    <row r="45">
      <c r="AD45" s="7" t="inlineStr">
        <is>
          <t>=</t>
        </is>
      </c>
      <c r="AE45" s="7">
        <f>VLOOKUP(AD45,INDIRECT("'Form 1 - Município'!$B$2:$E$70"),4,FALSE)</f>
        <v/>
      </c>
      <c r="AG45" s="7" t="inlineStr">
        <is>
          <t>=</t>
        </is>
      </c>
      <c r="AH45" s="7">
        <f>VLOOKUP(AG45,INDIRECT("'Form 2 - UVR'!$B$2:$E$70"),4,FALSE)</f>
        <v/>
      </c>
      <c r="AJ45" s="7" t="inlineStr">
        <is>
          <t>=</t>
        </is>
      </c>
      <c r="AK45" s="7">
        <f>VLOOKUP(AJ45,INDIRECT("'Form 3 - Empreendimento'!$B$2:$E$70"),4,FALSE)</f>
        <v/>
      </c>
    </row>
    <row r="46">
      <c r="AD46" s="7" t="inlineStr">
        <is>
          <t>=</t>
        </is>
      </c>
      <c r="AE46" s="7">
        <f>VLOOKUP(AD46,INDIRECT("'Form 1 - Município'!$B$2:$E$70"),4,FALSE)</f>
        <v/>
      </c>
      <c r="AG46" s="7" t="inlineStr">
        <is>
          <t>=</t>
        </is>
      </c>
      <c r="AH46" s="7">
        <f>VLOOKUP(AG46,INDIRECT("'Form 2 - UVR'!$B$2:$E$70"),4,FALSE)</f>
        <v/>
      </c>
      <c r="AJ46" s="7" t="inlineStr">
        <is>
          <t>=</t>
        </is>
      </c>
      <c r="AK46" s="7">
        <f>VLOOKUP(AJ46,INDIRECT("'Form 3 - Empreendimento'!$B$2:$E$70"),4,FALSE)</f>
        <v/>
      </c>
    </row>
    <row r="47">
      <c r="AD47" s="7" t="inlineStr">
        <is>
          <t>=</t>
        </is>
      </c>
      <c r="AE47" s="7">
        <f>VLOOKUP(AD47,INDIRECT("'Form 1 - Município'!$B$2:$E$70"),4,FALSE)</f>
        <v/>
      </c>
      <c r="AG47" s="7" t="inlineStr">
        <is>
          <t>=</t>
        </is>
      </c>
      <c r="AH47" s="7">
        <f>VLOOKUP(AG47,INDIRECT("'Form 2 - UVR'!$B$2:$E$70"),4,FALSE)</f>
        <v/>
      </c>
      <c r="AJ47" s="7" t="inlineStr">
        <is>
          <t>=</t>
        </is>
      </c>
      <c r="AK47" s="7">
        <f>VLOOKUP(AJ47,INDIRECT("'Form 3 - Empreendimento'!$B$2:$E$70"),4,FALSE)</f>
        <v/>
      </c>
    </row>
    <row r="48">
      <c r="AD48" t="inlineStr">
        <is>
          <t>=</t>
        </is>
      </c>
      <c r="AG48" t="inlineStr">
        <is>
          <t>=</t>
        </is>
      </c>
      <c r="AJ48" t="inlineStr">
        <is>
          <t>=</t>
        </is>
      </c>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1.140625" customWidth="1" min="2" max="2"/>
    <col width="8.5703125" customWidth="1" min="3" max="3"/>
    <col width="18.7109375" customWidth="1" min="4" max="4"/>
    <col width="22.28515625" customWidth="1" min="5" max="5"/>
    <col width="20.7109375" customWidth="1" min="6" max="6"/>
    <col width="20.42578125" customWidth="1" min="7" max="7"/>
    <col width="21" customWidth="1" min="8" max="8"/>
    <col width="23" customWidth="1" min="9" max="9"/>
  </cols>
  <sheetData>
    <row r="1" ht="15.75" customHeight="1">
      <c r="A1" s="22" t="inlineStr">
        <is>
          <t>Regional</t>
        </is>
      </c>
      <c r="B1" s="22" t="inlineStr">
        <is>
          <t>Municípios</t>
        </is>
      </c>
      <c r="C1" s="22" t="inlineStr">
        <is>
          <t>UVR</t>
        </is>
      </c>
      <c r="D1" s="22" t="inlineStr">
        <is>
          <t>Form 1 - Município</t>
        </is>
      </c>
      <c r="E1" s="22" t="inlineStr">
        <is>
          <t>Form 2 - UVR</t>
        </is>
      </c>
      <c r="F1" s="23" t="inlineStr">
        <is>
          <t>Form 3 - Empreendimento</t>
        </is>
      </c>
      <c r="G1" s="24" t="inlineStr">
        <is>
          <t>08.25</t>
        </is>
      </c>
      <c r="H1" s="24" t="inlineStr">
        <is>
          <t>09.25</t>
        </is>
      </c>
      <c r="I1" s="24" t="inlineStr">
        <is>
          <t>10.25</t>
        </is>
      </c>
    </row>
    <row r="2" ht="15.75" customHeight="1">
      <c r="A2" s="25" t="inlineStr">
        <is>
          <t>Coripa</t>
        </is>
      </c>
      <c r="B2" s="26" t="inlineStr">
        <is>
          <t>Alto Paraíso</t>
        </is>
      </c>
      <c r="C2" s="7" t="n">
        <v>1</v>
      </c>
      <c r="D2" s="27">
        <f t="array" ref="D2">IF(
    VLOOKUP(
        $A2,
        _xlfn._xlws.FILTER(
            INDIRECT("'"&amp;D$1&amp;"'!A2:E1000"), (INDIRECT("'"&amp;D$1&amp;"'!B2:B1000")=$B2) * (INDIRECT("'"&amp;D$1&amp;"'!C2:C1000")=$C2)
        ),
        5,
        FALSE
    )=0,
    "",
    VLOOKUP(
        $A2,
        _xlfn._xlws.FILTER(
            INDIRECT("'"&amp;D$1&amp;"'!A2:E1000"), (INDIRECT("'"&amp;D$1&amp;"'!B2:B1000")=$B2) * (INDIRECT("'"&amp;D$1&amp;"'!C2:C1000")=$C2)
        ),
        5,
        FALSE
    )
)</f>
        <v/>
      </c>
      <c r="E2" s="28" t="inlineStr">
        <is>
          <t>Outras Ocorrências</t>
        </is>
      </c>
      <c r="F2" s="28" t="inlineStr">
        <is>
          <t>Outras Ocorrências</t>
        </is>
      </c>
      <c r="G2" s="28" t="inlineStr">
        <is>
          <t>Outras Ocorrências</t>
        </is>
      </c>
      <c r="H2" s="28" t="inlineStr">
        <is>
          <t>Outras Ocorrências</t>
        </is>
      </c>
      <c r="I2" s="28" t="inlineStr">
        <is>
          <t>Outras Ocorrências</t>
        </is>
      </c>
    </row>
    <row r="3">
      <c r="A3" s="25" t="inlineStr">
        <is>
          <t>Coripa</t>
        </is>
      </c>
      <c r="B3" s="26" t="inlineStr">
        <is>
          <t>Douradina</t>
        </is>
      </c>
      <c r="C3" s="7" t="n">
        <v>1</v>
      </c>
      <c r="D3" s="27">
        <f t="array" ref="D3">IF(
    VLOOKUP(
        $A3,
        _xlfn._xlws.FILTER(
            INDIRECT("'"&amp;D$1&amp;"'!A2:E1000"), (INDIRECT("'"&amp;D$1&amp;"'!B2:B1000")=$B3) * (INDIRECT("'"&amp;D$1&amp;"'!C2:C1000")=$C3)
        ),
        5,
        FALSE
    )=0,
    "",
    VLOOKUP(
        $A3,
        _xlfn._xlws.FILTER(
            INDIRECT("'"&amp;D$1&amp;"'!A2:E1000"), (INDIRECT("'"&amp;D$1&amp;"'!B2:B1000")=$B3) * (INDIRECT("'"&amp;D$1&amp;"'!C2:C1000")=$C3)
        ),
        5,
        FALSE
    )
)</f>
        <v/>
      </c>
      <c r="E3" s="27">
        <f t="array" ref="E3">IF(
    VLOOKUP(
        $A3,
        _xlfn._xlws.FILTER(
            INDIRECT("'"&amp;E$1&amp;"'!A2:E1000"), (INDIRECT("'"&amp;E$1&amp;"'!B2:B1000")=$B3) * (INDIRECT("'"&amp;E$1&amp;"'!C2:C1000")=$C3)
        ),
        5,
        FALSE
    )=0,
    "",
    VLOOKUP(
        $A3,
        _xlfn._xlws.FILTER(
            INDIRECT("'"&amp;E$1&amp;"'!A2:E1000"), (INDIRECT("'"&amp;E$1&amp;"'!B2:B1000")=$B3) * (INDIRECT("'"&amp;E$1&amp;"'!C2:C1000")=$C3)
        ),
        5,
        FALSE
    )
)</f>
        <v/>
      </c>
      <c r="F3" s="27">
        <f t="array" ref="F3">IF(
    VLOOKUP(
        $A3,
        _xlfn._xlws.FILTER(
            INDIRECT("'"&amp;F$1&amp;"'!A2:E1000"), (INDIRECT("'"&amp;F$1&amp;"'!B2:B1000")=$B3) * (INDIRECT("'"&amp;F$1&amp;"'!C2:C1000")=$C3)
        ),
        5,
        FALSE
    )=0,
    "",
    VLOOKUP(
        $A3,
        _xlfn._xlws.FILTER(
            INDIRECT("'"&amp;F$1&amp;"'!A2:E1000"), (INDIRECT("'"&amp;F$1&amp;"'!B2:B1000")=$B3) * (INDIRECT("'"&amp;F$1&amp;"'!C2:C1000")=$C3)
        ),
        5,
        FALSE
    )
)</f>
        <v/>
      </c>
      <c r="G3" s="28" t="inlineStr">
        <is>
          <t>Enviado</t>
        </is>
      </c>
      <c r="H3" s="28" t="inlineStr">
        <is>
          <t>Atrasado &gt;= 2</t>
        </is>
      </c>
      <c r="I3" s="28" t="inlineStr">
        <is>
          <t>Atrasado</t>
        </is>
      </c>
    </row>
    <row r="4">
      <c r="A4" s="25" t="inlineStr">
        <is>
          <t>Coripa</t>
        </is>
      </c>
      <c r="B4" s="26" t="inlineStr">
        <is>
          <t>Esperança Nova</t>
        </is>
      </c>
      <c r="C4" s="7" t="n">
        <v>1</v>
      </c>
      <c r="D4" s="27">
        <f t="array" ref="D4">IF(
    VLOOKUP(
        $A4,
        _xlfn._xlws.FILTER(
            INDIRECT("'"&amp;D$1&amp;"'!A2:E1000"), (INDIRECT("'"&amp;D$1&amp;"'!B2:B1000")=$B4) * (INDIRECT("'"&amp;D$1&amp;"'!C2:C1000")=$C4)
        ),
        5,
        FALSE
    )=0,
    "",
    VLOOKUP(
        $A4,
        _xlfn._xlws.FILTER(
            INDIRECT("'"&amp;D$1&amp;"'!A2:E1000"), (INDIRECT("'"&amp;D$1&amp;"'!B2:B1000")=$B4) * (INDIRECT("'"&amp;D$1&amp;"'!C2:C1000")=$C4)
        ),
        5,
        FALSE
    )
)</f>
        <v/>
      </c>
      <c r="E4" s="29">
        <f t="array" ref="E4">IF(
    VLOOKUP(
        $A4,
        _xlfn._xlws.FILTER(
            INDIRECT("'"&amp;E$1&amp;"'!A2:E1000"), (INDIRECT("'"&amp;E$1&amp;"'!B2:B1000")=$B4) * (INDIRECT("'"&amp;E$1&amp;"'!C2:C1000")=$C4)
        ),
        5,
        FALSE
    )=0,
    "",
    VLOOKUP(
        $A4,
        _xlfn._xlws.FILTER(
            INDIRECT("'"&amp;E$1&amp;"'!A2:E1000"), (INDIRECT("'"&amp;E$1&amp;"'!B2:B1000")=$B4) * (INDIRECT("'"&amp;E$1&amp;"'!C2:C1000")=$C4)
        ),
        5,
        FALSE
    )
)</f>
        <v/>
      </c>
      <c r="F4" s="27">
        <f t="array" ref="F4">IF(
    VLOOKUP(
        $A4,
        _xlfn._xlws.FILTER(
            INDIRECT("'"&amp;F$1&amp;"'!A2:E1000"), (INDIRECT("'"&amp;F$1&amp;"'!B2:B1000")=$B4) * (INDIRECT("'"&amp;F$1&amp;"'!C2:C1000")=$C4)
        ),
        5,
        FALSE
    )=0,
    "",
    VLOOKUP(
        $A4,
        _xlfn._xlws.FILTER(
            INDIRECT("'"&amp;F$1&amp;"'!A2:E1000"), (INDIRECT("'"&amp;F$1&amp;"'!B2:B1000")=$B4) * (INDIRECT("'"&amp;F$1&amp;"'!C2:C1000")=$C4)
        ),
        5,
        FALSE
    )
)</f>
        <v/>
      </c>
      <c r="G4" s="28" t="inlineStr">
        <is>
          <t>Atrasado &gt;= 2</t>
        </is>
      </c>
      <c r="H4" s="28" t="inlineStr">
        <is>
          <t>Atrasado &gt;= 2</t>
        </is>
      </c>
      <c r="I4" s="28" t="inlineStr">
        <is>
          <t>Atrasado</t>
        </is>
      </c>
    </row>
    <row r="5">
      <c r="A5" s="25" t="inlineStr">
        <is>
          <t>Coripa</t>
        </is>
      </c>
      <c r="B5" s="26" t="inlineStr">
        <is>
          <t>Icaraíma</t>
        </is>
      </c>
      <c r="C5" s="7" t="n">
        <v>1</v>
      </c>
      <c r="D5" s="27">
        <f t="array" ref="D5">IF(
    VLOOKUP(
        $A5,
        _xlfn._xlws.FILTER(
            INDIRECT("'"&amp;D$1&amp;"'!A2:E1000"), (INDIRECT("'"&amp;D$1&amp;"'!B2:B1000")=$B5) * (INDIRECT("'"&amp;D$1&amp;"'!C2:C1000")=$C5)
        ),
        5,
        FALSE
    )=0,
    "",
    VLOOKUP(
        $A5,
        _xlfn._xlws.FILTER(
            INDIRECT("'"&amp;D$1&amp;"'!A2:E1000"), (INDIRECT("'"&amp;D$1&amp;"'!B2:B1000")=$B5) * (INDIRECT("'"&amp;D$1&amp;"'!C2:C1000")=$C5)
        ),
        5,
        FALSE
    )
)</f>
        <v/>
      </c>
      <c r="E5" s="27">
        <f t="array" ref="E5">IF(
    VLOOKUP(
        $A5,
        _xlfn._xlws.FILTER(
            INDIRECT("'"&amp;E$1&amp;"'!A2:E1000"), (INDIRECT("'"&amp;E$1&amp;"'!B2:B1000")=$B5) * (INDIRECT("'"&amp;E$1&amp;"'!C2:C1000")=$C5)
        ),
        5,
        FALSE
    )=0,
    "",
    VLOOKUP(
        $A5,
        _xlfn._xlws.FILTER(
            INDIRECT("'"&amp;E$1&amp;"'!A2:E1000"), (INDIRECT("'"&amp;E$1&amp;"'!B2:B1000")=$B5) * (INDIRECT("'"&amp;E$1&amp;"'!C2:C1000")=$C5)
        ),
        5,
        FALSE
    )
)</f>
        <v/>
      </c>
      <c r="F5" s="27">
        <f t="array" ref="F5">IF(
    VLOOKUP(
        $A5,
        _xlfn._xlws.FILTER(
            INDIRECT("'"&amp;F$1&amp;"'!A2:E1000"), (INDIRECT("'"&amp;F$1&amp;"'!B2:B1000")=$B5) * (INDIRECT("'"&amp;F$1&amp;"'!C2:C1000")=$C5)
        ),
        5,
        FALSE
    )=0,
    "",
    VLOOKUP(
        $A5,
        _xlfn._xlws.FILTER(
            INDIRECT("'"&amp;F$1&amp;"'!A2:E1000"), (INDIRECT("'"&amp;F$1&amp;"'!B2:B1000")=$B5) * (INDIRECT("'"&amp;F$1&amp;"'!C2:C1000")=$C5)
        ),
        5,
        FALSE
    )
)</f>
        <v/>
      </c>
      <c r="G5" s="28" t="inlineStr">
        <is>
          <t>Enviado</t>
        </is>
      </c>
      <c r="H5" s="28" t="inlineStr">
        <is>
          <t>Enviado</t>
        </is>
      </c>
      <c r="I5" s="28" t="inlineStr">
        <is>
          <t>Atrasado</t>
        </is>
      </c>
    </row>
    <row r="6">
      <c r="A6" s="25" t="inlineStr">
        <is>
          <t>Coripa</t>
        </is>
      </c>
      <c r="B6" s="26" t="inlineStr">
        <is>
          <t>Maria Helena</t>
        </is>
      </c>
      <c r="C6" s="7" t="n">
        <v>1</v>
      </c>
      <c r="D6" s="27">
        <f t="array" ref="D6">IF(
    VLOOKUP(
        $A6,
        _xlfn._xlws.FILTER(
            INDIRECT("'"&amp;D$1&amp;"'!A2:E1000"), (INDIRECT("'"&amp;D$1&amp;"'!B2:B1000")=$B6) * (INDIRECT("'"&amp;D$1&amp;"'!C2:C1000")=$C6)
        ),
        5,
        FALSE
    )=0,
    "",
    VLOOKUP(
        $A6,
        _xlfn._xlws.FILTER(
            INDIRECT("'"&amp;D$1&amp;"'!A2:E1000"), (INDIRECT("'"&amp;D$1&amp;"'!B2:B1000")=$B6) * (INDIRECT("'"&amp;D$1&amp;"'!C2:C1000")=$C6)
        ),
        5,
        FALSE
    )
)</f>
        <v/>
      </c>
      <c r="E6" s="27">
        <f t="array" ref="E6">IF(
    VLOOKUP(
        $A6,
        _xlfn._xlws.FILTER(
            INDIRECT("'"&amp;E$1&amp;"'!A2:E1000"), (INDIRECT("'"&amp;E$1&amp;"'!B2:B1000")=$B6) * (INDIRECT("'"&amp;E$1&amp;"'!C2:C1000")=$C6)
        ),
        5,
        FALSE
    )=0,
    "",
    VLOOKUP(
        $A6,
        _xlfn._xlws.FILTER(
            INDIRECT("'"&amp;E$1&amp;"'!A2:E1000"), (INDIRECT("'"&amp;E$1&amp;"'!B2:B1000")=$B6) * (INDIRECT("'"&amp;E$1&amp;"'!C2:C1000")=$C6)
        ),
        5,
        FALSE
    )
)</f>
        <v/>
      </c>
      <c r="F6" s="27">
        <f t="array" ref="F6">IF(
    VLOOKUP(
        $A6,
        _xlfn._xlws.FILTER(
            INDIRECT("'"&amp;F$1&amp;"'!A2:E1000"), (INDIRECT("'"&amp;F$1&amp;"'!B2:B1000")=$B6) * (INDIRECT("'"&amp;F$1&amp;"'!C2:C1000")=$C6)
        ),
        5,
        FALSE
    )=0,
    "",
    VLOOKUP(
        $A6,
        _xlfn._xlws.FILTER(
            INDIRECT("'"&amp;F$1&amp;"'!A2:E1000"), (INDIRECT("'"&amp;F$1&amp;"'!B2:B1000")=$B6) * (INDIRECT("'"&amp;F$1&amp;"'!C2:C1000")=$C6)
        ),
        5,
        FALSE
    )
)</f>
        <v/>
      </c>
      <c r="G6" s="28" t="inlineStr">
        <is>
          <t>Atrasado &gt;= 2</t>
        </is>
      </c>
      <c r="H6" s="28" t="inlineStr">
        <is>
          <t>Atrasado &gt;= 2</t>
        </is>
      </c>
      <c r="I6" s="28" t="inlineStr">
        <is>
          <t>Enviado</t>
        </is>
      </c>
    </row>
    <row r="7">
      <c r="A7" s="25" t="inlineStr">
        <is>
          <t>Coripa</t>
        </is>
      </c>
      <c r="B7" s="26" t="inlineStr">
        <is>
          <t>Nova Olimpia</t>
        </is>
      </c>
      <c r="C7" s="7" t="n">
        <v>1</v>
      </c>
      <c r="D7" s="27">
        <f t="array" ref="D7">IF(
    VLOOKUP(
        $A7,
        _xlfn._xlws.FILTER(
            INDIRECT("'"&amp;D$1&amp;"'!A2:E1000"), (INDIRECT("'"&amp;D$1&amp;"'!B2:B1000")=$B7) * (INDIRECT("'"&amp;D$1&amp;"'!C2:C1000")=$C7)
        ),
        5,
        FALSE
    )=0,
    "",
    VLOOKUP(
        $A7,
        _xlfn._xlws.FILTER(
            INDIRECT("'"&amp;D$1&amp;"'!A2:E1000"), (INDIRECT("'"&amp;D$1&amp;"'!B2:B1000")=$B7) * (INDIRECT("'"&amp;D$1&amp;"'!C2:C1000")=$C7)
        ),
        5,
        FALSE
    )
)</f>
        <v/>
      </c>
      <c r="E7" s="27">
        <f t="array" ref="E7">IF(
    VLOOKUP(
        $A7,
        _xlfn._xlws.FILTER(
            INDIRECT("'"&amp;E$1&amp;"'!A2:E1000"), (INDIRECT("'"&amp;E$1&amp;"'!B2:B1000")=$B7) * (INDIRECT("'"&amp;E$1&amp;"'!C2:C1000")=$C7)
        ),
        5,
        FALSE
    )=0,
    "",
    VLOOKUP(
        $A7,
        _xlfn._xlws.FILTER(
            INDIRECT("'"&amp;E$1&amp;"'!A2:E1000"), (INDIRECT("'"&amp;E$1&amp;"'!B2:B1000")=$B7) * (INDIRECT("'"&amp;E$1&amp;"'!C2:C1000")=$C7)
        ),
        5,
        FALSE
    )
)</f>
        <v/>
      </c>
      <c r="F7" s="27">
        <f t="array" ref="F7">IF(
    VLOOKUP(
        $A7,
        _xlfn._xlws.FILTER(
            INDIRECT("'"&amp;F$1&amp;"'!A2:E1000"), (INDIRECT("'"&amp;F$1&amp;"'!B2:B1000")=$B7) * (INDIRECT("'"&amp;F$1&amp;"'!C2:C1000")=$C7)
        ),
        5,
        FALSE
    )=0,
    "",
    VLOOKUP(
        $A7,
        _xlfn._xlws.FILTER(
            INDIRECT("'"&amp;F$1&amp;"'!A2:E1000"), (INDIRECT("'"&amp;F$1&amp;"'!B2:B1000")=$B7) * (INDIRECT("'"&amp;F$1&amp;"'!C2:C1000")=$C7)
        ),
        5,
        FALSE
    )
)</f>
        <v/>
      </c>
      <c r="G7" s="28" t="inlineStr">
        <is>
          <t>Enviado</t>
        </is>
      </c>
      <c r="H7" s="28" t="inlineStr">
        <is>
          <t>Enviado</t>
        </is>
      </c>
      <c r="I7" s="28" t="inlineStr">
        <is>
          <t>Enviado</t>
        </is>
      </c>
    </row>
    <row r="8">
      <c r="A8" s="25" t="inlineStr">
        <is>
          <t>Coripa</t>
        </is>
      </c>
      <c r="B8" s="26" t="inlineStr">
        <is>
          <t>São Jorge do Patrocinio</t>
        </is>
      </c>
      <c r="C8" s="7" t="n">
        <v>1</v>
      </c>
      <c r="D8" s="27">
        <f t="array" ref="D8">IF(
    VLOOKUP(
        $A8,
        _xlfn._xlws.FILTER(
            INDIRECT("'"&amp;D$1&amp;"'!A2:E1000"), (INDIRECT("'"&amp;D$1&amp;"'!B2:B1000")=$B8) * (INDIRECT("'"&amp;D$1&amp;"'!C2:C1000")=$C8)
        ),
        5,
        FALSE
    )=0,
    "",
    VLOOKUP(
        $A8,
        _xlfn._xlws.FILTER(
            INDIRECT("'"&amp;D$1&amp;"'!A2:E1000"), (INDIRECT("'"&amp;D$1&amp;"'!B2:B1000")=$B8) * (INDIRECT("'"&amp;D$1&amp;"'!C2:C1000")=$C8)
        ),
        5,
        FALSE
    )
)</f>
        <v/>
      </c>
      <c r="E8" s="27">
        <f t="array" ref="E8">IF(
    VLOOKUP(
        $A8,
        _xlfn._xlws.FILTER(
            INDIRECT("'"&amp;E$1&amp;"'!A2:E1000"), (INDIRECT("'"&amp;E$1&amp;"'!B2:B1000")=$B8) * (INDIRECT("'"&amp;E$1&amp;"'!C2:C1000")=$C8)
        ),
        5,
        FALSE
    )=0,
    "",
    VLOOKUP(
        $A8,
        _xlfn._xlws.FILTER(
            INDIRECT("'"&amp;E$1&amp;"'!A2:E1000"), (INDIRECT("'"&amp;E$1&amp;"'!B2:B1000")=$B8) * (INDIRECT("'"&amp;E$1&amp;"'!C2:C1000")=$C8)
        ),
        5,
        FALSE
    )
)</f>
        <v/>
      </c>
      <c r="F8" s="27">
        <f t="array" ref="F8">IF(
    VLOOKUP(
        $A8,
        _xlfn._xlws.FILTER(
            INDIRECT("'"&amp;F$1&amp;"'!A2:E1000"), (INDIRECT("'"&amp;F$1&amp;"'!B2:B1000")=$B8) * (INDIRECT("'"&amp;F$1&amp;"'!C2:C1000")=$C8)
        ),
        5,
        FALSE
    )=0,
    "",
    VLOOKUP(
        $A8,
        _xlfn._xlws.FILTER(
            INDIRECT("'"&amp;F$1&amp;"'!A2:E1000"), (INDIRECT("'"&amp;F$1&amp;"'!B2:B1000")=$B8) * (INDIRECT("'"&amp;F$1&amp;"'!C2:C1000")=$C8)
        ),
        5,
        FALSE
    )
)</f>
        <v/>
      </c>
      <c r="G8" s="28" t="inlineStr">
        <is>
          <t>Atrasado &gt;= 2</t>
        </is>
      </c>
      <c r="H8" s="28" t="inlineStr">
        <is>
          <t>Atrasado &gt;= 2</t>
        </is>
      </c>
      <c r="I8" s="28" t="inlineStr">
        <is>
          <t>Atrasado</t>
        </is>
      </c>
    </row>
    <row r="9">
      <c r="A9" s="25" t="inlineStr">
        <is>
          <t>Coripa</t>
        </is>
      </c>
      <c r="B9" s="26" t="inlineStr">
        <is>
          <t>Tapira</t>
        </is>
      </c>
      <c r="C9" s="7" t="n">
        <v>1</v>
      </c>
      <c r="D9" s="27">
        <f t="array" ref="D9">IF(
    VLOOKUP(
        $A9,
        _xlfn._xlws.FILTER(
            INDIRECT("'"&amp;D$1&amp;"'!A2:E1000"), (INDIRECT("'"&amp;D$1&amp;"'!B2:B1000")=$B9) * (INDIRECT("'"&amp;D$1&amp;"'!C2:C1000")=$C9)
        ),
        5,
        FALSE
    )=0,
    "",
    VLOOKUP(
        $A9,
        _xlfn._xlws.FILTER(
            INDIRECT("'"&amp;D$1&amp;"'!A2:E1000"), (INDIRECT("'"&amp;D$1&amp;"'!B2:B1000")=$B9) * (INDIRECT("'"&amp;D$1&amp;"'!C2:C1000")=$C9)
        ),
        5,
        FALSE
    )
)</f>
        <v/>
      </c>
      <c r="E9" s="27">
        <f t="array" ref="E9">IF(
    VLOOKUP(
        $A9,
        _xlfn._xlws.FILTER(
            INDIRECT("'"&amp;E$1&amp;"'!A2:E1000"), (INDIRECT("'"&amp;E$1&amp;"'!B2:B1000")=$B9) * (INDIRECT("'"&amp;E$1&amp;"'!C2:C1000")=$C9)
        ),
        5,
        FALSE
    )=0,
    "",
    VLOOKUP(
        $A9,
        _xlfn._xlws.FILTER(
            INDIRECT("'"&amp;E$1&amp;"'!A2:E1000"), (INDIRECT("'"&amp;E$1&amp;"'!B2:B1000")=$B9) * (INDIRECT("'"&amp;E$1&amp;"'!C2:C1000")=$C9)
        ),
        5,
        FALSE
    )
)</f>
        <v/>
      </c>
      <c r="F9" s="27">
        <f t="array" ref="F9">IF(
    VLOOKUP(
        $A9,
        _xlfn._xlws.FILTER(
            INDIRECT("'"&amp;F$1&amp;"'!A2:E1000"), (INDIRECT("'"&amp;F$1&amp;"'!B2:B1000")=$B9) * (INDIRECT("'"&amp;F$1&amp;"'!C2:C1000")=$C9)
        ),
        5,
        FALSE
    )=0,
    "",
    VLOOKUP(
        $A9,
        _xlfn._xlws.FILTER(
            INDIRECT("'"&amp;F$1&amp;"'!A2:E1000"), (INDIRECT("'"&amp;F$1&amp;"'!B2:B1000")=$B9) * (INDIRECT("'"&amp;F$1&amp;"'!C2:C1000")=$C9)
        ),
        5,
        FALSE
    )
)</f>
        <v/>
      </c>
      <c r="G9" s="28" t="inlineStr">
        <is>
          <t>Atrasado &gt;= 2</t>
        </is>
      </c>
      <c r="H9" s="28" t="inlineStr">
        <is>
          <t>Enviado</t>
        </is>
      </c>
      <c r="I9" s="28" t="inlineStr">
        <is>
          <t>Enviado</t>
        </is>
      </c>
    </row>
    <row r="10"/>
    <row r="11" ht="15.75" customHeight="1">
      <c r="A11" s="22" t="inlineStr">
        <is>
          <t>Regional</t>
        </is>
      </c>
      <c r="B11" s="22" t="inlineStr">
        <is>
          <t>Municípios</t>
        </is>
      </c>
      <c r="C11" s="22" t="inlineStr">
        <is>
          <t>UVR</t>
        </is>
      </c>
      <c r="D11" s="22" t="inlineStr">
        <is>
          <t>Form 1 - Município</t>
        </is>
      </c>
      <c r="E11" s="22" t="inlineStr">
        <is>
          <t>Form 2 - UVR</t>
        </is>
      </c>
      <c r="F11" s="23" t="inlineStr">
        <is>
          <t>Form 3 - Empreendimento</t>
        </is>
      </c>
      <c r="G11" s="24" t="inlineStr">
        <is>
          <t>08.25</t>
        </is>
      </c>
      <c r="H11" s="24" t="inlineStr">
        <is>
          <t>09.25</t>
        </is>
      </c>
      <c r="I11" s="24" t="inlineStr">
        <is>
          <t>10.25</t>
        </is>
      </c>
    </row>
    <row r="12">
      <c r="A12" s="30" t="inlineStr">
        <is>
          <t>Comafen</t>
        </is>
      </c>
      <c r="B12" s="26" t="inlineStr">
        <is>
          <t>Diamante do Norte</t>
        </is>
      </c>
      <c r="C12" s="31" t="n">
        <v>1</v>
      </c>
      <c r="D12" s="27">
        <f t="array" ref="D12">IF(
    VLOOKUP(
        $A12,
        _xlfn._xlws.FILTER(
            INDIRECT("'"&amp;D$1&amp;"'!A2:E1000"), (INDIRECT("'"&amp;D$1&amp;"'!B2:B1000")=$B12) * (INDIRECT("'"&amp;D$1&amp;"'!C2:C1000")=$C12)
        ),
        5,
        FALSE
    )=0,
    "",
    VLOOKUP(
        $A12,
        _xlfn._xlws.FILTER(
            INDIRECT("'"&amp;D$1&amp;"'!A2:E1000"), (INDIRECT("'"&amp;D$1&amp;"'!B2:B1000")=$B12) * (INDIRECT("'"&amp;D$1&amp;"'!C2:C1000")=$C12)
        ),
        5,
        FALSE
    )
)</f>
        <v/>
      </c>
      <c r="E12" s="27">
        <f t="array" ref="E12">IF(
    VLOOKUP(
        $A12,
        _xlfn._xlws.FILTER(
            INDIRECT("'"&amp;E$1&amp;"'!A2:E1000"), (INDIRECT("'"&amp;E$1&amp;"'!B2:B1000")=$B12) * (INDIRECT("'"&amp;E$1&amp;"'!C2:C1000")=$C12)
        ),
        5,
        FALSE
    )=0,
    "",
    VLOOKUP(
        $A12,
        _xlfn._xlws.FILTER(
            INDIRECT("'"&amp;E$1&amp;"'!A2:E1000"), (INDIRECT("'"&amp;E$1&amp;"'!B2:B1000")=$B12) * (INDIRECT("'"&amp;E$1&amp;"'!C2:C1000")=$C12)
        ),
        5,
        FALSE
    )
)</f>
        <v/>
      </c>
      <c r="F12" s="27">
        <f t="array" ref="F12">IF(
    VLOOKUP(
        $A12,
        _xlfn._xlws.FILTER(
            INDIRECT("'"&amp;F$1&amp;"'!A2:E1000"), (INDIRECT("'"&amp;F$1&amp;"'!B2:B1000")=$B12) * (INDIRECT("'"&amp;F$1&amp;"'!C2:C1000")=$C12)
        ),
        5,
        FALSE
    )=0,
    "",
    VLOOKUP(
        $A12,
        _xlfn._xlws.FILTER(
            INDIRECT("'"&amp;F$1&amp;"'!A2:E1000"), (INDIRECT("'"&amp;F$1&amp;"'!B2:B1000")=$B12) * (INDIRECT("'"&amp;F$1&amp;"'!C2:C1000")=$C12)
        ),
        5,
        FALSE
    )
)</f>
        <v/>
      </c>
      <c r="G12" s="28" t="inlineStr">
        <is>
          <t>Atrasado &gt;= 2</t>
        </is>
      </c>
      <c r="H12" s="28" t="inlineStr">
        <is>
          <t>Atrasado &gt;= 2</t>
        </is>
      </c>
      <c r="I12" s="28" t="inlineStr">
        <is>
          <t>Enviado</t>
        </is>
      </c>
    </row>
    <row r="13">
      <c r="A13" s="30" t="inlineStr">
        <is>
          <t>Comafen</t>
        </is>
      </c>
      <c r="B13" s="26" t="inlineStr">
        <is>
          <t>Itauna do Sul</t>
        </is>
      </c>
      <c r="C13" s="31" t="n">
        <v>1</v>
      </c>
      <c r="D13" s="27">
        <f t="array" ref="D13">IF(
    VLOOKUP(
        $A13,
        _xlfn._xlws.FILTER(
            INDIRECT("'"&amp;D$1&amp;"'!A2:E1000"), (INDIRECT("'"&amp;D$1&amp;"'!B2:B1000")=$B13) * (INDIRECT("'"&amp;D$1&amp;"'!C2:C1000")=$C13)
        ),
        5,
        FALSE
    )=0,
    "",
    VLOOKUP(
        $A13,
        _xlfn._xlws.FILTER(
            INDIRECT("'"&amp;D$1&amp;"'!A2:E1000"), (INDIRECT("'"&amp;D$1&amp;"'!B2:B1000")=$B13) * (INDIRECT("'"&amp;D$1&amp;"'!C2:C1000")=$C13)
        ),
        5,
        FALSE
    )
)</f>
        <v/>
      </c>
      <c r="E13" s="27">
        <f t="array" ref="E13">IF(
    VLOOKUP(
        $A13,
        _xlfn._xlws.FILTER(
            INDIRECT("'"&amp;E$1&amp;"'!A2:E1000"), (INDIRECT("'"&amp;E$1&amp;"'!B2:B1000")=$B13) * (INDIRECT("'"&amp;E$1&amp;"'!C2:C1000")=$C13)
        ),
        5,
        FALSE
    )=0,
    "",
    VLOOKUP(
        $A13,
        _xlfn._xlws.FILTER(
            INDIRECT("'"&amp;E$1&amp;"'!A2:E1000"), (INDIRECT("'"&amp;E$1&amp;"'!B2:B1000")=$B13) * (INDIRECT("'"&amp;E$1&amp;"'!C2:C1000")=$C13)
        ),
        5,
        FALSE
    )
)</f>
        <v/>
      </c>
      <c r="F13" s="27">
        <f t="array" ref="F13">IF(
    VLOOKUP(
        $A13,
        _xlfn._xlws.FILTER(
            INDIRECT("'"&amp;F$1&amp;"'!A2:E1000"), (INDIRECT("'"&amp;F$1&amp;"'!B2:B1000")=$B13) * (INDIRECT("'"&amp;F$1&amp;"'!C2:C1000")=$C13)
        ),
        5,
        FALSE
    )=0,
    "",
    VLOOKUP(
        $A13,
        _xlfn._xlws.FILTER(
            INDIRECT("'"&amp;F$1&amp;"'!A2:E1000"), (INDIRECT("'"&amp;F$1&amp;"'!B2:B1000")=$B13) * (INDIRECT("'"&amp;F$1&amp;"'!C2:C1000")=$C13)
        ),
        5,
        FALSE
    )
)</f>
        <v/>
      </c>
      <c r="G13" s="28" t="inlineStr">
        <is>
          <t>Atrasado &gt;= 2</t>
        </is>
      </c>
      <c r="H13" s="28" t="inlineStr">
        <is>
          <t>Atrasado &gt;= 2</t>
        </is>
      </c>
      <c r="I13" s="28" t="inlineStr">
        <is>
          <t>Atrasado &gt;= 2</t>
        </is>
      </c>
    </row>
    <row r="14">
      <c r="A14" s="30" t="inlineStr">
        <is>
          <t>Comafen</t>
        </is>
      </c>
      <c r="B14" s="26" t="inlineStr">
        <is>
          <t>Loanda</t>
        </is>
      </c>
      <c r="C14" s="31" t="n">
        <v>1</v>
      </c>
      <c r="D14" s="27">
        <f t="array" ref="D14">IF(
    VLOOKUP(
        $A14,
        _xlfn._xlws.FILTER(
            INDIRECT("'"&amp;D$1&amp;"'!A2:E1000"), (INDIRECT("'"&amp;D$1&amp;"'!B2:B1000")=$B14) * (INDIRECT("'"&amp;D$1&amp;"'!C2:C1000")=$C14)
        ),
        5,
        FALSE
    )=0,
    "",
    VLOOKUP(
        $A14,
        _xlfn._xlws.FILTER(
            INDIRECT("'"&amp;D$1&amp;"'!A2:E1000"), (INDIRECT("'"&amp;D$1&amp;"'!B2:B1000")=$B14) * (INDIRECT("'"&amp;D$1&amp;"'!C2:C1000")=$C14)
        ),
        5,
        FALSE
    )
)</f>
        <v/>
      </c>
      <c r="E14" s="27">
        <f t="array" ref="E14">IF(
    VLOOKUP(
        $A14,
        _xlfn._xlws.FILTER(
            INDIRECT("'"&amp;E$1&amp;"'!A2:E1000"), (INDIRECT("'"&amp;E$1&amp;"'!B2:B1000")=$B14) * (INDIRECT("'"&amp;E$1&amp;"'!C2:C1000")=$C14)
        ),
        5,
        FALSE
    )=0,
    "",
    VLOOKUP(
        $A14,
        _xlfn._xlws.FILTER(
            INDIRECT("'"&amp;E$1&amp;"'!A2:E1000"), (INDIRECT("'"&amp;E$1&amp;"'!B2:B1000")=$B14) * (INDIRECT("'"&amp;E$1&amp;"'!C2:C1000")=$C14)
        ),
        5,
        FALSE
    )
)</f>
        <v/>
      </c>
      <c r="F14" s="27">
        <f t="array" ref="F14">IF(
    VLOOKUP(
        $A14,
        _xlfn._xlws.FILTER(
            INDIRECT("'"&amp;F$1&amp;"'!A2:E1000"), (INDIRECT("'"&amp;F$1&amp;"'!B2:B1000")=$B14) * (INDIRECT("'"&amp;F$1&amp;"'!C2:C1000")=$C14)
        ),
        5,
        FALSE
    )=0,
    "",
    VLOOKUP(
        $A14,
        _xlfn._xlws.FILTER(
            INDIRECT("'"&amp;F$1&amp;"'!A2:E1000"), (INDIRECT("'"&amp;F$1&amp;"'!B2:B1000")=$B14) * (INDIRECT("'"&amp;F$1&amp;"'!C2:C1000")=$C14)
        ),
        5,
        FALSE
    )
)</f>
        <v/>
      </c>
      <c r="G14" s="28" t="inlineStr">
        <is>
          <t>Atrasado &gt;= 2</t>
        </is>
      </c>
      <c r="H14" s="28" t="inlineStr">
        <is>
          <t>Enviado</t>
        </is>
      </c>
      <c r="I14" s="28" t="inlineStr">
        <is>
          <t>Enviado</t>
        </is>
      </c>
    </row>
    <row r="15">
      <c r="A15" s="30" t="inlineStr">
        <is>
          <t>Comafen</t>
        </is>
      </c>
      <c r="B15" s="26" t="inlineStr">
        <is>
          <t>Marilena</t>
        </is>
      </c>
      <c r="C15" s="31" t="n">
        <v>1</v>
      </c>
      <c r="D15" s="27">
        <f t="array" ref="D15">IF(
    VLOOKUP(
        $A15,
        _xlfn._xlws.FILTER(
            INDIRECT("'"&amp;D$1&amp;"'!A2:E1000"), (INDIRECT("'"&amp;D$1&amp;"'!B2:B1000")=$B15) * (INDIRECT("'"&amp;D$1&amp;"'!C2:C1000")=$C15)
        ),
        5,
        FALSE
    )=0,
    "",
    VLOOKUP(
        $A15,
        _xlfn._xlws.FILTER(
            INDIRECT("'"&amp;D$1&amp;"'!A2:E1000"), (INDIRECT("'"&amp;D$1&amp;"'!B2:B1000")=$B15) * (INDIRECT("'"&amp;D$1&amp;"'!C2:C1000")=$C15)
        ),
        5,
        FALSE
    )
)</f>
        <v/>
      </c>
      <c r="E15" s="27">
        <f t="array" ref="E15">IF(
    VLOOKUP(
        $A15,
        _xlfn._xlws.FILTER(
            INDIRECT("'"&amp;E$1&amp;"'!A2:E1000"), (INDIRECT("'"&amp;E$1&amp;"'!B2:B1000")=$B15) * (INDIRECT("'"&amp;E$1&amp;"'!C2:C1000")=$C15)
        ),
        5,
        FALSE
    )=0,
    "",
    VLOOKUP(
        $A15,
        _xlfn._xlws.FILTER(
            INDIRECT("'"&amp;E$1&amp;"'!A2:E1000"), (INDIRECT("'"&amp;E$1&amp;"'!B2:B1000")=$B15) * (INDIRECT("'"&amp;E$1&amp;"'!C2:C1000")=$C15)
        ),
        5,
        FALSE
    )
)</f>
        <v/>
      </c>
      <c r="F15" s="27">
        <f t="array" ref="F15">IF(
    VLOOKUP(
        $A15,
        _xlfn._xlws.FILTER(
            INDIRECT("'"&amp;F$1&amp;"'!A2:E1000"), (INDIRECT("'"&amp;F$1&amp;"'!B2:B1000")=$B15) * (INDIRECT("'"&amp;F$1&amp;"'!C2:C1000")=$C15)
        ),
        5,
        FALSE
    )=0,
    "",
    VLOOKUP(
        $A15,
        _xlfn._xlws.FILTER(
            INDIRECT("'"&amp;F$1&amp;"'!A2:E1000"), (INDIRECT("'"&amp;F$1&amp;"'!B2:B1000")=$B15) * (INDIRECT("'"&amp;F$1&amp;"'!C2:C1000")=$C15)
        ),
        5,
        FALSE
    )
)</f>
        <v/>
      </c>
      <c r="G15" s="28" t="inlineStr">
        <is>
          <t>Atrasado &gt;= 2</t>
        </is>
      </c>
      <c r="H15" s="28" t="inlineStr">
        <is>
          <t>Atrasado &gt;= 2</t>
        </is>
      </c>
      <c r="I15" s="28" t="inlineStr">
        <is>
          <t>Atrasado &gt;= 2</t>
        </is>
      </c>
    </row>
    <row r="16">
      <c r="A16" s="30" t="inlineStr">
        <is>
          <t>Comafen</t>
        </is>
      </c>
      <c r="B16" s="26" t="inlineStr">
        <is>
          <t>Nova Londrina</t>
        </is>
      </c>
      <c r="C16" s="31" t="n">
        <v>1</v>
      </c>
      <c r="D16" s="27">
        <f t="array" ref="D16">IF(
    VLOOKUP(
        $A16,
        _xlfn._xlws.FILTER(
            INDIRECT("'"&amp;D$1&amp;"'!A2:E1000"), (INDIRECT("'"&amp;D$1&amp;"'!B2:B1000")=$B16) * (INDIRECT("'"&amp;D$1&amp;"'!C2:C1000")=$C16)
        ),
        5,
        FALSE
    )=0,
    "",
    VLOOKUP(
        $A16,
        _xlfn._xlws.FILTER(
            INDIRECT("'"&amp;D$1&amp;"'!A2:E1000"), (INDIRECT("'"&amp;D$1&amp;"'!B2:B1000")=$B16) * (INDIRECT("'"&amp;D$1&amp;"'!C2:C1000")=$C16)
        ),
        5,
        FALSE
    )
)</f>
        <v/>
      </c>
      <c r="E16" s="27">
        <f t="array" ref="E16">IF(
    VLOOKUP(
        $A16,
        _xlfn._xlws.FILTER(
            INDIRECT("'"&amp;E$1&amp;"'!A2:E1000"), (INDIRECT("'"&amp;E$1&amp;"'!B2:B1000")=$B16) * (INDIRECT("'"&amp;E$1&amp;"'!C2:C1000")=$C16)
        ),
        5,
        FALSE
    )=0,
    "",
    VLOOKUP(
        $A16,
        _xlfn._xlws.FILTER(
            INDIRECT("'"&amp;E$1&amp;"'!A2:E1000"), (INDIRECT("'"&amp;E$1&amp;"'!B2:B1000")=$B16) * (INDIRECT("'"&amp;E$1&amp;"'!C2:C1000")=$C16)
        ),
        5,
        FALSE
    )
)</f>
        <v/>
      </c>
      <c r="F16" s="27">
        <f t="array" ref="F16">IF(
    VLOOKUP(
        $A16,
        _xlfn._xlws.FILTER(
            INDIRECT("'"&amp;F$1&amp;"'!A2:E1000"), (INDIRECT("'"&amp;F$1&amp;"'!B2:B1000")=$B16) * (INDIRECT("'"&amp;F$1&amp;"'!C2:C1000")=$C16)
        ),
        5,
        FALSE
    )=0,
    "",
    VLOOKUP(
        $A16,
        _xlfn._xlws.FILTER(
            INDIRECT("'"&amp;F$1&amp;"'!A2:E1000"), (INDIRECT("'"&amp;F$1&amp;"'!B2:B1000")=$B16) * (INDIRECT("'"&amp;F$1&amp;"'!C2:C1000")=$C16)
        ),
        5,
        FALSE
    )
)</f>
        <v/>
      </c>
      <c r="G16" s="28" t="inlineStr">
        <is>
          <t>Atrasado &gt;= 2</t>
        </is>
      </c>
      <c r="H16" s="28" t="inlineStr">
        <is>
          <t>Atrasado &gt;= 2</t>
        </is>
      </c>
      <c r="I16" s="28" t="inlineStr">
        <is>
          <t>Enviado</t>
        </is>
      </c>
    </row>
    <row r="17">
      <c r="A17" s="30" t="inlineStr">
        <is>
          <t>Comafen</t>
        </is>
      </c>
      <c r="B17" s="26" t="inlineStr">
        <is>
          <t>Planaltina do Paraná</t>
        </is>
      </c>
      <c r="C17" s="31" t="n">
        <v>1</v>
      </c>
      <c r="D17" s="27">
        <f t="array" ref="D17">IF(
    VLOOKUP(
        $A17,
        _xlfn._xlws.FILTER(
            INDIRECT("'"&amp;D$1&amp;"'!A2:E1000"), (INDIRECT("'"&amp;D$1&amp;"'!B2:B1000")=$B17) * (INDIRECT("'"&amp;D$1&amp;"'!C2:C1000")=$C17)
        ),
        5,
        FALSE
    )=0,
    "",
    VLOOKUP(
        $A17,
        _xlfn._xlws.FILTER(
            INDIRECT("'"&amp;D$1&amp;"'!A2:E1000"), (INDIRECT("'"&amp;D$1&amp;"'!B2:B1000")=$B17) * (INDIRECT("'"&amp;D$1&amp;"'!C2:C1000")=$C17)
        ),
        5,
        FALSE
    )
)</f>
        <v/>
      </c>
      <c r="E17" s="27">
        <f t="array" ref="E17">IF(
    VLOOKUP(
        $A17,
        _xlfn._xlws.FILTER(
            INDIRECT("'"&amp;E$1&amp;"'!A2:E1000"), (INDIRECT("'"&amp;E$1&amp;"'!B2:B1000")=$B17) * (INDIRECT("'"&amp;E$1&amp;"'!C2:C1000")=$C17)
        ),
        5,
        FALSE
    )=0,
    "",
    VLOOKUP(
        $A17,
        _xlfn._xlws.FILTER(
            INDIRECT("'"&amp;E$1&amp;"'!A2:E1000"), (INDIRECT("'"&amp;E$1&amp;"'!B2:B1000")=$B17) * (INDIRECT("'"&amp;E$1&amp;"'!C2:C1000")=$C17)
        ),
        5,
        FALSE
    )
)</f>
        <v/>
      </c>
      <c r="F17" s="27">
        <f t="array" ref="F17">IF(
    VLOOKUP(
        $A17,
        _xlfn._xlws.FILTER(
            INDIRECT("'"&amp;F$1&amp;"'!A2:E1000"), (INDIRECT("'"&amp;F$1&amp;"'!B2:B1000")=$B17) * (INDIRECT("'"&amp;F$1&amp;"'!C2:C1000")=$C17)
        ),
        5,
        FALSE
    )=0,
    "",
    VLOOKUP(
        $A17,
        _xlfn._xlws.FILTER(
            INDIRECT("'"&amp;F$1&amp;"'!A2:E1000"), (INDIRECT("'"&amp;F$1&amp;"'!B2:B1000")=$B17) * (INDIRECT("'"&amp;F$1&amp;"'!C2:C1000")=$C17)
        ),
        5,
        FALSE
    )
)</f>
        <v/>
      </c>
      <c r="G17" s="28" t="inlineStr">
        <is>
          <t>Atrasado &gt;= 2</t>
        </is>
      </c>
      <c r="H17" s="28" t="inlineStr">
        <is>
          <t>Atrasado &gt;= 2</t>
        </is>
      </c>
      <c r="I17" s="28" t="inlineStr">
        <is>
          <t>Atrasado &gt;= 2</t>
        </is>
      </c>
    </row>
    <row r="18">
      <c r="A18" s="30" t="inlineStr">
        <is>
          <t>Comafen</t>
        </is>
      </c>
      <c r="B18" s="26" t="inlineStr">
        <is>
          <t>Porto Rico</t>
        </is>
      </c>
      <c r="C18" s="31" t="n">
        <v>1</v>
      </c>
      <c r="D18" s="27">
        <f t="array" ref="D18">IF(
    VLOOKUP(
        $A18,
        _xlfn._xlws.FILTER(
            INDIRECT("'"&amp;D$1&amp;"'!A2:E1000"), (INDIRECT("'"&amp;D$1&amp;"'!B2:B1000")=$B18) * (INDIRECT("'"&amp;D$1&amp;"'!C2:C1000")=$C18)
        ),
        5,
        FALSE
    )=0,
    "",
    VLOOKUP(
        $A18,
        _xlfn._xlws.FILTER(
            INDIRECT("'"&amp;D$1&amp;"'!A2:E1000"), (INDIRECT("'"&amp;D$1&amp;"'!B2:B1000")=$B18) * (INDIRECT("'"&amp;D$1&amp;"'!C2:C1000")=$C18)
        ),
        5,
        FALSE
    )
)</f>
        <v/>
      </c>
      <c r="E18" s="27">
        <f t="array" ref="E18">IF(
    VLOOKUP(
        $A18,
        _xlfn._xlws.FILTER(
            INDIRECT("'"&amp;E$1&amp;"'!A2:E1000"), (INDIRECT("'"&amp;E$1&amp;"'!B2:B1000")=$B18) * (INDIRECT("'"&amp;E$1&amp;"'!C2:C1000")=$C18)
        ),
        5,
        FALSE
    )=0,
    "",
    VLOOKUP(
        $A18,
        _xlfn._xlws.FILTER(
            INDIRECT("'"&amp;E$1&amp;"'!A2:E1000"), (INDIRECT("'"&amp;E$1&amp;"'!B2:B1000")=$B18) * (INDIRECT("'"&amp;E$1&amp;"'!C2:C1000")=$C18)
        ),
        5,
        FALSE
    )
)</f>
        <v/>
      </c>
      <c r="F18" s="27">
        <f t="array" ref="F18">IF(
    VLOOKUP(
        $A18,
        _xlfn._xlws.FILTER(
            INDIRECT("'"&amp;F$1&amp;"'!A2:E1000"), (INDIRECT("'"&amp;F$1&amp;"'!B2:B1000")=$B18) * (INDIRECT("'"&amp;F$1&amp;"'!C2:C1000")=$C18)
        ),
        5,
        FALSE
    )=0,
    "",
    VLOOKUP(
        $A18,
        _xlfn._xlws.FILTER(
            INDIRECT("'"&amp;F$1&amp;"'!A2:E1000"), (INDIRECT("'"&amp;F$1&amp;"'!B2:B1000")=$B18) * (INDIRECT("'"&amp;F$1&amp;"'!C2:C1000")=$C18)
        ),
        5,
        FALSE
    )
)</f>
        <v/>
      </c>
      <c r="G18" s="28" t="inlineStr">
        <is>
          <t>Atrasado &gt;= 2</t>
        </is>
      </c>
      <c r="H18" s="28" t="inlineStr">
        <is>
          <t>Enviado</t>
        </is>
      </c>
      <c r="I18" s="28" t="inlineStr">
        <is>
          <t>Atrasado &gt;= 2</t>
        </is>
      </c>
    </row>
    <row r="19">
      <c r="A19" s="30" t="inlineStr">
        <is>
          <t>Comafen</t>
        </is>
      </c>
      <c r="B19" s="26" t="inlineStr">
        <is>
          <t>Querencia do Norte</t>
        </is>
      </c>
      <c r="C19" s="31" t="n">
        <v>1</v>
      </c>
      <c r="D19" s="27">
        <f t="array" ref="D19">IF(
    VLOOKUP(
        $A19,
        _xlfn._xlws.FILTER(
            INDIRECT("'"&amp;D$1&amp;"'!A2:E1000"), (INDIRECT("'"&amp;D$1&amp;"'!B2:B1000")=$B19) * (INDIRECT("'"&amp;D$1&amp;"'!C2:C1000")=$C19)
        ),
        5,
        FALSE
    )=0,
    "",
    VLOOKUP(
        $A19,
        _xlfn._xlws.FILTER(
            INDIRECT("'"&amp;D$1&amp;"'!A2:E1000"), (INDIRECT("'"&amp;D$1&amp;"'!B2:B1000")=$B19) * (INDIRECT("'"&amp;D$1&amp;"'!C2:C1000")=$C19)
        ),
        5,
        FALSE
    )
)</f>
        <v/>
      </c>
      <c r="E19" s="27">
        <f t="array" ref="E19">IF(
    VLOOKUP(
        $A19,
        _xlfn._xlws.FILTER(
            INDIRECT("'"&amp;E$1&amp;"'!A2:E1000"), (INDIRECT("'"&amp;E$1&amp;"'!B2:B1000")=$B19) * (INDIRECT("'"&amp;E$1&amp;"'!C2:C1000")=$C19)
        ),
        5,
        FALSE
    )=0,
    "",
    VLOOKUP(
        $A19,
        _xlfn._xlws.FILTER(
            INDIRECT("'"&amp;E$1&amp;"'!A2:E1000"), (INDIRECT("'"&amp;E$1&amp;"'!B2:B1000")=$B19) * (INDIRECT("'"&amp;E$1&amp;"'!C2:C1000")=$C19)
        ),
        5,
        FALSE
    )
)</f>
        <v/>
      </c>
      <c r="F19" s="27">
        <f t="array" ref="F19">IF(
    VLOOKUP(
        $A19,
        _xlfn._xlws.FILTER(
            INDIRECT("'"&amp;F$1&amp;"'!A2:E1000"), (INDIRECT("'"&amp;F$1&amp;"'!B2:B1000")=$B19) * (INDIRECT("'"&amp;F$1&amp;"'!C2:C1000")=$C19)
        ),
        5,
        FALSE
    )=0,
    "",
    VLOOKUP(
        $A19,
        _xlfn._xlws.FILTER(
            INDIRECT("'"&amp;F$1&amp;"'!A2:E1000"), (INDIRECT("'"&amp;F$1&amp;"'!B2:B1000")=$B19) * (INDIRECT("'"&amp;F$1&amp;"'!C2:C1000")=$C19)
        ),
        5,
        FALSE
    )
)</f>
        <v/>
      </c>
      <c r="G19" s="28" t="inlineStr">
        <is>
          <t>Atrasado &gt;= 2</t>
        </is>
      </c>
      <c r="H19" s="28" t="inlineStr">
        <is>
          <t>Atrasado &gt;= 2</t>
        </is>
      </c>
      <c r="I19" s="28" t="inlineStr">
        <is>
          <t>Atrasado &gt;= 2</t>
        </is>
      </c>
    </row>
    <row r="20">
      <c r="A20" s="30" t="inlineStr">
        <is>
          <t>Comafen</t>
        </is>
      </c>
      <c r="B20" s="26" t="inlineStr">
        <is>
          <t>Santa Cruz de Monte Castelo</t>
        </is>
      </c>
      <c r="C20" s="31" t="n">
        <v>1</v>
      </c>
      <c r="D20" s="27">
        <f t="array" ref="D20">IF(
    VLOOKUP(
        $A20,
        _xlfn._xlws.FILTER(
            INDIRECT("'"&amp;D$1&amp;"'!A2:E1000"), (INDIRECT("'"&amp;D$1&amp;"'!B2:B1000")=$B20) * (INDIRECT("'"&amp;D$1&amp;"'!C2:C1000")=$C20)
        ),
        5,
        FALSE
    )=0,
    "",
    VLOOKUP(
        $A20,
        _xlfn._xlws.FILTER(
            INDIRECT("'"&amp;D$1&amp;"'!A2:E1000"), (INDIRECT("'"&amp;D$1&amp;"'!B2:B1000")=$B20) * (INDIRECT("'"&amp;D$1&amp;"'!C2:C1000")=$C20)
        ),
        5,
        FALSE
    )
)</f>
        <v/>
      </c>
      <c r="E20" s="27">
        <f t="array" ref="E20">IF(
    VLOOKUP(
        $A20,
        _xlfn._xlws.FILTER(
            INDIRECT("'"&amp;E$1&amp;"'!A2:E1000"), (INDIRECT("'"&amp;E$1&amp;"'!B2:B1000")=$B20) * (INDIRECT("'"&amp;E$1&amp;"'!C2:C1000")=$C20)
        ),
        5,
        FALSE
    )=0,
    "",
    VLOOKUP(
        $A20,
        _xlfn._xlws.FILTER(
            INDIRECT("'"&amp;E$1&amp;"'!A2:E1000"), (INDIRECT("'"&amp;E$1&amp;"'!B2:B1000")=$B20) * (INDIRECT("'"&amp;E$1&amp;"'!C2:C1000")=$C20)
        ),
        5,
        FALSE
    )
)</f>
        <v/>
      </c>
      <c r="F20" s="27">
        <f t="array" ref="F20">IF(
    VLOOKUP(
        $A20,
        _xlfn._xlws.FILTER(
            INDIRECT("'"&amp;F$1&amp;"'!A2:E1000"), (INDIRECT("'"&amp;F$1&amp;"'!B2:B1000")=$B20) * (INDIRECT("'"&amp;F$1&amp;"'!C2:C1000")=$C20)
        ),
        5,
        FALSE
    )=0,
    "",
    VLOOKUP(
        $A20,
        _xlfn._xlws.FILTER(
            INDIRECT("'"&amp;F$1&amp;"'!A2:E1000"), (INDIRECT("'"&amp;F$1&amp;"'!B2:B1000")=$B20) * (INDIRECT("'"&amp;F$1&amp;"'!C2:C1000")=$C20)
        ),
        5,
        FALSE
    )
)</f>
        <v/>
      </c>
      <c r="G20" s="28" t="inlineStr">
        <is>
          <t>Enviado</t>
        </is>
      </c>
      <c r="H20" s="28" t="inlineStr">
        <is>
          <t>Enviado</t>
        </is>
      </c>
      <c r="I20" s="28" t="inlineStr">
        <is>
          <t>Atrasado &gt;= 2</t>
        </is>
      </c>
    </row>
    <row r="21">
      <c r="A21" s="30" t="inlineStr">
        <is>
          <t>Comafen</t>
        </is>
      </c>
      <c r="B21" s="26" t="inlineStr">
        <is>
          <t>Santa Isabel do Ivai</t>
        </is>
      </c>
      <c r="C21" s="31" t="n">
        <v>1</v>
      </c>
      <c r="D21" s="27">
        <f t="array" ref="D21">IF(
    VLOOKUP(
        $A21,
        _xlfn._xlws.FILTER(
            INDIRECT("'"&amp;D$1&amp;"'!A2:E1000"), (INDIRECT("'"&amp;D$1&amp;"'!B2:B1000")=$B21) * (INDIRECT("'"&amp;D$1&amp;"'!C2:C1000")=$C21)
        ),
        5,
        FALSE
    )=0,
    "",
    VLOOKUP(
        $A21,
        _xlfn._xlws.FILTER(
            INDIRECT("'"&amp;D$1&amp;"'!A2:E1000"), (INDIRECT("'"&amp;D$1&amp;"'!B2:B1000")=$B21) * (INDIRECT("'"&amp;D$1&amp;"'!C2:C1000")=$C21)
        ),
        5,
        FALSE
    )
)</f>
        <v/>
      </c>
      <c r="E21" s="27">
        <f t="array" ref="E21">IF(
    VLOOKUP(
        $A21,
        _xlfn._xlws.FILTER(
            INDIRECT("'"&amp;E$1&amp;"'!A2:E1000"), (INDIRECT("'"&amp;E$1&amp;"'!B2:B1000")=$B21) * (INDIRECT("'"&amp;E$1&amp;"'!C2:C1000")=$C21)
        ),
        5,
        FALSE
    )=0,
    "",
    VLOOKUP(
        $A21,
        _xlfn._xlws.FILTER(
            INDIRECT("'"&amp;E$1&amp;"'!A2:E1000"), (INDIRECT("'"&amp;E$1&amp;"'!B2:B1000")=$B21) * (INDIRECT("'"&amp;E$1&amp;"'!C2:C1000")=$C21)
        ),
        5,
        FALSE
    )
)</f>
        <v/>
      </c>
      <c r="F21" s="27">
        <f t="array" ref="F21">IF(
    VLOOKUP(
        $A21,
        _xlfn._xlws.FILTER(
            INDIRECT("'"&amp;F$1&amp;"'!A2:E1000"), (INDIRECT("'"&amp;F$1&amp;"'!B2:B1000")=$B21) * (INDIRECT("'"&amp;F$1&amp;"'!C2:C1000")=$C21)
        ),
        5,
        FALSE
    )=0,
    "",
    VLOOKUP(
        $A21,
        _xlfn._xlws.FILTER(
            INDIRECT("'"&amp;F$1&amp;"'!A2:E1000"), (INDIRECT("'"&amp;F$1&amp;"'!B2:B1000")=$B21) * (INDIRECT("'"&amp;F$1&amp;"'!C2:C1000")=$C21)
        ),
        5,
        FALSE
    )
)</f>
        <v/>
      </c>
      <c r="G21" s="28" t="inlineStr">
        <is>
          <t>Enviado</t>
        </is>
      </c>
      <c r="H21" s="28" t="inlineStr">
        <is>
          <t>Atrasado &gt;= 2</t>
        </is>
      </c>
      <c r="I21" s="28" t="inlineStr">
        <is>
          <t>Atrasado &gt;= 2</t>
        </is>
      </c>
    </row>
    <row r="22">
      <c r="A22" s="30" t="inlineStr">
        <is>
          <t>Comafen</t>
        </is>
      </c>
      <c r="B22" s="26" t="inlineStr">
        <is>
          <t>São Pedro do Paraná</t>
        </is>
      </c>
      <c r="C22" s="31" t="n">
        <v>1</v>
      </c>
      <c r="D22" s="27">
        <f t="array" ref="D22">IF(
    VLOOKUP(
        $A22,
        _xlfn._xlws.FILTER(
            INDIRECT("'"&amp;D$1&amp;"'!A2:E1000"), (INDIRECT("'"&amp;D$1&amp;"'!B2:B1000")=$B22) * (INDIRECT("'"&amp;D$1&amp;"'!C2:C1000")=$C22)
        ),
        5,
        FALSE
    )=0,
    "",
    VLOOKUP(
        $A22,
        _xlfn._xlws.FILTER(
            INDIRECT("'"&amp;D$1&amp;"'!A2:E1000"), (INDIRECT("'"&amp;D$1&amp;"'!B2:B1000")=$B22) * (INDIRECT("'"&amp;D$1&amp;"'!C2:C1000")=$C22)
        ),
        5,
        FALSE
    )
)</f>
        <v/>
      </c>
      <c r="E22" s="27">
        <f t="array" ref="E22">IF(
    VLOOKUP(
        $A22,
        _xlfn._xlws.FILTER(
            INDIRECT("'"&amp;E$1&amp;"'!A2:E1000"), (INDIRECT("'"&amp;E$1&amp;"'!B2:B1000")=$B22) * (INDIRECT("'"&amp;E$1&amp;"'!C2:C1000")=$C22)
        ),
        5,
        FALSE
    )=0,
    "",
    VLOOKUP(
        $A22,
        _xlfn._xlws.FILTER(
            INDIRECT("'"&amp;E$1&amp;"'!A2:E1000"), (INDIRECT("'"&amp;E$1&amp;"'!B2:B1000")=$B22) * (INDIRECT("'"&amp;E$1&amp;"'!C2:C1000")=$C22)
        ),
        5,
        FALSE
    )
)</f>
        <v/>
      </c>
      <c r="F22" s="27">
        <f t="array" ref="F22">IF(
    VLOOKUP(
        $A22,
        _xlfn._xlws.FILTER(
            INDIRECT("'"&amp;F$1&amp;"'!A2:E1000"), (INDIRECT("'"&amp;F$1&amp;"'!B2:B1000")=$B22) * (INDIRECT("'"&amp;F$1&amp;"'!C2:C1000")=$C22)
        ),
        5,
        FALSE
    )=0,
    "",
    VLOOKUP(
        $A22,
        _xlfn._xlws.FILTER(
            INDIRECT("'"&amp;F$1&amp;"'!A2:E1000"), (INDIRECT("'"&amp;F$1&amp;"'!B2:B1000")=$B22) * (INDIRECT("'"&amp;F$1&amp;"'!C2:C1000")=$C22)
        ),
        5,
        FALSE
    )
)</f>
        <v/>
      </c>
      <c r="G22" s="28" t="inlineStr">
        <is>
          <t>Atrasado &gt;= 2</t>
        </is>
      </c>
      <c r="H22" s="28" t="inlineStr">
        <is>
          <t>Atrasado &gt;= 2</t>
        </is>
      </c>
      <c r="I22" s="28" t="inlineStr">
        <is>
          <t>Atrasado &gt;= 2</t>
        </is>
      </c>
    </row>
    <row r="23"/>
    <row r="24" ht="15.75" customHeight="1">
      <c r="A24" s="22" t="inlineStr">
        <is>
          <t>Regional</t>
        </is>
      </c>
      <c r="B24" s="22" t="inlineStr">
        <is>
          <t>Municípios</t>
        </is>
      </c>
      <c r="C24" s="22" t="inlineStr">
        <is>
          <t>UVR</t>
        </is>
      </c>
      <c r="D24" s="22" t="inlineStr">
        <is>
          <t>Form 1 - Município</t>
        </is>
      </c>
      <c r="E24" s="22" t="inlineStr">
        <is>
          <t>Form 2 - UVR</t>
        </is>
      </c>
      <c r="F24" s="23" t="inlineStr">
        <is>
          <t>Form 3 - Empreendimento</t>
        </is>
      </c>
      <c r="G24" s="24" t="inlineStr">
        <is>
          <t>08.25</t>
        </is>
      </c>
      <c r="H24" s="24" t="inlineStr">
        <is>
          <t>09.25</t>
        </is>
      </c>
      <c r="I24" s="24" t="inlineStr">
        <is>
          <t>10.25</t>
        </is>
      </c>
    </row>
    <row r="25">
      <c r="A25" s="32" t="inlineStr">
        <is>
          <t>Cibax</t>
        </is>
      </c>
      <c r="B25" s="26" t="inlineStr">
        <is>
          <t>Alto Piquiri</t>
        </is>
      </c>
      <c r="C25" s="31" t="n">
        <v>1</v>
      </c>
      <c r="D25" s="27">
        <f t="array" ref="D25">IF(
    VLOOKUP(
        $A25,
        _xlfn._xlws.FILTER(
            INDIRECT("'"&amp;D$1&amp;"'!A2:E1000"), (INDIRECT("'"&amp;D$1&amp;"'!B2:B1000")=$B25) * (INDIRECT("'"&amp;D$1&amp;"'!C2:C1000")=$C25)
        ),
        5,
        FALSE
    )=0,
    "",
    VLOOKUP(
        $A25,
        _xlfn._xlws.FILTER(
            INDIRECT("'"&amp;D$1&amp;"'!A2:E1000"), (INDIRECT("'"&amp;D$1&amp;"'!B2:B1000")=$B25) * (INDIRECT("'"&amp;D$1&amp;"'!C2:C1000")=$C25)
        ),
        5,
        FALSE
    )
)</f>
        <v/>
      </c>
      <c r="E25" s="27">
        <f t="array" ref="E25">IF(
    VLOOKUP(
        $A25,
        _xlfn._xlws.FILTER(
            INDIRECT("'"&amp;E$1&amp;"'!A2:E1000"), (INDIRECT("'"&amp;E$1&amp;"'!B2:B1000")=$B25) * (INDIRECT("'"&amp;E$1&amp;"'!C2:C1000")=$C25)
        ),
        5,
        FALSE
    )=0,
    "",
    VLOOKUP(
        $A25,
        _xlfn._xlws.FILTER(
            INDIRECT("'"&amp;E$1&amp;"'!A2:E1000"), (INDIRECT("'"&amp;E$1&amp;"'!B2:B1000")=$B25) * (INDIRECT("'"&amp;E$1&amp;"'!C2:C1000")=$C25)
        ),
        5,
        FALSE
    )
)</f>
        <v/>
      </c>
      <c r="F25" s="27">
        <f t="array" ref="F25">IF(
    VLOOKUP(
        $A25,
        _xlfn._xlws.FILTER(
            INDIRECT("'"&amp;F$1&amp;"'!A2:E1000"), (INDIRECT("'"&amp;F$1&amp;"'!B2:B1000")=$B25) * (INDIRECT("'"&amp;F$1&amp;"'!C2:C1000")=$C25)
        ),
        5,
        FALSE
    )=0,
    "",
    VLOOKUP(
        $A25,
        _xlfn._xlws.FILTER(
            INDIRECT("'"&amp;F$1&amp;"'!A2:E1000"), (INDIRECT("'"&amp;F$1&amp;"'!B2:B1000")=$B25) * (INDIRECT("'"&amp;F$1&amp;"'!C2:C1000")=$C25)
        ),
        5,
        FALSE
    )
)</f>
        <v/>
      </c>
      <c r="G25" s="28" t="inlineStr">
        <is>
          <t>Enviado</t>
        </is>
      </c>
      <c r="H25" s="28" t="inlineStr">
        <is>
          <t>Atrasado &gt;= 2</t>
        </is>
      </c>
      <c r="I25" s="28" t="inlineStr">
        <is>
          <t>Atrasado</t>
        </is>
      </c>
    </row>
    <row r="26">
      <c r="A26" s="32" t="inlineStr">
        <is>
          <t>Cibax</t>
        </is>
      </c>
      <c r="B26" s="26" t="inlineStr">
        <is>
          <t>Cafezal do Sul</t>
        </is>
      </c>
      <c r="C26" s="31" t="n">
        <v>1</v>
      </c>
      <c r="D26" s="27">
        <f t="array" ref="D26">IF(
    VLOOKUP(
        $A26,
        _xlfn._xlws.FILTER(
            INDIRECT("'"&amp;D$1&amp;"'!A2:E1000"), (INDIRECT("'"&amp;D$1&amp;"'!B2:B1000")=$B26) * (INDIRECT("'"&amp;D$1&amp;"'!C2:C1000")=$C26)
        ),
        5,
        FALSE
    )=0,
    "",
    VLOOKUP(
        $A26,
        _xlfn._xlws.FILTER(
            INDIRECT("'"&amp;D$1&amp;"'!A2:E1000"), (INDIRECT("'"&amp;D$1&amp;"'!B2:B1000")=$B26) * (INDIRECT("'"&amp;D$1&amp;"'!C2:C1000")=$C26)
        ),
        5,
        FALSE
    )
)</f>
        <v/>
      </c>
      <c r="E26" s="27">
        <f t="array" ref="E26">IF(
    VLOOKUP(
        $A26,
        _xlfn._xlws.FILTER(
            INDIRECT("'"&amp;E$1&amp;"'!A2:E1000"), (INDIRECT("'"&amp;E$1&amp;"'!B2:B1000")=$B26) * (INDIRECT("'"&amp;E$1&amp;"'!C2:C1000")=$C26)
        ),
        5,
        FALSE
    )=0,
    "",
    VLOOKUP(
        $A26,
        _xlfn._xlws.FILTER(
            INDIRECT("'"&amp;E$1&amp;"'!A2:E1000"), (INDIRECT("'"&amp;E$1&amp;"'!B2:B1000")=$B26) * (INDIRECT("'"&amp;E$1&amp;"'!C2:C1000")=$C26)
        ),
        5,
        FALSE
    )
)</f>
        <v/>
      </c>
      <c r="F26" s="27">
        <f t="array" ref="F26">IF(
    VLOOKUP(
        $A26,
        _xlfn._xlws.FILTER(
            INDIRECT("'"&amp;F$1&amp;"'!A2:E1000"), (INDIRECT("'"&amp;F$1&amp;"'!B2:B1000")=$B26) * (INDIRECT("'"&amp;F$1&amp;"'!C2:C1000")=$C26)
        ),
        5,
        FALSE
    )=0,
    "",
    VLOOKUP(
        $A26,
        _xlfn._xlws.FILTER(
            INDIRECT("'"&amp;F$1&amp;"'!A2:E1000"), (INDIRECT("'"&amp;F$1&amp;"'!B2:B1000")=$B26) * (INDIRECT("'"&amp;F$1&amp;"'!C2:C1000")=$C26)
        ),
        5,
        FALSE
    )
)</f>
        <v/>
      </c>
      <c r="G26" s="28" t="inlineStr">
        <is>
          <t>Enviado</t>
        </is>
      </c>
      <c r="H26" s="28" t="inlineStr">
        <is>
          <t>Enviado</t>
        </is>
      </c>
      <c r="I26" s="28" t="inlineStr">
        <is>
          <t>Duplicado</t>
        </is>
      </c>
    </row>
    <row r="27">
      <c r="A27" s="32" t="inlineStr">
        <is>
          <t>Cibax</t>
        </is>
      </c>
      <c r="B27" s="26" t="inlineStr">
        <is>
          <t>Cruzeiro do Oeste</t>
        </is>
      </c>
      <c r="C27" s="31" t="n">
        <v>1</v>
      </c>
      <c r="D27" s="27">
        <f t="array" ref="D27">IF(
    VLOOKUP(
        $A27,
        _xlfn._xlws.FILTER(
            INDIRECT("'"&amp;D$1&amp;"'!A2:E1000"), (INDIRECT("'"&amp;D$1&amp;"'!B2:B1000")=$B27) * (INDIRECT("'"&amp;D$1&amp;"'!C2:C1000")=$C27)
        ),
        5,
        FALSE
    )=0,
    "",
    VLOOKUP(
        $A27,
        _xlfn._xlws.FILTER(
            INDIRECT("'"&amp;D$1&amp;"'!A2:E1000"), (INDIRECT("'"&amp;D$1&amp;"'!B2:B1000")=$B27) * (INDIRECT("'"&amp;D$1&amp;"'!C2:C1000")=$C27)
        ),
        5,
        FALSE
    )
)</f>
        <v/>
      </c>
      <c r="E27" s="27">
        <f t="array" ref="E27">IF(
    VLOOKUP(
        $A27,
        _xlfn._xlws.FILTER(
            INDIRECT("'"&amp;E$1&amp;"'!A2:E1000"), (INDIRECT("'"&amp;E$1&amp;"'!B2:B1000")=$B27) * (INDIRECT("'"&amp;E$1&amp;"'!C2:C1000")=$C27)
        ),
        5,
        FALSE
    )=0,
    "",
    VLOOKUP(
        $A27,
        _xlfn._xlws.FILTER(
            INDIRECT("'"&amp;E$1&amp;"'!A2:E1000"), (INDIRECT("'"&amp;E$1&amp;"'!B2:B1000")=$B27) * (INDIRECT("'"&amp;E$1&amp;"'!C2:C1000")=$C27)
        ),
        5,
        FALSE
    )
)</f>
        <v/>
      </c>
      <c r="F27" s="27">
        <f t="array" ref="F27">IF(
    VLOOKUP(
        $A27,
        _xlfn._xlws.FILTER(
            INDIRECT("'"&amp;F$1&amp;"'!A2:E1000"), (INDIRECT("'"&amp;F$1&amp;"'!B2:B1000")=$B27) * (INDIRECT("'"&amp;F$1&amp;"'!C2:C1000")=$C27)
        ),
        5,
        FALSE
    )=0,
    "",
    VLOOKUP(
        $A27,
        _xlfn._xlws.FILTER(
            INDIRECT("'"&amp;F$1&amp;"'!A2:E1000"), (INDIRECT("'"&amp;F$1&amp;"'!B2:B1000")=$B27) * (INDIRECT("'"&amp;F$1&amp;"'!C2:C1000")=$C27)
        ),
        5,
        FALSE
    )
)</f>
        <v/>
      </c>
      <c r="G27" s="28" t="inlineStr">
        <is>
          <t>Enviado</t>
        </is>
      </c>
      <c r="H27" s="28" t="inlineStr">
        <is>
          <t>Enviado</t>
        </is>
      </c>
      <c r="I27" s="28" t="inlineStr">
        <is>
          <t>Atrasado</t>
        </is>
      </c>
    </row>
    <row r="28" ht="14.25" customHeight="1">
      <c r="A28" s="32" t="inlineStr">
        <is>
          <t>Cibax</t>
        </is>
      </c>
      <c r="B28" s="26" t="inlineStr">
        <is>
          <t>Iporã</t>
        </is>
      </c>
      <c r="C28" s="31" t="n">
        <v>1</v>
      </c>
      <c r="D28" s="27">
        <f t="array" ref="D28">IF(
    VLOOKUP(
        $A28,
        _xlfn._xlws.FILTER(
            INDIRECT("'"&amp;D$1&amp;"'!A2:E1000"), (INDIRECT("'"&amp;D$1&amp;"'!B2:B1000")=$B28) * (INDIRECT("'"&amp;D$1&amp;"'!C2:C1000")=$C28)
        ),
        5,
        FALSE
    )=0,
    "",
    VLOOKUP(
        $A28,
        _xlfn._xlws.FILTER(
            INDIRECT("'"&amp;D$1&amp;"'!A2:E1000"), (INDIRECT("'"&amp;D$1&amp;"'!B2:B1000")=$B28) * (INDIRECT("'"&amp;D$1&amp;"'!C2:C1000")=$C28)
        ),
        5,
        FALSE
    )
)</f>
        <v/>
      </c>
      <c r="E28" s="27">
        <f t="array" ref="E28">IF(
    VLOOKUP(
        $A28,
        _xlfn._xlws.FILTER(
            INDIRECT("'"&amp;E$1&amp;"'!A2:E1000"), (INDIRECT("'"&amp;E$1&amp;"'!B2:B1000")=$B28) * (INDIRECT("'"&amp;E$1&amp;"'!C2:C1000")=$C28)
        ),
        5,
        FALSE
    )=0,
    "",
    VLOOKUP(
        $A28,
        _xlfn._xlws.FILTER(
            INDIRECT("'"&amp;E$1&amp;"'!A2:E1000"), (INDIRECT("'"&amp;E$1&amp;"'!B2:B1000")=$B28) * (INDIRECT("'"&amp;E$1&amp;"'!C2:C1000")=$C28)
        ),
        5,
        FALSE
    )
)</f>
        <v/>
      </c>
      <c r="F28" s="27">
        <f t="array" ref="F28">IF(
    VLOOKUP(
        $A28,
        _xlfn._xlws.FILTER(
            INDIRECT("'"&amp;F$1&amp;"'!A2:E1000"), (INDIRECT("'"&amp;F$1&amp;"'!B2:B1000")=$B28) * (INDIRECT("'"&amp;F$1&amp;"'!C2:C1000")=$C28)
        ),
        5,
        FALSE
    )=0,
    "",
    VLOOKUP(
        $A28,
        _xlfn._xlws.FILTER(
            INDIRECT("'"&amp;F$1&amp;"'!A2:E1000"), (INDIRECT("'"&amp;F$1&amp;"'!B2:B1000")=$B28) * (INDIRECT("'"&amp;F$1&amp;"'!C2:C1000")=$C28)
        ),
        5,
        FALSE
    )
)</f>
        <v/>
      </c>
      <c r="G28" s="28" t="inlineStr">
        <is>
          <t>Enviado</t>
        </is>
      </c>
      <c r="H28" s="28" t="inlineStr">
        <is>
          <t>Enviado</t>
        </is>
      </c>
      <c r="I28" s="28" t="inlineStr">
        <is>
          <t>Enviado</t>
        </is>
      </c>
    </row>
    <row r="29">
      <c r="A29" s="32" t="inlineStr">
        <is>
          <t>Cibax</t>
        </is>
      </c>
      <c r="B29" s="26" t="inlineStr">
        <is>
          <t>Ivaté</t>
        </is>
      </c>
      <c r="C29" s="31" t="n">
        <v>1</v>
      </c>
      <c r="D29" s="27">
        <f t="array" ref="D29">IF(
    VLOOKUP(
        $A29,
        _xlfn._xlws.FILTER(
            INDIRECT("'"&amp;D$1&amp;"'!A2:E1000"), (INDIRECT("'"&amp;D$1&amp;"'!B2:B1000")=$B29) * (INDIRECT("'"&amp;D$1&amp;"'!C2:C1000")=$C29)
        ),
        5,
        FALSE
    )=0,
    "",
    VLOOKUP(
        $A29,
        _xlfn._xlws.FILTER(
            INDIRECT("'"&amp;D$1&amp;"'!A2:E1000"), (INDIRECT("'"&amp;D$1&amp;"'!B2:B1000")=$B29) * (INDIRECT("'"&amp;D$1&amp;"'!C2:C1000")=$C29)
        ),
        5,
        FALSE
    )
)</f>
        <v/>
      </c>
      <c r="E29" s="27">
        <f t="array" ref="E29">IF(
    VLOOKUP(
        $A29,
        _xlfn._xlws.FILTER(
            INDIRECT("'"&amp;E$1&amp;"'!A2:E1000"), (INDIRECT("'"&amp;E$1&amp;"'!B2:B1000")=$B29) * (INDIRECT("'"&amp;E$1&amp;"'!C2:C1000")=$C29)
        ),
        5,
        FALSE
    )=0,
    "",
    VLOOKUP(
        $A29,
        _xlfn._xlws.FILTER(
            INDIRECT("'"&amp;E$1&amp;"'!A2:E1000"), (INDIRECT("'"&amp;E$1&amp;"'!B2:B1000")=$B29) * (INDIRECT("'"&amp;E$1&amp;"'!C2:C1000")=$C29)
        ),
        5,
        FALSE
    )
)</f>
        <v/>
      </c>
      <c r="F29" s="27">
        <f t="array" ref="F29">IF(
    VLOOKUP(
        $A29,
        _xlfn._xlws.FILTER(
            INDIRECT("'"&amp;F$1&amp;"'!A2:E1000"), (INDIRECT("'"&amp;F$1&amp;"'!B2:B1000")=$B29) * (INDIRECT("'"&amp;F$1&amp;"'!C2:C1000")=$C29)
        ),
        5,
        FALSE
    )=0,
    "",
    VLOOKUP(
        $A29,
        _xlfn._xlws.FILTER(
            INDIRECT("'"&amp;F$1&amp;"'!A2:E1000"), (INDIRECT("'"&amp;F$1&amp;"'!B2:B1000")=$B29) * (INDIRECT("'"&amp;F$1&amp;"'!C2:C1000")=$C29)
        ),
        5,
        FALSE
    )
)</f>
        <v/>
      </c>
      <c r="G29" s="28" t="inlineStr">
        <is>
          <t>Enviado</t>
        </is>
      </c>
      <c r="H29" s="28" t="inlineStr">
        <is>
          <t>Enviado</t>
        </is>
      </c>
      <c r="I29" s="28" t="inlineStr">
        <is>
          <t>Enviado</t>
        </is>
      </c>
    </row>
    <row r="30">
      <c r="A30" s="32" t="inlineStr">
        <is>
          <t>Cibax</t>
        </is>
      </c>
      <c r="B30" s="26" t="inlineStr">
        <is>
          <t>Mariluz</t>
        </is>
      </c>
      <c r="C30" s="31" t="n">
        <v>1</v>
      </c>
      <c r="D30" s="27">
        <f t="array" ref="D30">IF(
    VLOOKUP(
        $A30,
        _xlfn._xlws.FILTER(
            INDIRECT("'"&amp;D$1&amp;"'!A2:E1000"), (INDIRECT("'"&amp;D$1&amp;"'!B2:B1000")=$B30) * (INDIRECT("'"&amp;D$1&amp;"'!C2:C1000")=$C30)
        ),
        5,
        FALSE
    )=0,
    "",
    VLOOKUP(
        $A30,
        _xlfn._xlws.FILTER(
            INDIRECT("'"&amp;D$1&amp;"'!A2:E1000"), (INDIRECT("'"&amp;D$1&amp;"'!B2:B1000")=$B30) * (INDIRECT("'"&amp;D$1&amp;"'!C2:C1000")=$C30)
        ),
        5,
        FALSE
    )
)</f>
        <v/>
      </c>
      <c r="E30" s="27">
        <f t="array" ref="E30">IF(
    VLOOKUP(
        $A30,
        _xlfn._xlws.FILTER(
            INDIRECT("'"&amp;E$1&amp;"'!A2:E1000"), (INDIRECT("'"&amp;E$1&amp;"'!B2:B1000")=$B30) * (INDIRECT("'"&amp;E$1&amp;"'!C2:C1000")=$C30)
        ),
        5,
        FALSE
    )=0,
    "",
    VLOOKUP(
        $A30,
        _xlfn._xlws.FILTER(
            INDIRECT("'"&amp;E$1&amp;"'!A2:E1000"), (INDIRECT("'"&amp;E$1&amp;"'!B2:B1000")=$B30) * (INDIRECT("'"&amp;E$1&amp;"'!C2:C1000")=$C30)
        ),
        5,
        FALSE
    )
)</f>
        <v/>
      </c>
      <c r="F30" s="27">
        <f t="array" ref="F30">IF(
    VLOOKUP(
        $A30,
        _xlfn._xlws.FILTER(
            INDIRECT("'"&amp;F$1&amp;"'!A2:E1000"), (INDIRECT("'"&amp;F$1&amp;"'!B2:B1000")=$B30) * (INDIRECT("'"&amp;F$1&amp;"'!C2:C1000")=$C30)
        ),
        5,
        FALSE
    )=0,
    "",
    VLOOKUP(
        $A30,
        _xlfn._xlws.FILTER(
            INDIRECT("'"&amp;F$1&amp;"'!A2:E1000"), (INDIRECT("'"&amp;F$1&amp;"'!B2:B1000")=$B30) * (INDIRECT("'"&amp;F$1&amp;"'!C2:C1000")=$C30)
        ),
        5,
        FALSE
    )
)</f>
        <v/>
      </c>
      <c r="G30" s="28" t="inlineStr">
        <is>
          <t>Atrasado &gt;= 2</t>
        </is>
      </c>
      <c r="H30" s="28" t="inlineStr">
        <is>
          <t>Atrasado &gt;= 2</t>
        </is>
      </c>
      <c r="I30" s="28" t="inlineStr">
        <is>
          <t>Atrasado</t>
        </is>
      </c>
    </row>
    <row r="31">
      <c r="A31" s="32" t="inlineStr">
        <is>
          <t>Cibax</t>
        </is>
      </c>
      <c r="B31" s="26" t="inlineStr">
        <is>
          <t>Perobal</t>
        </is>
      </c>
      <c r="C31" s="31" t="n">
        <v>1</v>
      </c>
      <c r="D31" s="27">
        <f t="array" ref="D31">IF(
    VLOOKUP(
        $A31,
        _xlfn._xlws.FILTER(
            INDIRECT("'"&amp;D$1&amp;"'!A2:E1000"), (INDIRECT("'"&amp;D$1&amp;"'!B2:B1000")=$B31) * (INDIRECT("'"&amp;D$1&amp;"'!C2:C1000")=$C31)
        ),
        5,
        FALSE
    )=0,
    "",
    VLOOKUP(
        $A31,
        _xlfn._xlws.FILTER(
            INDIRECT("'"&amp;D$1&amp;"'!A2:E1000"), (INDIRECT("'"&amp;D$1&amp;"'!B2:B1000")=$B31) * (INDIRECT("'"&amp;D$1&amp;"'!C2:C1000")=$C31)
        ),
        5,
        FALSE
    )
)</f>
        <v/>
      </c>
      <c r="E31" s="28">
        <f t="array" ref="E31">IF(
    VLOOKUP(
        $A31,
        _xlfn._xlws.FILTER(
            INDIRECT("'"&amp;E$1&amp;"'!A2:E1000"), (INDIRECT("'"&amp;E$1&amp;"'!B2:B1000")=$B31) * (INDIRECT("'"&amp;E$1&amp;"'!C2:C1000")=$C31)
        ),
        5,
        FALSE
    )=0,
    "",
    VLOOKUP(
        $A31,
        _xlfn._xlws.FILTER(
            INDIRECT("'"&amp;E$1&amp;"'!A2:E1000"), (INDIRECT("'"&amp;E$1&amp;"'!B2:B1000")=$B31) * (INDIRECT("'"&amp;E$1&amp;"'!C2:C1000")=$C31)
        ),
        5,
        FALSE
    )
)</f>
        <v/>
      </c>
      <c r="F31" s="28">
        <f t="array" ref="F31">IF(
    VLOOKUP(
        $A31,
        _xlfn._xlws.FILTER(
            INDIRECT("'"&amp;F$1&amp;"'!A2:E1000"), (INDIRECT("'"&amp;F$1&amp;"'!B2:B1000")=$B31) * (INDIRECT("'"&amp;F$1&amp;"'!C2:C1000")=$C31)
        ),
        5,
        FALSE
    )=0,
    "",
    VLOOKUP(
        $A31,
        _xlfn._xlws.FILTER(
            INDIRECT("'"&amp;F$1&amp;"'!A2:E1000"), (INDIRECT("'"&amp;F$1&amp;"'!B2:B1000")=$B31) * (INDIRECT("'"&amp;F$1&amp;"'!C2:C1000")=$C31)
        ),
        5,
        FALSE
    )
)</f>
        <v/>
      </c>
      <c r="G31" s="28" t="inlineStr">
        <is>
          <t>Outras Ocorrências</t>
        </is>
      </c>
      <c r="H31" s="28" t="inlineStr">
        <is>
          <t>Outras Ocorrências</t>
        </is>
      </c>
      <c r="I31" s="28" t="inlineStr">
        <is>
          <t>Outras Ocorrências</t>
        </is>
      </c>
    </row>
    <row r="32">
      <c r="A32" s="32" t="inlineStr">
        <is>
          <t>Cibax</t>
        </is>
      </c>
      <c r="B32" s="26" t="inlineStr">
        <is>
          <t>Pérola</t>
        </is>
      </c>
      <c r="C32" s="31" t="n">
        <v>1</v>
      </c>
      <c r="D32" s="27">
        <f t="array" ref="D32">IF(
    VLOOKUP(
        $A32,
        _xlfn._xlws.FILTER(
            INDIRECT("'"&amp;D$1&amp;"'!A2:E1000"), (INDIRECT("'"&amp;D$1&amp;"'!B2:B1000")=$B32) * (INDIRECT("'"&amp;D$1&amp;"'!C2:C1000")=$C32)
        ),
        5,
        FALSE
    )=0,
    "",
    VLOOKUP(
        $A32,
        _xlfn._xlws.FILTER(
            INDIRECT("'"&amp;D$1&amp;"'!A2:E1000"), (INDIRECT("'"&amp;D$1&amp;"'!B2:B1000")=$B32) * (INDIRECT("'"&amp;D$1&amp;"'!C2:C1000")=$C32)
        ),
        5,
        FALSE
    )
)</f>
        <v/>
      </c>
      <c r="E32" s="27">
        <f t="array" ref="E32">IF(
    VLOOKUP(
        $A32,
        _xlfn._xlws.FILTER(
            INDIRECT("'"&amp;E$1&amp;"'!A2:E1000"), (INDIRECT("'"&amp;E$1&amp;"'!B2:B1000")=$B32) * (INDIRECT("'"&amp;E$1&amp;"'!C2:C1000")=$C32)
        ),
        5,
        FALSE
    )=0,
    "",
    VLOOKUP(
        $A32,
        _xlfn._xlws.FILTER(
            INDIRECT("'"&amp;E$1&amp;"'!A2:E1000"), (INDIRECT("'"&amp;E$1&amp;"'!B2:B1000")=$B32) * (INDIRECT("'"&amp;E$1&amp;"'!C2:C1000")=$C32)
        ),
        5,
        FALSE
    )
)</f>
        <v/>
      </c>
      <c r="F32" s="27">
        <f t="array" ref="F32">IF(
    VLOOKUP(
        $A32,
        _xlfn._xlws.FILTER(
            INDIRECT("'"&amp;F$1&amp;"'!A2:E1000"), (INDIRECT("'"&amp;F$1&amp;"'!B2:B1000")=$B32) * (INDIRECT("'"&amp;F$1&amp;"'!C2:C1000")=$C32)
        ),
        5,
        FALSE
    )=0,
    "",
    VLOOKUP(
        $A32,
        _xlfn._xlws.FILTER(
            INDIRECT("'"&amp;F$1&amp;"'!A2:E1000"), (INDIRECT("'"&amp;F$1&amp;"'!B2:B1000")=$B32) * (INDIRECT("'"&amp;F$1&amp;"'!C2:C1000")=$C32)
        ),
        5,
        FALSE
    )
)</f>
        <v/>
      </c>
      <c r="G32" s="28" t="inlineStr">
        <is>
          <t>Enviado</t>
        </is>
      </c>
      <c r="H32" s="28" t="inlineStr">
        <is>
          <t>Enviado</t>
        </is>
      </c>
      <c r="I32" s="28" t="inlineStr">
        <is>
          <t>Atrasado</t>
        </is>
      </c>
    </row>
    <row r="33">
      <c r="A33" s="32" t="inlineStr">
        <is>
          <t>Cibax</t>
        </is>
      </c>
      <c r="B33" s="26" t="inlineStr">
        <is>
          <t>Umuarama</t>
        </is>
      </c>
      <c r="C33" s="31" t="n">
        <v>1</v>
      </c>
      <c r="D33" s="27">
        <f t="array" ref="D33">IF(
    VLOOKUP(
        $A33,
        _xlfn._xlws.FILTER(
            INDIRECT("'"&amp;D$1&amp;"'!A2:E1000"), (INDIRECT("'"&amp;D$1&amp;"'!B2:B1000")=$B33) * (INDIRECT("'"&amp;D$1&amp;"'!C2:C1000")=$C33)
        ),
        5,
        FALSE
    )=0,
    "",
    VLOOKUP(
        $A33,
        _xlfn._xlws.FILTER(
            INDIRECT("'"&amp;D$1&amp;"'!A2:E1000"), (INDIRECT("'"&amp;D$1&amp;"'!B2:B1000")=$B33) * (INDIRECT("'"&amp;D$1&amp;"'!C2:C1000")=$C33)
        ),
        5,
        FALSE
    )
)</f>
        <v/>
      </c>
      <c r="E33" s="27">
        <f t="array" ref="E33">IF(
    VLOOKUP(
        $A33,
        _xlfn._xlws.FILTER(
            INDIRECT("'"&amp;E$1&amp;"'!A2:E1000"), (INDIRECT("'"&amp;E$1&amp;"'!B2:B1000")=$B33) * (INDIRECT("'"&amp;E$1&amp;"'!C2:C1000")=$C33)
        ),
        5,
        FALSE
    )=0,
    "",
    VLOOKUP(
        $A33,
        _xlfn._xlws.FILTER(
            INDIRECT("'"&amp;E$1&amp;"'!A2:E1000"), (INDIRECT("'"&amp;E$1&amp;"'!B2:B1000")=$B33) * (INDIRECT("'"&amp;E$1&amp;"'!C2:C1000")=$C33)
        ),
        5,
        FALSE
    )
)</f>
        <v/>
      </c>
      <c r="F33" s="27">
        <f t="array" ref="F33">IF(
    VLOOKUP(
        $A33,
        _xlfn._xlws.FILTER(
            INDIRECT("'"&amp;F$1&amp;"'!A2:E1000"), (INDIRECT("'"&amp;F$1&amp;"'!B2:B1000")=$B33) * (INDIRECT("'"&amp;F$1&amp;"'!C2:C1000")=$C33)
        ),
        5,
        FALSE
    )=0,
    "",
    VLOOKUP(
        $A33,
        _xlfn._xlws.FILTER(
            INDIRECT("'"&amp;F$1&amp;"'!A2:E1000"), (INDIRECT("'"&amp;F$1&amp;"'!B2:B1000")=$B33) * (INDIRECT("'"&amp;F$1&amp;"'!C2:C1000")=$C33)
        ),
        5,
        FALSE
    )
)</f>
        <v/>
      </c>
      <c r="G33" s="28" t="inlineStr">
        <is>
          <t>Enviado</t>
        </is>
      </c>
      <c r="H33" s="28" t="inlineStr">
        <is>
          <t>Enviado</t>
        </is>
      </c>
      <c r="I33" s="28" t="inlineStr">
        <is>
          <t>Enviado</t>
        </is>
      </c>
    </row>
    <row r="34">
      <c r="A34" s="32" t="inlineStr">
        <is>
          <t>Cibax</t>
        </is>
      </c>
      <c r="B34" s="26" t="inlineStr">
        <is>
          <t>Xambre</t>
        </is>
      </c>
      <c r="C34" s="31" t="n">
        <v>1</v>
      </c>
      <c r="D34" s="27">
        <f t="array" ref="D34">IF(
    VLOOKUP(
        $A34,
        _xlfn._xlws.FILTER(
            INDIRECT("'"&amp;D$1&amp;"'!A2:E1000"), (INDIRECT("'"&amp;D$1&amp;"'!B2:B1000")=$B34) * (INDIRECT("'"&amp;D$1&amp;"'!C2:C1000")=$C34)
        ),
        5,
        FALSE
    )=0,
    "",
    VLOOKUP(
        $A34,
        _xlfn._xlws.FILTER(
            INDIRECT("'"&amp;D$1&amp;"'!A2:E1000"), (INDIRECT("'"&amp;D$1&amp;"'!B2:B1000")=$B34) * (INDIRECT("'"&amp;D$1&amp;"'!C2:C1000")=$C34)
        ),
        5,
        FALSE
    )
)</f>
        <v/>
      </c>
      <c r="E34" s="27">
        <f t="array" ref="E34">IF(
    VLOOKUP(
        $A34,
        _xlfn._xlws.FILTER(
            INDIRECT("'"&amp;E$1&amp;"'!A2:E1000"), (INDIRECT("'"&amp;E$1&amp;"'!B2:B1000")=$B34) * (INDIRECT("'"&amp;E$1&amp;"'!C2:C1000")=$C34)
        ),
        5,
        FALSE
    )=0,
    "",
    VLOOKUP(
        $A34,
        _xlfn._xlws.FILTER(
            INDIRECT("'"&amp;E$1&amp;"'!A2:E1000"), (INDIRECT("'"&amp;E$1&amp;"'!B2:B1000")=$B34) * (INDIRECT("'"&amp;E$1&amp;"'!C2:C1000")=$C34)
        ),
        5,
        FALSE
    )
)</f>
        <v/>
      </c>
      <c r="F34" s="27">
        <f t="array" ref="F34">IF(
    VLOOKUP(
        $A34,
        _xlfn._xlws.FILTER(
            INDIRECT("'"&amp;F$1&amp;"'!A2:E1000"), (INDIRECT("'"&amp;F$1&amp;"'!B2:B1000")=$B34) * (INDIRECT("'"&amp;F$1&amp;"'!C2:C1000")=$C34)
        ),
        5,
        FALSE
    )=0,
    "",
    VLOOKUP(
        $A34,
        _xlfn._xlws.FILTER(
            INDIRECT("'"&amp;F$1&amp;"'!A2:E1000"), (INDIRECT("'"&amp;F$1&amp;"'!B2:B1000")=$B34) * (INDIRECT("'"&amp;F$1&amp;"'!C2:C1000")=$C34)
        ),
        5,
        FALSE
    )
)</f>
        <v/>
      </c>
      <c r="G34" s="28" t="inlineStr">
        <is>
          <t>Enviado</t>
        </is>
      </c>
      <c r="H34" s="28" t="inlineStr">
        <is>
          <t>Enviado</t>
        </is>
      </c>
      <c r="I34" s="28" t="inlineStr">
        <is>
          <t>Enviado</t>
        </is>
      </c>
    </row>
    <row r="35"/>
    <row r="36" ht="15.75" customHeight="1">
      <c r="A36" s="22" t="inlineStr">
        <is>
          <t>Regional</t>
        </is>
      </c>
      <c r="B36" s="22" t="inlineStr">
        <is>
          <t>Municípios</t>
        </is>
      </c>
      <c r="C36" s="22" t="inlineStr">
        <is>
          <t>UVR</t>
        </is>
      </c>
      <c r="D36" s="22" t="inlineStr">
        <is>
          <t>Form 1 - Município</t>
        </is>
      </c>
      <c r="E36" s="22" t="inlineStr">
        <is>
          <t>Form 2 - UVR</t>
        </is>
      </c>
      <c r="F36" s="22" t="inlineStr">
        <is>
          <t>Form 3 - Empreendimento</t>
        </is>
      </c>
      <c r="G36" s="24" t="inlineStr">
        <is>
          <t>08.25</t>
        </is>
      </c>
      <c r="H36" s="24" t="inlineStr">
        <is>
          <t>09.25</t>
        </is>
      </c>
      <c r="I36" s="24" t="inlineStr">
        <is>
          <t>10.25</t>
        </is>
      </c>
    </row>
    <row r="37">
      <c r="A37" s="33" t="inlineStr">
        <is>
          <t>Cifra</t>
        </is>
      </c>
      <c r="B37" s="26" t="inlineStr">
        <is>
          <t>Bela Vista da Caroba</t>
        </is>
      </c>
      <c r="C37" s="31" t="n">
        <v>1</v>
      </c>
      <c r="D37" s="27">
        <f t="array" ref="D37">IF(
    VLOOKUP(
        $A37,
        _xlfn._xlws.FILTER(
            INDIRECT("'"&amp;D$1&amp;"'!A2:E1000"), (INDIRECT("'"&amp;D$1&amp;"'!B2:B1000")=$B37) * (INDIRECT("'"&amp;D$1&amp;"'!C2:C1000")=$C37)
        ),
        5,
        FALSE
    )=0,
    "",
    VLOOKUP(
        $A37,
        _xlfn._xlws.FILTER(
            INDIRECT("'"&amp;D$1&amp;"'!A2:E1000"), (INDIRECT("'"&amp;D$1&amp;"'!B2:B1000")=$B37) * (INDIRECT("'"&amp;D$1&amp;"'!C2:C1000")=$C37)
        ),
        5,
        FALSE
    )
)</f>
        <v/>
      </c>
      <c r="E37" s="27">
        <f t="array" ref="E37">IF(
    VLOOKUP(
        $A37,
        _xlfn._xlws.FILTER(
            INDIRECT("'"&amp;E$1&amp;"'!A2:E1000"), (INDIRECT("'"&amp;E$1&amp;"'!B2:B1000")=$B37) * (INDIRECT("'"&amp;E$1&amp;"'!C2:C1000")=$C37)
        ),
        5,
        FALSE
    )=0,
    "",
    VLOOKUP(
        $A37,
        _xlfn._xlws.FILTER(
            INDIRECT("'"&amp;E$1&amp;"'!A2:E1000"), (INDIRECT("'"&amp;E$1&amp;"'!B2:B1000")=$B37) * (INDIRECT("'"&amp;E$1&amp;"'!C2:C1000")=$C37)
        ),
        5,
        FALSE
    )
)</f>
        <v/>
      </c>
      <c r="F37" s="27">
        <f t="array" ref="F37">IF(
    VLOOKUP(
        $A37,
        _xlfn._xlws.FILTER(
            INDIRECT("'"&amp;F$1&amp;"'!A2:E1000"), (INDIRECT("'"&amp;F$1&amp;"'!B2:B1000")=$B37) * (INDIRECT("'"&amp;F$1&amp;"'!C2:C1000")=$C37)
        ),
        5,
        FALSE
    )=0,
    "",
    VLOOKUP(
        $A37,
        _xlfn._xlws.FILTER(
            INDIRECT("'"&amp;F$1&amp;"'!A2:E1000"), (INDIRECT("'"&amp;F$1&amp;"'!B2:B1000")=$B37) * (INDIRECT("'"&amp;F$1&amp;"'!C2:C1000")=$C37)
        ),
        5,
        FALSE
    )
)</f>
        <v/>
      </c>
      <c r="G37" s="28" t="inlineStr">
        <is>
          <t>Sem Técnico</t>
        </is>
      </c>
      <c r="H37" s="28" t="inlineStr">
        <is>
          <t>Sem Técnico</t>
        </is>
      </c>
      <c r="I37" s="28" t="inlineStr">
        <is>
          <t>Sem Técnico</t>
        </is>
      </c>
    </row>
    <row r="38">
      <c r="A38" s="33" t="inlineStr">
        <is>
          <t>Cifra</t>
        </is>
      </c>
      <c r="B38" s="26" t="inlineStr">
        <is>
          <t>Perola d'Oeste</t>
        </is>
      </c>
      <c r="C38" s="31" t="n">
        <v>1</v>
      </c>
      <c r="D38" s="27">
        <f t="array" ref="D38">IF(
    VLOOKUP(
        $A38,
        _xlfn._xlws.FILTER(
            INDIRECT("'"&amp;D$1&amp;"'!A2:E1000"), (INDIRECT("'"&amp;D$1&amp;"'!B2:B1000")=$B38) * (INDIRECT("'"&amp;D$1&amp;"'!C2:C1000")=$C38)
        ),
        5,
        FALSE
    )=0,
    "",
    VLOOKUP(
        $A38,
        _xlfn._xlws.FILTER(
            INDIRECT("'"&amp;D$1&amp;"'!A2:E1000"), (INDIRECT("'"&amp;D$1&amp;"'!B2:B1000")=$B38) * (INDIRECT("'"&amp;D$1&amp;"'!C2:C1000")=$C38)
        ),
        5,
        FALSE
    )
)</f>
        <v/>
      </c>
      <c r="E38" s="27">
        <f t="array" ref="E38">IF(
    VLOOKUP(
        $A38,
        _xlfn._xlws.FILTER(
            INDIRECT("'"&amp;E$1&amp;"'!A2:E1000"), (INDIRECT("'"&amp;E$1&amp;"'!B2:B1000")=$B38) * (INDIRECT("'"&amp;E$1&amp;"'!C2:C1000")=$C38)
        ),
        5,
        FALSE
    )=0,
    "",
    VLOOKUP(
        $A38,
        _xlfn._xlws.FILTER(
            INDIRECT("'"&amp;E$1&amp;"'!A2:E1000"), (INDIRECT("'"&amp;E$1&amp;"'!B2:B1000")=$B38) * (INDIRECT("'"&amp;E$1&amp;"'!C2:C1000")=$C38)
        ),
        5,
        FALSE
    )
)</f>
        <v/>
      </c>
      <c r="F38" s="27">
        <f t="array" ref="F38">IF(
    VLOOKUP(
        $A38,
        _xlfn._xlws.FILTER(
            INDIRECT("'"&amp;F$1&amp;"'!A2:E1000"), (INDIRECT("'"&amp;F$1&amp;"'!B2:B1000")=$B38) * (INDIRECT("'"&amp;F$1&amp;"'!C2:C1000")=$C38)
        ),
        5,
        FALSE
    )=0,
    "",
    VLOOKUP(
        $A38,
        _xlfn._xlws.FILTER(
            INDIRECT("'"&amp;F$1&amp;"'!A2:E1000"), (INDIRECT("'"&amp;F$1&amp;"'!B2:B1000")=$B38) * (INDIRECT("'"&amp;F$1&amp;"'!C2:C1000")=$C38)
        ),
        5,
        FALSE
    )
)</f>
        <v/>
      </c>
      <c r="G38" s="28" t="inlineStr">
        <is>
          <t>Sem Técnico</t>
        </is>
      </c>
      <c r="H38" s="28" t="inlineStr">
        <is>
          <t>Sem Técnico</t>
        </is>
      </c>
      <c r="I38" s="28" t="inlineStr">
        <is>
          <t>Sem Técnico</t>
        </is>
      </c>
    </row>
    <row r="39">
      <c r="A39" s="33" t="inlineStr">
        <is>
          <t>Cifra</t>
        </is>
      </c>
      <c r="B39" s="26" t="inlineStr">
        <is>
          <t>Planalto</t>
        </is>
      </c>
      <c r="C39" s="31" t="n">
        <v>1</v>
      </c>
      <c r="D39" s="27">
        <f t="array" ref="D39">IF(
    VLOOKUP(
        $A39,
        _xlfn._xlws.FILTER(
            INDIRECT("'"&amp;D$1&amp;"'!A2:E1000"), (INDIRECT("'"&amp;D$1&amp;"'!B2:B1000")=$B39) * (INDIRECT("'"&amp;D$1&amp;"'!C2:C1000")=$C39)
        ),
        5,
        FALSE
    )=0,
    "",
    VLOOKUP(
        $A39,
        _xlfn._xlws.FILTER(
            INDIRECT("'"&amp;D$1&amp;"'!A2:E1000"), (INDIRECT("'"&amp;D$1&amp;"'!B2:B1000")=$B39) * (INDIRECT("'"&amp;D$1&amp;"'!C2:C1000")=$C39)
        ),
        5,
        FALSE
    )
)</f>
        <v/>
      </c>
      <c r="E39" s="27">
        <f t="array" ref="E39">IF(
    VLOOKUP(
        $A39,
        _xlfn._xlws.FILTER(
            INDIRECT("'"&amp;E$1&amp;"'!A2:E1000"), (INDIRECT("'"&amp;E$1&amp;"'!B2:B1000")=$B39) * (INDIRECT("'"&amp;E$1&amp;"'!C2:C1000")=$C39)
        ),
        5,
        FALSE
    )=0,
    "",
    VLOOKUP(
        $A39,
        _xlfn._xlws.FILTER(
            INDIRECT("'"&amp;E$1&amp;"'!A2:E1000"), (INDIRECT("'"&amp;E$1&amp;"'!B2:B1000")=$B39) * (INDIRECT("'"&amp;E$1&amp;"'!C2:C1000")=$C39)
        ),
        5,
        FALSE
    )
)</f>
        <v/>
      </c>
      <c r="F39" s="27">
        <f t="array" ref="F39">IF(
    VLOOKUP(
        $A39,
        _xlfn._xlws.FILTER(
            INDIRECT("'"&amp;F$1&amp;"'!A2:E1000"), (INDIRECT("'"&amp;F$1&amp;"'!B2:B1000")=$B39) * (INDIRECT("'"&amp;F$1&amp;"'!C2:C1000")=$C39)
        ),
        5,
        FALSE
    )=0,
    "",
    VLOOKUP(
        $A39,
        _xlfn._xlws.FILTER(
            INDIRECT("'"&amp;F$1&amp;"'!A2:E1000"), (INDIRECT("'"&amp;F$1&amp;"'!B2:B1000")=$B39) * (INDIRECT("'"&amp;F$1&amp;"'!C2:C1000")=$C39)
        ),
        5,
        FALSE
    )
)</f>
        <v/>
      </c>
      <c r="G39" s="28" t="inlineStr">
        <is>
          <t>Sem Técnico</t>
        </is>
      </c>
      <c r="H39" s="28" t="inlineStr">
        <is>
          <t>Sem Técnico</t>
        </is>
      </c>
      <c r="I39" s="28" t="inlineStr">
        <is>
          <t>Sem Técnico</t>
        </is>
      </c>
    </row>
    <row r="40">
      <c r="A40" s="33" t="inlineStr">
        <is>
          <t>Cifra</t>
        </is>
      </c>
      <c r="B40" s="26" t="inlineStr">
        <is>
          <t>Santo Antonio do Sudoeste</t>
        </is>
      </c>
      <c r="C40" s="31" t="n">
        <v>1</v>
      </c>
      <c r="D40" s="27">
        <f t="array" ref="D40">IF(
    VLOOKUP(
        $A40,
        _xlfn._xlws.FILTER(
            INDIRECT("'"&amp;D$1&amp;"'!A2:E1000"), (INDIRECT("'"&amp;D$1&amp;"'!B2:B1000")=$B40) * (INDIRECT("'"&amp;D$1&amp;"'!C2:C1000")=$C40)
        ),
        5,
        FALSE
    )=0,
    "",
    VLOOKUP(
        $A40,
        _xlfn._xlws.FILTER(
            INDIRECT("'"&amp;D$1&amp;"'!A2:E1000"), (INDIRECT("'"&amp;D$1&amp;"'!B2:B1000")=$B40) * (INDIRECT("'"&amp;D$1&amp;"'!C2:C1000")=$C40)
        ),
        5,
        FALSE
    )
)</f>
        <v/>
      </c>
      <c r="E40" s="27">
        <f t="array" ref="E40">IF(
    VLOOKUP(
        $A40,
        _xlfn._xlws.FILTER(
            INDIRECT("'"&amp;E$1&amp;"'!A2:E1000"), (INDIRECT("'"&amp;E$1&amp;"'!B2:B1000")=$B40) * (INDIRECT("'"&amp;E$1&amp;"'!C2:C1000")=$C40)
        ),
        5,
        FALSE
    )=0,
    "",
    VLOOKUP(
        $A40,
        _xlfn._xlws.FILTER(
            INDIRECT("'"&amp;E$1&amp;"'!A2:E1000"), (INDIRECT("'"&amp;E$1&amp;"'!B2:B1000")=$B40) * (INDIRECT("'"&amp;E$1&amp;"'!C2:C1000")=$C40)
        ),
        5,
        FALSE
    )
)</f>
        <v/>
      </c>
      <c r="F40" s="27">
        <f t="array" ref="F40">IF(
    VLOOKUP(
        $A40,
        _xlfn._xlws.FILTER(
            INDIRECT("'"&amp;F$1&amp;"'!A2:E1000"), (INDIRECT("'"&amp;F$1&amp;"'!B2:B1000")=$B40) * (INDIRECT("'"&amp;F$1&amp;"'!C2:C1000")=$C40)
        ),
        5,
        FALSE
    )=0,
    "",
    VLOOKUP(
        $A40,
        _xlfn._xlws.FILTER(
            INDIRECT("'"&amp;F$1&amp;"'!A2:E1000"), (INDIRECT("'"&amp;F$1&amp;"'!B2:B1000")=$B40) * (INDIRECT("'"&amp;F$1&amp;"'!C2:C1000")=$C40)
        ),
        5,
        FALSE
    )
)</f>
        <v/>
      </c>
      <c r="G40" s="28" t="inlineStr">
        <is>
          <t>Sem Técnico</t>
        </is>
      </c>
      <c r="H40" s="28" t="inlineStr">
        <is>
          <t>Sem Técnico</t>
        </is>
      </c>
      <c r="I40" s="28" t="inlineStr">
        <is>
          <t>Sem Técnico</t>
        </is>
      </c>
    </row>
    <row r="41"/>
    <row r="42" ht="15.75" customHeight="1">
      <c r="A42" s="22" t="inlineStr">
        <is>
          <t>Regional</t>
        </is>
      </c>
      <c r="B42" s="22" t="inlineStr">
        <is>
          <t>Municípios</t>
        </is>
      </c>
      <c r="C42" s="22" t="inlineStr">
        <is>
          <t>UVR</t>
        </is>
      </c>
      <c r="D42" s="22" t="inlineStr">
        <is>
          <t>Form 1 - Município</t>
        </is>
      </c>
      <c r="E42" s="22" t="inlineStr">
        <is>
          <t>Form 2 - UVR</t>
        </is>
      </c>
      <c r="F42" s="23" t="inlineStr">
        <is>
          <t>Form 3 - Empreendimento</t>
        </is>
      </c>
      <c r="G42" s="24" t="inlineStr">
        <is>
          <t>08.25</t>
        </is>
      </c>
      <c r="H42" s="24" t="inlineStr">
        <is>
          <t>09.25</t>
        </is>
      </c>
      <c r="I42" s="24" t="inlineStr">
        <is>
          <t>10.25</t>
        </is>
      </c>
    </row>
    <row r="43">
      <c r="A43" s="34" t="inlineStr">
        <is>
          <t>Conisul</t>
        </is>
      </c>
      <c r="B43" s="26" t="inlineStr">
        <is>
          <t>Amambai</t>
        </is>
      </c>
      <c r="C43" s="31" t="n">
        <v>1</v>
      </c>
      <c r="D43" s="27">
        <f t="array" ref="D43">IF(
    VLOOKUP(
        $A43,
        _xlfn._xlws.FILTER(
            INDIRECT("'"&amp;D$1&amp;"'!A2:E1000"), (INDIRECT("'"&amp;D$1&amp;"'!B2:B1000")=$B43) * (INDIRECT("'"&amp;D$1&amp;"'!C2:C1000")=$C43)
        ),
        5,
        FALSE
    )=0,
    "",
    VLOOKUP(
        $A43,
        _xlfn._xlws.FILTER(
            INDIRECT("'"&amp;D$1&amp;"'!A2:E1000"), (INDIRECT("'"&amp;D$1&amp;"'!B2:B1000")=$B43) * (INDIRECT("'"&amp;D$1&amp;"'!C2:C1000")=$C43)
        ),
        5,
        FALSE
    )
)</f>
        <v/>
      </c>
      <c r="E43" s="27">
        <f t="array" ref="E43">IF(
    VLOOKUP(
        $A43,
        _xlfn._xlws.FILTER(
            INDIRECT("'"&amp;E$1&amp;"'!A2:E1000"), (INDIRECT("'"&amp;E$1&amp;"'!B2:B1000")=$B43) * (INDIRECT("'"&amp;E$1&amp;"'!C2:C1000")=$C43)
        ),
        5,
        FALSE
    )=0,
    "",
    VLOOKUP(
        $A43,
        _xlfn._xlws.FILTER(
            INDIRECT("'"&amp;E$1&amp;"'!A2:E1000"), (INDIRECT("'"&amp;E$1&amp;"'!B2:B1000")=$B43) * (INDIRECT("'"&amp;E$1&amp;"'!C2:C1000")=$C43)
        ),
        5,
        FALSE
    )
)</f>
        <v/>
      </c>
      <c r="F43" s="27">
        <f t="array" ref="F43">IF(
    VLOOKUP(
        $A43,
        _xlfn._xlws.FILTER(
            INDIRECT("'"&amp;F$1&amp;"'!A2:E1000"), (INDIRECT("'"&amp;F$1&amp;"'!B2:B1000")=$B43) * (INDIRECT("'"&amp;F$1&amp;"'!C2:C1000")=$C43)
        ),
        5,
        FALSE
    )=0,
    "",
    VLOOKUP(
        $A43,
        _xlfn._xlws.FILTER(
            INDIRECT("'"&amp;F$1&amp;"'!A2:E1000"), (INDIRECT("'"&amp;F$1&amp;"'!B2:B1000")=$B43) * (INDIRECT("'"&amp;F$1&amp;"'!C2:C1000")=$C43)
        ),
        5,
        FALSE
    )
)</f>
        <v/>
      </c>
      <c r="G43" s="28" t="inlineStr">
        <is>
          <t>Enviado</t>
        </is>
      </c>
      <c r="H43" s="28" t="inlineStr">
        <is>
          <t>Atrasado &gt;= 2</t>
        </is>
      </c>
      <c r="I43" s="28" t="inlineStr">
        <is>
          <t>Atrasado</t>
        </is>
      </c>
    </row>
    <row r="44">
      <c r="A44" s="34" t="inlineStr">
        <is>
          <t>Conisul</t>
        </is>
      </c>
      <c r="B44" s="26" t="inlineStr">
        <is>
          <t>Aral Moreira</t>
        </is>
      </c>
      <c r="C44" s="31" t="n">
        <v>1</v>
      </c>
      <c r="D44" s="27">
        <f t="array" ref="D44">IF(
    VLOOKUP(
        $A44,
        _xlfn._xlws.FILTER(
            INDIRECT("'"&amp;D$1&amp;"'!A2:E1000"), (INDIRECT("'"&amp;D$1&amp;"'!B2:B1000")=$B44) * (INDIRECT("'"&amp;D$1&amp;"'!C2:C1000")=$C44)
        ),
        5,
        FALSE
    )=0,
    "",
    VLOOKUP(
        $A44,
        _xlfn._xlws.FILTER(
            INDIRECT("'"&amp;D$1&amp;"'!A2:E1000"), (INDIRECT("'"&amp;D$1&amp;"'!B2:B1000")=$B44) * (INDIRECT("'"&amp;D$1&amp;"'!C2:C1000")=$C44)
        ),
        5,
        FALSE
    )
)</f>
        <v/>
      </c>
      <c r="E44" s="27">
        <f t="array" ref="E44">IF(
    VLOOKUP(
        $A44,
        _xlfn._xlws.FILTER(
            INDIRECT("'"&amp;E$1&amp;"'!A2:E1000"), (INDIRECT("'"&amp;E$1&amp;"'!B2:B1000")=$B44) * (INDIRECT("'"&amp;E$1&amp;"'!C2:C1000")=$C44)
        ),
        5,
        FALSE
    )=0,
    "",
    VLOOKUP(
        $A44,
        _xlfn._xlws.FILTER(
            INDIRECT("'"&amp;E$1&amp;"'!A2:E1000"), (INDIRECT("'"&amp;E$1&amp;"'!B2:B1000")=$B44) * (INDIRECT("'"&amp;E$1&amp;"'!C2:C1000")=$C44)
        ),
        5,
        FALSE
    )
)</f>
        <v/>
      </c>
      <c r="F44" s="27">
        <f t="array" ref="F44">IF(
    VLOOKUP(
        $A44,
        _xlfn._xlws.FILTER(
            INDIRECT("'"&amp;F$1&amp;"'!A2:E1000"), (INDIRECT("'"&amp;F$1&amp;"'!B2:B1000")=$B44) * (INDIRECT("'"&amp;F$1&amp;"'!C2:C1000")=$C44)
        ),
        5,
        FALSE
    )=0,
    "",
    VLOOKUP(
        $A44,
        _xlfn._xlws.FILTER(
            INDIRECT("'"&amp;F$1&amp;"'!A2:E1000"), (INDIRECT("'"&amp;F$1&amp;"'!B2:B1000")=$B44) * (INDIRECT("'"&amp;F$1&amp;"'!C2:C1000")=$C44)
        ),
        5,
        FALSE
    )
)</f>
        <v/>
      </c>
      <c r="G44" s="28" t="inlineStr">
        <is>
          <t>Atrasado &gt;= 2</t>
        </is>
      </c>
      <c r="H44" s="28" t="inlineStr">
        <is>
          <t>Atrasado &gt;= 2</t>
        </is>
      </c>
      <c r="I44" s="28" t="inlineStr">
        <is>
          <t>Atrasado</t>
        </is>
      </c>
    </row>
    <row r="45">
      <c r="A45" s="34" t="inlineStr">
        <is>
          <t>Conisul</t>
        </is>
      </c>
      <c r="B45" s="26" t="inlineStr">
        <is>
          <t>Caarapó</t>
        </is>
      </c>
      <c r="C45" s="31" t="n">
        <v>1</v>
      </c>
      <c r="D45" s="27">
        <f t="array" ref="D45">IF(
    VLOOKUP(
        $A45,
        _xlfn._xlws.FILTER(
            INDIRECT("'"&amp;D$1&amp;"'!A2:E1000"), (INDIRECT("'"&amp;D$1&amp;"'!B2:B1000")=$B45) * (INDIRECT("'"&amp;D$1&amp;"'!C2:C1000")=$C45)
        ),
        5,
        FALSE
    )=0,
    "",
    VLOOKUP(
        $A45,
        _xlfn._xlws.FILTER(
            INDIRECT("'"&amp;D$1&amp;"'!A2:E1000"), (INDIRECT("'"&amp;D$1&amp;"'!B2:B1000")=$B45) * (INDIRECT("'"&amp;D$1&amp;"'!C2:C1000")=$C45)
        ),
        5,
        FALSE
    )
)</f>
        <v/>
      </c>
      <c r="E45" s="27">
        <f t="array" ref="E45">IF(
    VLOOKUP(
        $A45,
        _xlfn._xlws.FILTER(
            INDIRECT("'"&amp;E$1&amp;"'!A2:E1000"), (INDIRECT("'"&amp;E$1&amp;"'!B2:B1000")=$B45) * (INDIRECT("'"&amp;E$1&amp;"'!C2:C1000")=$C45)
        ),
        5,
        FALSE
    )=0,
    "",
    VLOOKUP(
        $A45,
        _xlfn._xlws.FILTER(
            INDIRECT("'"&amp;E$1&amp;"'!A2:E1000"), (INDIRECT("'"&amp;E$1&amp;"'!B2:B1000")=$B45) * (INDIRECT("'"&amp;E$1&amp;"'!C2:C1000")=$C45)
        ),
        5,
        FALSE
    )
)</f>
        <v/>
      </c>
      <c r="F45" s="27">
        <f t="array" ref="F45">IF(
    VLOOKUP(
        $A45,
        _xlfn._xlws.FILTER(
            INDIRECT("'"&amp;F$1&amp;"'!A2:E1000"), (INDIRECT("'"&amp;F$1&amp;"'!B2:B1000")=$B45) * (INDIRECT("'"&amp;F$1&amp;"'!C2:C1000")=$C45)
        ),
        5,
        FALSE
    )=0,
    "",
    VLOOKUP(
        $A45,
        _xlfn._xlws.FILTER(
            INDIRECT("'"&amp;F$1&amp;"'!A2:E1000"), (INDIRECT("'"&amp;F$1&amp;"'!B2:B1000")=$B45) * (INDIRECT("'"&amp;F$1&amp;"'!C2:C1000")=$C45)
        ),
        5,
        FALSE
    )
)</f>
        <v/>
      </c>
      <c r="G45" s="28" t="inlineStr">
        <is>
          <t>Enviado</t>
        </is>
      </c>
      <c r="H45" s="28" t="inlineStr">
        <is>
          <t>Enviado</t>
        </is>
      </c>
      <c r="I45" s="28" t="inlineStr">
        <is>
          <t>Atrasado</t>
        </is>
      </c>
    </row>
    <row r="46">
      <c r="A46" s="34" t="inlineStr">
        <is>
          <t>Conisul</t>
        </is>
      </c>
      <c r="B46" s="26" t="inlineStr">
        <is>
          <t>Coronel Sapucaia</t>
        </is>
      </c>
      <c r="C46" s="31" t="n">
        <v>1</v>
      </c>
      <c r="D46" s="27">
        <f t="array" ref="D46">IF(
    VLOOKUP(
        $A46,
        _xlfn._xlws.FILTER(
            INDIRECT("'"&amp;D$1&amp;"'!A2:E1000"), (INDIRECT("'"&amp;D$1&amp;"'!B2:B1000")=$B46) * (INDIRECT("'"&amp;D$1&amp;"'!C2:C1000")=$C46)
        ),
        5,
        FALSE
    )=0,
    "",
    VLOOKUP(
        $A46,
        _xlfn._xlws.FILTER(
            INDIRECT("'"&amp;D$1&amp;"'!A2:E1000"), (INDIRECT("'"&amp;D$1&amp;"'!B2:B1000")=$B46) * (INDIRECT("'"&amp;D$1&amp;"'!C2:C1000")=$C46)
        ),
        5,
        FALSE
    )
)</f>
        <v/>
      </c>
      <c r="E46" s="27">
        <f t="array" ref="E46">IF(
    VLOOKUP(
        $A46,
        _xlfn._xlws.FILTER(
            INDIRECT("'"&amp;E$1&amp;"'!A2:E1000"), (INDIRECT("'"&amp;E$1&amp;"'!B2:B1000")=$B46) * (INDIRECT("'"&amp;E$1&amp;"'!C2:C1000")=$C46)
        ),
        5,
        FALSE
    )=0,
    "",
    VLOOKUP(
        $A46,
        _xlfn._xlws.FILTER(
            INDIRECT("'"&amp;E$1&amp;"'!A2:E1000"), (INDIRECT("'"&amp;E$1&amp;"'!B2:B1000")=$B46) * (INDIRECT("'"&amp;E$1&amp;"'!C2:C1000")=$C46)
        ),
        5,
        FALSE
    )
)</f>
        <v/>
      </c>
      <c r="F46" s="27">
        <f t="array" ref="F46">IF(
    VLOOKUP(
        $A46,
        _xlfn._xlws.FILTER(
            INDIRECT("'"&amp;F$1&amp;"'!A2:E1000"), (INDIRECT("'"&amp;F$1&amp;"'!B2:B1000")=$B46) * (INDIRECT("'"&amp;F$1&amp;"'!C2:C1000")=$C46)
        ),
        5,
        FALSE
    )=0,
    "",
    VLOOKUP(
        $A46,
        _xlfn._xlws.FILTER(
            INDIRECT("'"&amp;F$1&amp;"'!A2:E1000"), (INDIRECT("'"&amp;F$1&amp;"'!B2:B1000")=$B46) * (INDIRECT("'"&amp;F$1&amp;"'!C2:C1000")=$C46)
        ),
        5,
        FALSE
    )
)</f>
        <v/>
      </c>
      <c r="G46" s="28" t="inlineStr">
        <is>
          <t>Atrasado &gt;= 2</t>
        </is>
      </c>
      <c r="H46" s="28" t="inlineStr">
        <is>
          <t>Atrasado &gt;= 2</t>
        </is>
      </c>
      <c r="I46" s="28" t="inlineStr">
        <is>
          <t>Atrasado</t>
        </is>
      </c>
    </row>
    <row r="47">
      <c r="A47" s="34" t="inlineStr">
        <is>
          <t>Conisul</t>
        </is>
      </c>
      <c r="B47" s="26" t="inlineStr">
        <is>
          <t>Eldorado</t>
        </is>
      </c>
      <c r="C47" s="31" t="n">
        <v>1</v>
      </c>
      <c r="D47" s="27">
        <f t="array" ref="D47">IF(
    VLOOKUP(
        $A47,
        _xlfn._xlws.FILTER(
            INDIRECT("'"&amp;D$1&amp;"'!A2:E1000"), (INDIRECT("'"&amp;D$1&amp;"'!B2:B1000")=$B47) * (INDIRECT("'"&amp;D$1&amp;"'!C2:C1000")=$C47)
        ),
        5,
        FALSE
    )=0,
    "",
    VLOOKUP(
        $A47,
        _xlfn._xlws.FILTER(
            INDIRECT("'"&amp;D$1&amp;"'!A2:E1000"), (INDIRECT("'"&amp;D$1&amp;"'!B2:B1000")=$B47) * (INDIRECT("'"&amp;D$1&amp;"'!C2:C1000")=$C47)
        ),
        5,
        FALSE
    )
)</f>
        <v/>
      </c>
      <c r="E47" s="27">
        <f t="array" ref="E47">IF(
    VLOOKUP(
        $A47,
        _xlfn._xlws.FILTER(
            INDIRECT("'"&amp;E$1&amp;"'!A2:E1000"), (INDIRECT("'"&amp;E$1&amp;"'!B2:B1000")=$B47) * (INDIRECT("'"&amp;E$1&amp;"'!C2:C1000")=$C47)
        ),
        5,
        FALSE
    )=0,
    "",
    VLOOKUP(
        $A47,
        _xlfn._xlws.FILTER(
            INDIRECT("'"&amp;E$1&amp;"'!A2:E1000"), (INDIRECT("'"&amp;E$1&amp;"'!B2:B1000")=$B47) * (INDIRECT("'"&amp;E$1&amp;"'!C2:C1000")=$C47)
        ),
        5,
        FALSE
    )
)</f>
        <v/>
      </c>
      <c r="F47" s="27">
        <f t="array" ref="F47">IF(
    VLOOKUP(
        $A47,
        _xlfn._xlws.FILTER(
            INDIRECT("'"&amp;F$1&amp;"'!A2:E1000"), (INDIRECT("'"&amp;F$1&amp;"'!B2:B1000")=$B47) * (INDIRECT("'"&amp;F$1&amp;"'!C2:C1000")=$C47)
        ),
        5,
        FALSE
    )=0,
    "",
    VLOOKUP(
        $A47,
        _xlfn._xlws.FILTER(
            INDIRECT("'"&amp;F$1&amp;"'!A2:E1000"), (INDIRECT("'"&amp;F$1&amp;"'!B2:B1000")=$B47) * (INDIRECT("'"&amp;F$1&amp;"'!C2:C1000")=$C47)
        ),
        5,
        FALSE
    )
)</f>
        <v/>
      </c>
      <c r="G47" s="28" t="inlineStr">
        <is>
          <t>Enviado</t>
        </is>
      </c>
      <c r="H47" s="28" t="inlineStr">
        <is>
          <t>Enviado</t>
        </is>
      </c>
      <c r="I47" s="28" t="inlineStr">
        <is>
          <t>Enviado</t>
        </is>
      </c>
    </row>
    <row r="48">
      <c r="A48" s="34" t="inlineStr">
        <is>
          <t>Conisul</t>
        </is>
      </c>
      <c r="B48" s="26" t="inlineStr">
        <is>
          <t>Iguatemi</t>
        </is>
      </c>
      <c r="C48" s="31" t="n">
        <v>1</v>
      </c>
      <c r="D48" s="27">
        <f t="array" ref="D48">IF(
    VLOOKUP(
        $A48,
        _xlfn._xlws.FILTER(
            INDIRECT("'"&amp;D$1&amp;"'!A2:E1000"), (INDIRECT("'"&amp;D$1&amp;"'!B2:B1000")=$B48) * (INDIRECT("'"&amp;D$1&amp;"'!C2:C1000")=$C48)
        ),
        5,
        FALSE
    )=0,
    "",
    VLOOKUP(
        $A48,
        _xlfn._xlws.FILTER(
            INDIRECT("'"&amp;D$1&amp;"'!A2:E1000"), (INDIRECT("'"&amp;D$1&amp;"'!B2:B1000")=$B48) * (INDIRECT("'"&amp;D$1&amp;"'!C2:C1000")=$C48)
        ),
        5,
        FALSE
    )
)</f>
        <v/>
      </c>
      <c r="E48" s="27">
        <f t="array" ref="E48">IF(
    VLOOKUP(
        $A48,
        _xlfn._xlws.FILTER(
            INDIRECT("'"&amp;E$1&amp;"'!A2:E1000"), (INDIRECT("'"&amp;E$1&amp;"'!B2:B1000")=$B48) * (INDIRECT("'"&amp;E$1&amp;"'!C2:C1000")=$C48)
        ),
        5,
        FALSE
    )=0,
    "",
    VLOOKUP(
        $A48,
        _xlfn._xlws.FILTER(
            INDIRECT("'"&amp;E$1&amp;"'!A2:E1000"), (INDIRECT("'"&amp;E$1&amp;"'!B2:B1000")=$B48) * (INDIRECT("'"&amp;E$1&amp;"'!C2:C1000")=$C48)
        ),
        5,
        FALSE
    )
)</f>
        <v/>
      </c>
      <c r="F48" s="27">
        <f t="array" ref="F48">IF(
    VLOOKUP(
        $A48,
        _xlfn._xlws.FILTER(
            INDIRECT("'"&amp;F$1&amp;"'!A2:E1000"), (INDIRECT("'"&amp;F$1&amp;"'!B2:B1000")=$B48) * (INDIRECT("'"&amp;F$1&amp;"'!C2:C1000")=$C48)
        ),
        5,
        FALSE
    )=0,
    "",
    VLOOKUP(
        $A48,
        _xlfn._xlws.FILTER(
            INDIRECT("'"&amp;F$1&amp;"'!A2:E1000"), (INDIRECT("'"&amp;F$1&amp;"'!B2:B1000")=$B48) * (INDIRECT("'"&amp;F$1&amp;"'!C2:C1000")=$C48)
        ),
        5,
        FALSE
    )
)</f>
        <v/>
      </c>
      <c r="G48" s="28" t="inlineStr">
        <is>
          <t>Atrasado &gt;= 2</t>
        </is>
      </c>
      <c r="H48" s="28" t="inlineStr">
        <is>
          <t>Atrasado &gt;= 2</t>
        </is>
      </c>
      <c r="I48" s="28" t="inlineStr">
        <is>
          <t>Atrasado</t>
        </is>
      </c>
    </row>
    <row r="49">
      <c r="A49" s="34" t="inlineStr">
        <is>
          <t>Conisul</t>
        </is>
      </c>
      <c r="B49" s="26" t="inlineStr">
        <is>
          <t>Itaquiraí</t>
        </is>
      </c>
      <c r="C49" s="31" t="n">
        <v>1</v>
      </c>
      <c r="D49" s="27">
        <f t="array" ref="D49">IF(
    VLOOKUP(
        $A49,
        _xlfn._xlws.FILTER(
            INDIRECT("'"&amp;D$1&amp;"'!A2:E1000"), (INDIRECT("'"&amp;D$1&amp;"'!B2:B1000")=$B49) * (INDIRECT("'"&amp;D$1&amp;"'!C2:C1000")=$C49)
        ),
        5,
        FALSE
    )=0,
    "",
    VLOOKUP(
        $A49,
        _xlfn._xlws.FILTER(
            INDIRECT("'"&amp;D$1&amp;"'!A2:E1000"), (INDIRECT("'"&amp;D$1&amp;"'!B2:B1000")=$B49) * (INDIRECT("'"&amp;D$1&amp;"'!C2:C1000")=$C49)
        ),
        5,
        FALSE
    )
)</f>
        <v/>
      </c>
      <c r="E49" s="27">
        <f t="array" ref="E49">IF(
    VLOOKUP(
        $A49,
        _xlfn._xlws.FILTER(
            INDIRECT("'"&amp;E$1&amp;"'!A2:E1000"), (INDIRECT("'"&amp;E$1&amp;"'!B2:B1000")=$B49) * (INDIRECT("'"&amp;E$1&amp;"'!C2:C1000")=$C49)
        ),
        5,
        FALSE
    )=0,
    "",
    VLOOKUP(
        $A49,
        _xlfn._xlws.FILTER(
            INDIRECT("'"&amp;E$1&amp;"'!A2:E1000"), (INDIRECT("'"&amp;E$1&amp;"'!B2:B1000")=$B49) * (INDIRECT("'"&amp;E$1&amp;"'!C2:C1000")=$C49)
        ),
        5,
        FALSE
    )
)</f>
        <v/>
      </c>
      <c r="F49" s="27">
        <f t="array" ref="F49">IF(
    VLOOKUP(
        $A49,
        _xlfn._xlws.FILTER(
            INDIRECT("'"&amp;F$1&amp;"'!A2:E1000"), (INDIRECT("'"&amp;F$1&amp;"'!B2:B1000")=$B49) * (INDIRECT("'"&amp;F$1&amp;"'!C2:C1000")=$C49)
        ),
        5,
        FALSE
    )=0,
    "",
    VLOOKUP(
        $A49,
        _xlfn._xlws.FILTER(
            INDIRECT("'"&amp;F$1&amp;"'!A2:E1000"), (INDIRECT("'"&amp;F$1&amp;"'!B2:B1000")=$B49) * (INDIRECT("'"&amp;F$1&amp;"'!C2:C1000")=$C49)
        ),
        5,
        FALSE
    )
)</f>
        <v/>
      </c>
      <c r="G49" s="28" t="inlineStr">
        <is>
          <t>Enviado</t>
        </is>
      </c>
      <c r="H49" s="28" t="inlineStr">
        <is>
          <t>Enviado</t>
        </is>
      </c>
      <c r="I49" s="28" t="inlineStr">
        <is>
          <t>Atrasado</t>
        </is>
      </c>
    </row>
    <row r="50">
      <c r="A50" s="34" t="inlineStr">
        <is>
          <t>Conisul</t>
        </is>
      </c>
      <c r="B50" s="26" t="inlineStr">
        <is>
          <t>Japorã</t>
        </is>
      </c>
      <c r="C50" s="31" t="n">
        <v>1</v>
      </c>
      <c r="D50" s="27">
        <f t="array" ref="D50">IF(
    VLOOKUP(
        $A50,
        _xlfn._xlws.FILTER(
            INDIRECT("'"&amp;D$1&amp;"'!A2:E1000"), (INDIRECT("'"&amp;D$1&amp;"'!B2:B1000")=$B50) * (INDIRECT("'"&amp;D$1&amp;"'!C2:C1000")=$C50)
        ),
        5,
        FALSE
    )=0,
    "",
    VLOOKUP(
        $A50,
        _xlfn._xlws.FILTER(
            INDIRECT("'"&amp;D$1&amp;"'!A2:E1000"), (INDIRECT("'"&amp;D$1&amp;"'!B2:B1000")=$B50) * (INDIRECT("'"&amp;D$1&amp;"'!C2:C1000")=$C50)
        ),
        5,
        FALSE
    )
)</f>
        <v/>
      </c>
      <c r="E50" s="28" t="inlineStr">
        <is>
          <t>Outras Ocorrências</t>
        </is>
      </c>
      <c r="F50" s="27">
        <f t="array" ref="F50">IF(
    VLOOKUP(
        $A50,
        _xlfn._xlws.FILTER(
            INDIRECT("'"&amp;F$1&amp;"'!A2:E1000"), (INDIRECT("'"&amp;F$1&amp;"'!B2:B1000")=$B50) * (INDIRECT("'"&amp;F$1&amp;"'!C2:C1000")=$C50)
        ),
        5,
        FALSE
    )=0,
    "",
    VLOOKUP(
        $A50,
        _xlfn._xlws.FILTER(
            INDIRECT("'"&amp;F$1&amp;"'!A2:E1000"), (INDIRECT("'"&amp;F$1&amp;"'!B2:B1000")=$B50) * (INDIRECT("'"&amp;F$1&amp;"'!C2:C1000")=$C50)
        ),
        5,
        FALSE
    )
)</f>
        <v/>
      </c>
      <c r="G50" s="28" t="inlineStr">
        <is>
          <t>Atrasado &gt;= 2</t>
        </is>
      </c>
      <c r="H50" s="28" t="inlineStr">
        <is>
          <t>Atrasado &gt;= 2</t>
        </is>
      </c>
      <c r="I50" s="28" t="inlineStr">
        <is>
          <t>Atrasado</t>
        </is>
      </c>
    </row>
    <row r="51">
      <c r="A51" s="34" t="inlineStr">
        <is>
          <t>Conisul</t>
        </is>
      </c>
      <c r="B51" s="26" t="inlineStr">
        <is>
          <t>Juti</t>
        </is>
      </c>
      <c r="C51" s="31" t="n">
        <v>1</v>
      </c>
      <c r="D51" s="27">
        <f t="array" ref="D51">IF(
    VLOOKUP(
        $A51,
        _xlfn._xlws.FILTER(
            INDIRECT("'"&amp;D$1&amp;"'!A2:E1000"), (INDIRECT("'"&amp;D$1&amp;"'!B2:B1000")=$B51) * (INDIRECT("'"&amp;D$1&amp;"'!C2:C1000")=$C51)
        ),
        5,
        FALSE
    )=0,
    "",
    VLOOKUP(
        $A51,
        _xlfn._xlws.FILTER(
            INDIRECT("'"&amp;D$1&amp;"'!A2:E1000"), (INDIRECT("'"&amp;D$1&amp;"'!B2:B1000")=$B51) * (INDIRECT("'"&amp;D$1&amp;"'!C2:C1000")=$C51)
        ),
        5,
        FALSE
    )
)</f>
        <v/>
      </c>
      <c r="E51" s="27">
        <f t="array" ref="E51">IF(
    VLOOKUP(
        $A51,
        _xlfn._xlws.FILTER(
            INDIRECT("'"&amp;E$1&amp;"'!A2:E1000"), (INDIRECT("'"&amp;E$1&amp;"'!B2:B1000")=$B51) * (INDIRECT("'"&amp;E$1&amp;"'!C2:C1000")=$C51)
        ),
        5,
        FALSE
    )=0,
    "",
    VLOOKUP(
        $A51,
        _xlfn._xlws.FILTER(
            INDIRECT("'"&amp;E$1&amp;"'!A2:E1000"), (INDIRECT("'"&amp;E$1&amp;"'!B2:B1000")=$B51) * (INDIRECT("'"&amp;E$1&amp;"'!C2:C1000")=$C51)
        ),
        5,
        FALSE
    )
)</f>
        <v/>
      </c>
      <c r="F51" s="27">
        <f t="array" ref="F51">IF(
    VLOOKUP(
        $A51,
        _xlfn._xlws.FILTER(
            INDIRECT("'"&amp;F$1&amp;"'!A2:E1000"), (INDIRECT("'"&amp;F$1&amp;"'!B2:B1000")=$B51) * (INDIRECT("'"&amp;F$1&amp;"'!C2:C1000")=$C51)
        ),
        5,
        FALSE
    )=0,
    "",
    VLOOKUP(
        $A51,
        _xlfn._xlws.FILTER(
            INDIRECT("'"&amp;F$1&amp;"'!A2:E1000"), (INDIRECT("'"&amp;F$1&amp;"'!B2:B1000")=$B51) * (INDIRECT("'"&amp;F$1&amp;"'!C2:C1000")=$C51)
        ),
        5,
        FALSE
    )
)</f>
        <v/>
      </c>
      <c r="G51" s="28" t="inlineStr">
        <is>
          <t>Enviado</t>
        </is>
      </c>
      <c r="H51" s="28" t="inlineStr">
        <is>
          <t>Enviado</t>
        </is>
      </c>
      <c r="I51" s="28" t="inlineStr">
        <is>
          <t>Atrasado</t>
        </is>
      </c>
    </row>
    <row r="52">
      <c r="A52" s="34" t="inlineStr">
        <is>
          <t>Conisul</t>
        </is>
      </c>
      <c r="B52" s="26" t="inlineStr">
        <is>
          <t>Naviraí</t>
        </is>
      </c>
      <c r="C52" s="31" t="n">
        <v>1</v>
      </c>
      <c r="D52" s="27">
        <f t="array" ref="D52">IF(
    VLOOKUP(
        $A52,
        _xlfn._xlws.FILTER(
            INDIRECT("'"&amp;D$1&amp;"'!A2:E1000"), (INDIRECT("'"&amp;D$1&amp;"'!B2:B1000")=$B52) * (INDIRECT("'"&amp;D$1&amp;"'!C2:C1000")=$C52)
        ),
        5,
        FALSE
    )=0,
    "",
    VLOOKUP(
        $A52,
        _xlfn._xlws.FILTER(
            INDIRECT("'"&amp;D$1&amp;"'!A2:E1000"), (INDIRECT("'"&amp;D$1&amp;"'!B2:B1000")=$B52) * (INDIRECT("'"&amp;D$1&amp;"'!C2:C1000")=$C52)
        ),
        5,
        FALSE
    )
)</f>
        <v/>
      </c>
      <c r="E52" s="27">
        <f t="array" ref="E52">IF(
    VLOOKUP(
        $A52,
        _xlfn._xlws.FILTER(
            INDIRECT("'"&amp;E$1&amp;"'!A2:E1000"), (INDIRECT("'"&amp;E$1&amp;"'!B2:B1000")=$B52) * (INDIRECT("'"&amp;E$1&amp;"'!C2:C1000")=$C52)
        ),
        5,
        FALSE
    )=0,
    "",
    VLOOKUP(
        $A52,
        _xlfn._xlws.FILTER(
            INDIRECT("'"&amp;E$1&amp;"'!A2:E1000"), (INDIRECT("'"&amp;E$1&amp;"'!B2:B1000")=$B52) * (INDIRECT("'"&amp;E$1&amp;"'!C2:C1000")=$C52)
        ),
        5,
        FALSE
    )
)</f>
        <v/>
      </c>
      <c r="F52" s="27">
        <f t="array" ref="F52">IF(
    VLOOKUP(
        $A52,
        _xlfn._xlws.FILTER(
            INDIRECT("'"&amp;F$1&amp;"'!A2:E1000"), (INDIRECT("'"&amp;F$1&amp;"'!B2:B1000")=$B52) * (INDIRECT("'"&amp;F$1&amp;"'!C2:C1000")=$C52)
        ),
        5,
        FALSE
    )=0,
    "",
    VLOOKUP(
        $A52,
        _xlfn._xlws.FILTER(
            INDIRECT("'"&amp;F$1&amp;"'!A2:E1000"), (INDIRECT("'"&amp;F$1&amp;"'!B2:B1000")=$B52) * (INDIRECT("'"&amp;F$1&amp;"'!C2:C1000")=$C52)
        ),
        5,
        FALSE
    )
)</f>
        <v/>
      </c>
      <c r="G52" s="28" t="inlineStr">
        <is>
          <t>Duplicado</t>
        </is>
      </c>
      <c r="H52" s="28" t="inlineStr">
        <is>
          <t>Enviado</t>
        </is>
      </c>
      <c r="I52" s="28" t="inlineStr">
        <is>
          <t>Enviado</t>
        </is>
      </c>
    </row>
    <row r="53">
      <c r="A53" s="34" t="inlineStr">
        <is>
          <t>Conisul</t>
        </is>
      </c>
      <c r="B53" s="26" t="inlineStr">
        <is>
          <t>Paranhos</t>
        </is>
      </c>
      <c r="C53" s="31" t="n">
        <v>1</v>
      </c>
      <c r="D53" s="27">
        <f t="array" ref="D53">IF(
    VLOOKUP(
        $A53,
        _xlfn._xlws.FILTER(
            INDIRECT("'"&amp;D$1&amp;"'!A2:E1000"), (INDIRECT("'"&amp;D$1&amp;"'!B2:B1000")=$B53) * (INDIRECT("'"&amp;D$1&amp;"'!C2:C1000")=$C53)
        ),
        5,
        FALSE
    )=0,
    "",
    VLOOKUP(
        $A53,
        _xlfn._xlws.FILTER(
            INDIRECT("'"&amp;D$1&amp;"'!A2:E1000"), (INDIRECT("'"&amp;D$1&amp;"'!B2:B1000")=$B53) * (INDIRECT("'"&amp;D$1&amp;"'!C2:C1000")=$C53)
        ),
        5,
        FALSE
    )
)</f>
        <v/>
      </c>
      <c r="E53" s="27">
        <f t="array" ref="E53">IF(
    VLOOKUP(
        $A53,
        _xlfn._xlws.FILTER(
            INDIRECT("'"&amp;E$1&amp;"'!A2:E1000"), (INDIRECT("'"&amp;E$1&amp;"'!B2:B1000")=$B53) * (INDIRECT("'"&amp;E$1&amp;"'!C2:C1000")=$C53)
        ),
        5,
        FALSE
    )=0,
    "",
    VLOOKUP(
        $A53,
        _xlfn._xlws.FILTER(
            INDIRECT("'"&amp;E$1&amp;"'!A2:E1000"), (INDIRECT("'"&amp;E$1&amp;"'!B2:B1000")=$B53) * (INDIRECT("'"&amp;E$1&amp;"'!C2:C1000")=$C53)
        ),
        5,
        FALSE
    )
)</f>
        <v/>
      </c>
      <c r="F53" s="27">
        <f t="array" ref="F53">IF(
    VLOOKUP(
        $A53,
        _xlfn._xlws.FILTER(
            INDIRECT("'"&amp;F$1&amp;"'!A2:E1000"), (INDIRECT("'"&amp;F$1&amp;"'!B2:B1000")=$B53) * (INDIRECT("'"&amp;F$1&amp;"'!C2:C1000")=$C53)
        ),
        5,
        FALSE
    )=0,
    "",
    VLOOKUP(
        $A53,
        _xlfn._xlws.FILTER(
            INDIRECT("'"&amp;F$1&amp;"'!A2:E1000"), (INDIRECT("'"&amp;F$1&amp;"'!B2:B1000")=$B53) * (INDIRECT("'"&amp;F$1&amp;"'!C2:C1000")=$C53)
        ),
        5,
        FALSE
    )
)</f>
        <v/>
      </c>
      <c r="G53" s="28" t="inlineStr">
        <is>
          <t>Atrasado &gt;= 2</t>
        </is>
      </c>
      <c r="H53" s="28" t="inlineStr">
        <is>
          <t>Atrasado &gt;= 2</t>
        </is>
      </c>
      <c r="I53" s="28" t="inlineStr">
        <is>
          <t>Atrasado</t>
        </is>
      </c>
    </row>
    <row r="54">
      <c r="A54" s="34" t="inlineStr">
        <is>
          <t>Conisul</t>
        </is>
      </c>
      <c r="B54" s="26" t="inlineStr">
        <is>
          <t>Sete Quedas</t>
        </is>
      </c>
      <c r="C54" s="31" t="n">
        <v>1</v>
      </c>
      <c r="D54" s="27">
        <f t="array" ref="D54">IF(
    VLOOKUP(
        $A54,
        _xlfn._xlws.FILTER(
            INDIRECT("'"&amp;D$1&amp;"'!A2:E1000"), (INDIRECT("'"&amp;D$1&amp;"'!B2:B1000")=$B54) * (INDIRECT("'"&amp;D$1&amp;"'!C2:C1000")=$C54)
        ),
        5,
        FALSE
    )=0,
    "",
    VLOOKUP(
        $A54,
        _xlfn._xlws.FILTER(
            INDIRECT("'"&amp;D$1&amp;"'!A2:E1000"), (INDIRECT("'"&amp;D$1&amp;"'!B2:B1000")=$B54) * (INDIRECT("'"&amp;D$1&amp;"'!C2:C1000")=$C54)
        ),
        5,
        FALSE
    )
)</f>
        <v/>
      </c>
      <c r="E54" s="27">
        <f t="array" ref="E54">IF(
    VLOOKUP(
        $A54,
        _xlfn._xlws.FILTER(
            INDIRECT("'"&amp;E$1&amp;"'!A2:E1000"), (INDIRECT("'"&amp;E$1&amp;"'!B2:B1000")=$B54) * (INDIRECT("'"&amp;E$1&amp;"'!C2:C1000")=$C54)
        ),
        5,
        FALSE
    )=0,
    "",
    VLOOKUP(
        $A54,
        _xlfn._xlws.FILTER(
            INDIRECT("'"&amp;E$1&amp;"'!A2:E1000"), (INDIRECT("'"&amp;E$1&amp;"'!B2:B1000")=$B54) * (INDIRECT("'"&amp;E$1&amp;"'!C2:C1000")=$C54)
        ),
        5,
        FALSE
    )
)</f>
        <v/>
      </c>
      <c r="F54" s="27">
        <f t="array" ref="F54">IF(
    VLOOKUP(
        $A54,
        _xlfn._xlws.FILTER(
            INDIRECT("'"&amp;F$1&amp;"'!A2:E1000"), (INDIRECT("'"&amp;F$1&amp;"'!B2:B1000")=$B54) * (INDIRECT("'"&amp;F$1&amp;"'!C2:C1000")=$C54)
        ),
        5,
        FALSE
    )=0,
    "",
    VLOOKUP(
        $A54,
        _xlfn._xlws.FILTER(
            INDIRECT("'"&amp;F$1&amp;"'!A2:E1000"), (INDIRECT("'"&amp;F$1&amp;"'!B2:B1000")=$B54) * (INDIRECT("'"&amp;F$1&amp;"'!C2:C1000")=$C54)
        ),
        5,
        FALSE
    )
)</f>
        <v/>
      </c>
      <c r="G54" s="28" t="inlineStr">
        <is>
          <t>Sem Técnico</t>
        </is>
      </c>
      <c r="H54" s="28" t="inlineStr">
        <is>
          <t>Sem Técnico</t>
        </is>
      </c>
      <c r="I54" s="28" t="inlineStr">
        <is>
          <t>Sem Técnico</t>
        </is>
      </c>
    </row>
    <row r="55">
      <c r="A55" s="34" t="inlineStr">
        <is>
          <t>Conisul</t>
        </is>
      </c>
      <c r="B55" s="26" t="inlineStr">
        <is>
          <t>Tacuru</t>
        </is>
      </c>
      <c r="C55" s="31" t="n">
        <v>1</v>
      </c>
      <c r="D55" s="27">
        <f t="array" ref="D55">IF(
    VLOOKUP(
        $A55,
        _xlfn._xlws.FILTER(
            INDIRECT("'"&amp;D$1&amp;"'!A2:E1000"), (INDIRECT("'"&amp;D$1&amp;"'!B2:B1000")=$B55) * (INDIRECT("'"&amp;D$1&amp;"'!C2:C1000")=$C55)
        ),
        5,
        FALSE
    )=0,
    "",
    VLOOKUP(
        $A55,
        _xlfn._xlws.FILTER(
            INDIRECT("'"&amp;D$1&amp;"'!A2:E1000"), (INDIRECT("'"&amp;D$1&amp;"'!B2:B1000")=$B55) * (INDIRECT("'"&amp;D$1&amp;"'!C2:C1000")=$C55)
        ),
        5,
        FALSE
    )
)</f>
        <v/>
      </c>
      <c r="E55" s="27">
        <f t="array" ref="E55">IF(
    VLOOKUP(
        $A55,
        _xlfn._xlws.FILTER(
            INDIRECT("'"&amp;E$1&amp;"'!A2:E1000"), (INDIRECT("'"&amp;E$1&amp;"'!B2:B1000")=$B55) * (INDIRECT("'"&amp;E$1&amp;"'!C2:C1000")=$C55)
        ),
        5,
        FALSE
    )=0,
    "",
    VLOOKUP(
        $A55,
        _xlfn._xlws.FILTER(
            INDIRECT("'"&amp;E$1&amp;"'!A2:E1000"), (INDIRECT("'"&amp;E$1&amp;"'!B2:B1000")=$B55) * (INDIRECT("'"&amp;E$1&amp;"'!C2:C1000")=$C55)
        ),
        5,
        FALSE
    )
)</f>
        <v/>
      </c>
      <c r="F55" s="27">
        <f t="array" ref="F55">IF(
    VLOOKUP(
        $A55,
        _xlfn._xlws.FILTER(
            INDIRECT("'"&amp;F$1&amp;"'!A2:E1000"), (INDIRECT("'"&amp;F$1&amp;"'!B2:B1000")=$B55) * (INDIRECT("'"&amp;F$1&amp;"'!C2:C1000")=$C55)
        ),
        5,
        FALSE
    )=0,
    "",
    VLOOKUP(
        $A55,
        _xlfn._xlws.FILTER(
            INDIRECT("'"&amp;F$1&amp;"'!A2:E1000"), (INDIRECT("'"&amp;F$1&amp;"'!B2:B1000")=$B55) * (INDIRECT("'"&amp;F$1&amp;"'!C2:C1000")=$C55)
        ),
        5,
        FALSE
    )
)</f>
        <v/>
      </c>
      <c r="G55" s="28" t="inlineStr">
        <is>
          <t>Enviado</t>
        </is>
      </c>
      <c r="H55" s="28" t="inlineStr">
        <is>
          <t>Enviado</t>
        </is>
      </c>
      <c r="I55" s="28" t="inlineStr">
        <is>
          <t>Enviado</t>
        </is>
      </c>
    </row>
  </sheetData>
  <conditionalFormatting sqref="D10">
    <cfRule type="containsText" priority="281" operator="containsText" dxfId="0" text="Atrasado">
      <formula>NOT(ISERROR(SEARCH("Atrasado",D10)))</formula>
    </cfRule>
  </conditionalFormatting>
  <conditionalFormatting sqref="D2 D3:F9">
    <cfRule type="cellIs" priority="277" operator="equal" dxfId="1">
      <formula>"Duplicado"</formula>
    </cfRule>
    <cfRule type="cellIs" priority="278" operator="equal" dxfId="2">
      <formula>"Sem Técnico"</formula>
    </cfRule>
    <cfRule type="cellIs" priority="279" operator="equal" dxfId="0">
      <formula>"Atrasado"</formula>
    </cfRule>
    <cfRule type="cellIs" priority="280" operator="equal" dxfId="3">
      <formula>"Enviado"</formula>
    </cfRule>
  </conditionalFormatting>
  <conditionalFormatting sqref="E3:E9">
    <cfRule type="cellIs" priority="273" operator="equal" dxfId="1">
      <formula>"Duplicado"</formula>
    </cfRule>
    <cfRule type="cellIs" priority="274" operator="equal" dxfId="2">
      <formula>"Sem Técnico"</formula>
    </cfRule>
    <cfRule type="cellIs" priority="275" operator="equal" dxfId="0">
      <formula>"Atrasado"</formula>
    </cfRule>
    <cfRule type="cellIs" priority="276" operator="equal" dxfId="3">
      <formula>"Enviado"</formula>
    </cfRule>
  </conditionalFormatting>
  <conditionalFormatting sqref="F3:F9">
    <cfRule type="cellIs" priority="269" operator="equal" dxfId="1">
      <formula>"Duplicado"</formula>
    </cfRule>
    <cfRule type="cellIs" priority="270" operator="equal" dxfId="2">
      <formula>"Sem Técnico"</formula>
    </cfRule>
    <cfRule type="cellIs" priority="271" operator="equal" dxfId="0">
      <formula>"Atrasado"</formula>
    </cfRule>
    <cfRule type="cellIs" priority="272" operator="equal" dxfId="3">
      <formula>"Enviado"</formula>
    </cfRule>
  </conditionalFormatting>
  <conditionalFormatting sqref="D12:F22">
    <cfRule type="cellIs" priority="265" operator="equal" dxfId="1">
      <formula>"Duplicado"</formula>
    </cfRule>
    <cfRule type="cellIs" priority="266" operator="equal" dxfId="2">
      <formula>"Sem Técnico"</formula>
    </cfRule>
    <cfRule type="cellIs" priority="267" operator="equal" dxfId="0">
      <formula>"Atrasado"</formula>
    </cfRule>
    <cfRule type="cellIs" priority="268" operator="equal" dxfId="3">
      <formula>"Enviado"</formula>
    </cfRule>
  </conditionalFormatting>
  <conditionalFormatting sqref="D25:F30 D31 D32:F34">
    <cfRule type="cellIs" priority="261" operator="equal" dxfId="1">
      <formula>"Duplicado"</formula>
    </cfRule>
    <cfRule type="cellIs" priority="262" operator="equal" dxfId="2">
      <formula>"Sem Técnico"</formula>
    </cfRule>
    <cfRule type="cellIs" priority="263" operator="equal" dxfId="0">
      <formula>"Atrasado"</formula>
    </cfRule>
    <cfRule type="cellIs" priority="264" operator="equal" dxfId="3">
      <formula>"Enviado"</formula>
    </cfRule>
  </conditionalFormatting>
  <conditionalFormatting sqref="D37:F40">
    <cfRule type="cellIs" priority="241" operator="equal" dxfId="1">
      <formula>"Duplicado"</formula>
    </cfRule>
    <cfRule type="cellIs" priority="242" operator="equal" dxfId="2">
      <formula>"Sem Técnico"</formula>
    </cfRule>
    <cfRule type="cellIs" priority="243" operator="equal" dxfId="0">
      <formula>"Atrasado"</formula>
    </cfRule>
    <cfRule type="cellIs" priority="244" operator="equal" dxfId="3">
      <formula>"Enviado"</formula>
    </cfRule>
  </conditionalFormatting>
  <conditionalFormatting sqref="D43:F49 D50 D51:F55 F50">
    <cfRule type="cellIs" priority="237" operator="equal" dxfId="1">
      <formula>"Duplicado"</formula>
    </cfRule>
    <cfRule type="cellIs" priority="238" operator="equal" dxfId="2">
      <formula>"Sem Técnico"</formula>
    </cfRule>
    <cfRule type="cellIs" priority="239" operator="equal" dxfId="0">
      <formula>"Atrasado"</formula>
    </cfRule>
    <cfRule type="cellIs" priority="240" operator="equal" dxfId="3">
      <formula>"Enviado"</formula>
    </cfRule>
  </conditionalFormatting>
  <conditionalFormatting sqref="E2:F2">
    <cfRule type="cellIs" priority="167" operator="equal" dxfId="1">
      <formula>"Duplicado"</formula>
    </cfRule>
    <cfRule type="cellIs" priority="168" operator="equal" dxfId="2">
      <formula>"Sem Técnico"</formula>
    </cfRule>
    <cfRule type="cellIs" priority="169" operator="equal" dxfId="4">
      <formula>"Outras Ocorrências"</formula>
    </cfRule>
    <cfRule type="cellIs" priority="170" operator="equal" dxfId="5">
      <formula>"Atrasado &gt;= 2"</formula>
    </cfRule>
    <cfRule type="cellIs" priority="171" operator="equal" dxfId="0">
      <formula>"Atrasado"</formula>
    </cfRule>
    <cfRule type="cellIs" priority="172" operator="equal" dxfId="3">
      <formula>"Enviado"</formula>
    </cfRule>
    <cfRule type="cellIs" priority="161" operator="equal" dxfId="1">
      <formula>"Duplicado"</formula>
    </cfRule>
    <cfRule type="cellIs" priority="162" operator="equal" dxfId="2">
      <formula>"Sem Técnico"</formula>
    </cfRule>
    <cfRule type="cellIs" priority="163" operator="equal" dxfId="4">
      <formula>"Outras Ocorrências"</formula>
    </cfRule>
    <cfRule type="cellIs" priority="164" operator="equal" dxfId="5">
      <formula>"Atrasado &gt;= 2"</formula>
    </cfRule>
    <cfRule type="cellIs" priority="165" operator="equal" dxfId="0">
      <formula>"Atrasado"</formula>
    </cfRule>
    <cfRule type="cellIs" priority="166" operator="equal" dxfId="3">
      <formula>"Enviado"</formula>
    </cfRule>
  </conditionalFormatting>
  <conditionalFormatting sqref="E50">
    <cfRule type="cellIs" priority="155" operator="equal" dxfId="1">
      <formula>"Duplicado"</formula>
    </cfRule>
    <cfRule type="cellIs" priority="156" operator="equal" dxfId="2">
      <formula>"Sem Técnico"</formula>
    </cfRule>
    <cfRule type="cellIs" priority="157" operator="equal" dxfId="4">
      <formula>"Outras Ocorrências"</formula>
    </cfRule>
    <cfRule type="cellIs" priority="158" operator="equal" dxfId="5">
      <formula>"Atrasado &gt;= 2"</formula>
    </cfRule>
    <cfRule type="cellIs" priority="159" operator="equal" dxfId="0">
      <formula>"Atrasado"</formula>
    </cfRule>
    <cfRule type="cellIs" priority="160" operator="equal" dxfId="3">
      <formula>"Enviado"</formula>
    </cfRule>
    <cfRule type="cellIs" priority="149" operator="equal" dxfId="1">
      <formula>"Duplicado"</formula>
    </cfRule>
    <cfRule type="cellIs" priority="150" operator="equal" dxfId="2">
      <formula>"Sem Técnico"</formula>
    </cfRule>
    <cfRule type="cellIs" priority="151" operator="equal" dxfId="4">
      <formula>"Outras Ocorrências"</formula>
    </cfRule>
    <cfRule type="cellIs" priority="152" operator="equal" dxfId="5">
      <formula>"Atrasado &gt;= 2"</formula>
    </cfRule>
    <cfRule type="cellIs" priority="153" operator="equal" dxfId="0">
      <formula>"Atrasado"</formula>
    </cfRule>
    <cfRule type="cellIs" priority="154" operator="equal" dxfId="3">
      <formula>"Enviado"</formula>
    </cfRule>
  </conditionalFormatting>
  <conditionalFormatting sqref="E31:F31">
    <cfRule type="cellIs" priority="43" operator="equal" dxfId="1">
      <formula>"Duplicado"</formula>
    </cfRule>
    <cfRule type="cellIs" priority="44" operator="equal" dxfId="2">
      <formula>"Sem Técnico"</formula>
    </cfRule>
    <cfRule type="cellIs" priority="45" operator="equal" dxfId="4">
      <formula>"Outras Ocorrências"</formula>
    </cfRule>
    <cfRule type="cellIs" priority="46" operator="equal" dxfId="5">
      <formula>"Atrasado &gt;= 2"</formula>
    </cfRule>
    <cfRule type="cellIs" priority="47" operator="equal" dxfId="0">
      <formula>"Atrasado"</formula>
    </cfRule>
    <cfRule type="cellIs" priority="48" operator="equal" dxfId="3">
      <formula>"Enviado"</formula>
    </cfRule>
    <cfRule type="cellIs" priority="37" operator="equal" dxfId="1">
      <formula>"Duplicado"</formula>
    </cfRule>
    <cfRule type="cellIs" priority="38" operator="equal" dxfId="2">
      <formula>"Sem Técnico"</formula>
    </cfRule>
    <cfRule type="cellIs" priority="39" operator="equal" dxfId="4">
      <formula>"Outras Ocorrências"</formula>
    </cfRule>
    <cfRule type="cellIs" priority="40" operator="equal" dxfId="5">
      <formula>"Atrasado &gt;= 2"</formula>
    </cfRule>
    <cfRule type="cellIs" priority="41" operator="equal" dxfId="0">
      <formula>"Atrasado"</formula>
    </cfRule>
    <cfRule type="cellIs" priority="42" operator="equal" dxfId="3">
      <formula>"Enviado"</formula>
    </cfRule>
  </conditionalFormatting>
  <conditionalFormatting sqref="G2:I9 G25:I34 G37:I40 G43:I55">
    <cfRule type="cellIs" priority="19" operator="equal" dxfId="1">
      <formula>"Duplicado"</formula>
    </cfRule>
    <cfRule type="cellIs" priority="20" operator="equal" dxfId="2">
      <formula>"Sem Técnico"</formula>
    </cfRule>
    <cfRule type="cellIs" priority="21" operator="equal" dxfId="4">
      <formula>"Outras Ocorrências"</formula>
    </cfRule>
    <cfRule type="cellIs" priority="22" operator="equal" dxfId="5">
      <formula>"Atrasado &gt;= 2"</formula>
    </cfRule>
    <cfRule type="cellIs" priority="23" operator="equal" dxfId="0">
      <formula>"Atrasado"</formula>
    </cfRule>
    <cfRule type="cellIs" priority="24" operator="equal" dxfId="3">
      <formula>"Enviado"</formula>
    </cfRule>
    <cfRule type="cellIs" priority="13" operator="equal" dxfId="1">
      <formula>"Duplicado"</formula>
    </cfRule>
    <cfRule type="cellIs" priority="14" operator="equal" dxfId="2">
      <formula>"Sem Técnico"</formula>
    </cfRule>
    <cfRule type="cellIs" priority="15" operator="equal" dxfId="4">
      <formula>"Outras Ocorrências"</formula>
    </cfRule>
    <cfRule type="cellIs" priority="16" operator="equal" dxfId="5">
      <formula>"Atrasado &gt;= 2"</formula>
    </cfRule>
    <cfRule type="cellIs" priority="17" operator="equal" dxfId="0">
      <formula>"Atrasado"</formula>
    </cfRule>
    <cfRule type="cellIs" priority="18" operator="equal" dxfId="3">
      <formula>"Enviado"</formula>
    </cfRule>
  </conditionalFormatting>
  <conditionalFormatting sqref="G12:I22">
    <cfRule type="cellIs" priority="7" operator="equal" dxfId="1">
      <formula>"Duplicado"</formula>
    </cfRule>
    <cfRule type="cellIs" priority="8" operator="equal" dxfId="2">
      <formula>"Sem Técnico"</formula>
    </cfRule>
    <cfRule type="cellIs" priority="9" operator="equal" dxfId="4">
      <formula>"Outras Ocorrências"</formula>
    </cfRule>
    <cfRule type="cellIs" priority="10" operator="equal" dxfId="5">
      <formula>"Atrasado &gt;= 2"</formula>
    </cfRule>
    <cfRule type="cellIs" priority="11" operator="equal" dxfId="0">
      <formula>"Atrasado"</formula>
    </cfRule>
    <cfRule type="cellIs" priority="12" operator="equal" dxfId="3">
      <formula>"Enviado"</formula>
    </cfRule>
    <cfRule type="cellIs" priority="1" operator="equal" dxfId="1">
      <formula>"Duplicado"</formula>
    </cfRule>
    <cfRule type="cellIs" priority="2" operator="equal" dxfId="2">
      <formula>"Sem Técnico"</formula>
    </cfRule>
    <cfRule type="cellIs" priority="3" operator="equal" dxfId="4">
      <formula>"Outras Ocorrências"</formula>
    </cfRule>
    <cfRule type="cellIs" priority="4" operator="equal" dxfId="5">
      <formula>"Atrasado &gt;= 2"</formula>
    </cfRule>
    <cfRule type="cellIs" priority="5" operator="equal" dxfId="0">
      <formula>"Atrasado"</formula>
    </cfRule>
    <cfRule type="cellIs" priority="6" operator="equal" dxfId="3">
      <formula>"Enviado"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39"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t="inlineStr">
        <is>
          <t>Danúbia Hotrich dos Santos Silva</t>
        </is>
      </c>
      <c r="E2" s="38" t="inlineStr">
        <is>
          <t>Enviado</t>
        </is>
      </c>
      <c r="F2" s="37" t="inlineStr">
        <is>
          <t>22/09/2025</t>
        </is>
      </c>
      <c r="G2" s="39" t="inlineStr">
        <is>
          <t>Não</t>
        </is>
      </c>
      <c r="H2" s="37" t="n"/>
      <c r="I2" s="37" t="n"/>
      <c r="J2" s="37" t="inlineStr">
        <is>
          <t>Não</t>
        </is>
      </c>
      <c r="K2" s="37" t="n"/>
    </row>
    <row r="3">
      <c r="A3" s="40" t="inlineStr">
        <is>
          <t>Cibax</t>
        </is>
      </c>
      <c r="B3" s="37" t="inlineStr">
        <is>
          <t>Alto Piquiri</t>
        </is>
      </c>
      <c r="C3" s="37" t="n">
        <v>1</v>
      </c>
      <c r="D3" s="37" t="inlineStr">
        <is>
          <t>Beatriz Piffer</t>
        </is>
      </c>
      <c r="E3" s="38" t="inlineStr">
        <is>
          <t>Enviado</t>
        </is>
      </c>
      <c r="F3" s="37" t="inlineStr">
        <is>
          <t>13/10/2025</t>
        </is>
      </c>
      <c r="G3" s="39" t="inlineStr">
        <is>
          <t>Não</t>
        </is>
      </c>
      <c r="H3" s="37" t="n"/>
      <c r="I3" s="37" t="n"/>
      <c r="J3" s="37" t="inlineStr">
        <is>
          <t>Não</t>
        </is>
      </c>
      <c r="K3" s="37" t="n"/>
    </row>
    <row r="4">
      <c r="A4" s="41" t="inlineStr">
        <is>
          <t>Cifra</t>
        </is>
      </c>
      <c r="B4" s="37" t="inlineStr">
        <is>
          <t>Bela Vista da Caroba</t>
        </is>
      </c>
      <c r="C4" s="37" t="n">
        <v>1</v>
      </c>
      <c r="D4" s="37" t="n"/>
      <c r="E4" s="42" t="inlineStr">
        <is>
          <t>Sem Técnico</t>
        </is>
      </c>
      <c r="F4" s="37" t="n"/>
      <c r="G4" s="39" t="inlineStr">
        <is>
          <t>Não</t>
        </is>
      </c>
      <c r="H4" s="37" t="n"/>
      <c r="I4" s="37" t="n"/>
      <c r="J4" s="37" t="inlineStr">
        <is>
          <t>Não</t>
        </is>
      </c>
      <c r="K4" s="37" t="n"/>
    </row>
    <row r="5">
      <c r="A5" s="40" t="inlineStr">
        <is>
          <t>Cibax</t>
        </is>
      </c>
      <c r="B5" s="37" t="inlineStr">
        <is>
          <t>Cafezal do Sul</t>
        </is>
      </c>
      <c r="C5" s="37" t="n">
        <v>1</v>
      </c>
      <c r="D5" s="37" t="inlineStr">
        <is>
          <t>Ana Paula Freire</t>
        </is>
      </c>
      <c r="E5" s="38" t="inlineStr">
        <is>
          <t>Enviado</t>
        </is>
      </c>
      <c r="F5" s="37" t="inlineStr">
        <is>
          <t>11/09/2025</t>
        </is>
      </c>
      <c r="G5" s="39" t="inlineStr">
        <is>
          <t>Não</t>
        </is>
      </c>
      <c r="H5" s="37" t="n"/>
      <c r="I5" s="37" t="n"/>
      <c r="J5" s="37" t="inlineStr">
        <is>
          <t>Não</t>
        </is>
      </c>
      <c r="K5" s="37" t="n"/>
    </row>
    <row r="6">
      <c r="A6" s="40" t="inlineStr">
        <is>
          <t>Cibax</t>
        </is>
      </c>
      <c r="B6" s="37" t="inlineStr">
        <is>
          <t>Cruzeiro do Oeste</t>
        </is>
      </c>
      <c r="C6" s="37" t="n">
        <v>1</v>
      </c>
      <c r="D6" s="37" t="inlineStr">
        <is>
          <t>Leonardo Zavilenski Fogaça</t>
        </is>
      </c>
      <c r="E6" s="38" t="inlineStr">
        <is>
          <t>Enviado</t>
        </is>
      </c>
      <c r="F6" s="37" t="inlineStr">
        <is>
          <t>01/10/2025</t>
        </is>
      </c>
      <c r="G6" s="39" t="inlineStr">
        <is>
          <t>Não</t>
        </is>
      </c>
      <c r="H6" s="37" t="n"/>
      <c r="I6" s="37" t="n"/>
      <c r="J6" s="37" t="inlineStr">
        <is>
          <t>Não</t>
        </is>
      </c>
      <c r="K6" s="37" t="n"/>
    </row>
    <row r="7">
      <c r="A7" s="43" t="inlineStr">
        <is>
          <t>Comafen</t>
        </is>
      </c>
      <c r="B7" s="37" t="inlineStr">
        <is>
          <t>Diamante do Norte</t>
        </is>
      </c>
      <c r="C7" s="37" t="n">
        <v>1</v>
      </c>
      <c r="D7" s="37" t="inlineStr">
        <is>
          <t>Armindo Ferreira da Silva</t>
        </is>
      </c>
      <c r="E7" s="38" t="inlineStr">
        <is>
          <t>Enviado</t>
        </is>
      </c>
      <c r="F7" s="37" t="inlineStr">
        <is>
          <t>10/10/2025</t>
        </is>
      </c>
      <c r="G7" s="39" t="inlineStr">
        <is>
          <t>Não</t>
        </is>
      </c>
      <c r="H7" s="37" t="n"/>
      <c r="I7" s="37" t="n"/>
      <c r="J7" s="37" t="inlineStr">
        <is>
          <t>Não</t>
        </is>
      </c>
      <c r="K7" s="37" t="n"/>
    </row>
    <row r="8">
      <c r="A8" s="36" t="inlineStr">
        <is>
          <t>Coripa</t>
        </is>
      </c>
      <c r="B8" s="37" t="inlineStr">
        <is>
          <t>Douradina</t>
        </is>
      </c>
      <c r="C8" s="37" t="n">
        <v>1</v>
      </c>
      <c r="D8" s="37" t="inlineStr">
        <is>
          <t>Henderson Heim</t>
        </is>
      </c>
      <c r="E8" s="38" t="inlineStr">
        <is>
          <t>Enviado</t>
        </is>
      </c>
      <c r="F8" s="37" t="inlineStr">
        <is>
          <t>22/09/2025</t>
        </is>
      </c>
      <c r="G8" s="39" t="inlineStr">
        <is>
          <t>Não</t>
        </is>
      </c>
      <c r="H8" s="37" t="n"/>
      <c r="I8" s="37" t="n"/>
      <c r="J8" s="37" t="inlineStr">
        <is>
          <t>Não</t>
        </is>
      </c>
      <c r="K8" s="37" t="n"/>
    </row>
    <row r="9">
      <c r="A9" s="36" t="inlineStr">
        <is>
          <t>Coripa</t>
        </is>
      </c>
      <c r="B9" s="37" t="inlineStr">
        <is>
          <t>Esperança Nova</t>
        </is>
      </c>
      <c r="C9" s="37" t="n">
        <v>1</v>
      </c>
      <c r="D9" s="37" t="inlineStr">
        <is>
          <t>Helton Pinto de Castro</t>
        </is>
      </c>
      <c r="E9" s="38" t="inlineStr">
        <is>
          <t>Enviado</t>
        </is>
      </c>
      <c r="F9" s="37" t="inlineStr">
        <is>
          <t>16/09/2025</t>
        </is>
      </c>
      <c r="G9" s="39" t="inlineStr">
        <is>
          <t>Não</t>
        </is>
      </c>
      <c r="H9" s="37" t="n"/>
      <c r="I9" s="37" t="n"/>
      <c r="J9" s="37" t="inlineStr">
        <is>
          <t>Não</t>
        </is>
      </c>
      <c r="K9" s="37" t="n"/>
    </row>
    <row r="10">
      <c r="A10" s="36" t="inlineStr">
        <is>
          <t>Coripa</t>
        </is>
      </c>
      <c r="B10" s="37" t="inlineStr">
        <is>
          <t>Icaraíma</t>
        </is>
      </c>
      <c r="C10" s="37" t="n">
        <v>1</v>
      </c>
      <c r="D10" s="37" t="inlineStr">
        <is>
          <t>Jose roberto pogioli</t>
        </is>
      </c>
      <c r="E10" s="38" t="inlineStr">
        <is>
          <t>Enviado</t>
        </is>
      </c>
      <c r="F10" s="37" t="inlineStr">
        <is>
          <t>26/09/2025</t>
        </is>
      </c>
      <c r="G10" s="39" t="inlineStr">
        <is>
          <t>Não</t>
        </is>
      </c>
      <c r="H10" s="37" t="n"/>
      <c r="I10" s="37" t="n"/>
      <c r="J10" s="37" t="inlineStr">
        <is>
          <t>Não</t>
        </is>
      </c>
      <c r="K10" s="37" t="n"/>
    </row>
    <row r="11">
      <c r="A11" s="40" t="inlineStr">
        <is>
          <t>Cibax</t>
        </is>
      </c>
      <c r="B11" s="37" t="inlineStr">
        <is>
          <t>Iporã</t>
        </is>
      </c>
      <c r="C11" s="37" t="n">
        <v>1</v>
      </c>
      <c r="D11" s="37" t="inlineStr">
        <is>
          <t>Analigia de Santana Abreu</t>
        </is>
      </c>
      <c r="E11" s="38" t="inlineStr">
        <is>
          <t>Enviado</t>
        </is>
      </c>
      <c r="F11" s="37" t="inlineStr">
        <is>
          <t>22/09/2025</t>
        </is>
      </c>
      <c r="G11" s="39" t="inlineStr">
        <is>
          <t>Não</t>
        </is>
      </c>
      <c r="H11" s="37" t="n"/>
      <c r="I11" s="37" t="n"/>
      <c r="J11" s="37" t="inlineStr">
        <is>
          <t>Não</t>
        </is>
      </c>
      <c r="K11" s="37" t="n"/>
    </row>
    <row r="12">
      <c r="A12" s="40" t="inlineStr">
        <is>
          <t>Cibax</t>
        </is>
      </c>
      <c r="B12" s="37" t="inlineStr">
        <is>
          <t>Ivaté</t>
        </is>
      </c>
      <c r="C12" s="37" t="n">
        <v>1</v>
      </c>
      <c r="D12" s="37" t="inlineStr">
        <is>
          <t xml:space="preserve">Anderson Bergamasco Hryczyna </t>
        </is>
      </c>
      <c r="E12" s="38" t="inlineStr">
        <is>
          <t>Enviado</t>
        </is>
      </c>
      <c r="F12" s="37" t="inlineStr">
        <is>
          <t>29/09/2025</t>
        </is>
      </c>
      <c r="G12" s="39" t="inlineStr">
        <is>
          <t>Não</t>
        </is>
      </c>
      <c r="H12" s="37" t="n"/>
      <c r="I12" s="37" t="n"/>
      <c r="J12" s="37" t="inlineStr">
        <is>
          <t>Não</t>
        </is>
      </c>
      <c r="K12" s="37" t="n"/>
    </row>
    <row r="13">
      <c r="A13" s="43" t="inlineStr">
        <is>
          <t>Comafen</t>
        </is>
      </c>
      <c r="B13" s="37" t="inlineStr">
        <is>
          <t>Itauna do Sul</t>
        </is>
      </c>
      <c r="C13" s="37" t="n">
        <v>1</v>
      </c>
      <c r="D13" s="37" t="inlineStr">
        <is>
          <t>Andressa da Silva</t>
        </is>
      </c>
      <c r="E13" s="44" t="inlineStr">
        <is>
          <t>Atrasado</t>
        </is>
      </c>
      <c r="F13" s="37" t="n"/>
      <c r="G13" s="39" t="inlineStr">
        <is>
          <t>Não</t>
        </is>
      </c>
      <c r="H13" s="37" t="n"/>
      <c r="I13" s="37" t="n"/>
      <c r="J13" s="37" t="inlineStr">
        <is>
          <t>Não</t>
        </is>
      </c>
      <c r="K13" s="37" t="n"/>
    </row>
    <row r="14">
      <c r="A14" s="43" t="inlineStr">
        <is>
          <t>Comafen</t>
        </is>
      </c>
      <c r="B14" s="37" t="inlineStr">
        <is>
          <t>Loanda</t>
        </is>
      </c>
      <c r="C14" s="37" t="n">
        <v>1</v>
      </c>
      <c r="D14" s="37" t="inlineStr">
        <is>
          <t>Isadora Gil</t>
        </is>
      </c>
      <c r="E14" s="38" t="inlineStr">
        <is>
          <t>Enviado</t>
        </is>
      </c>
      <c r="F14" s="37" t="inlineStr">
        <is>
          <t>03/10/2025</t>
        </is>
      </c>
      <c r="G14" s="39" t="inlineStr">
        <is>
          <t>Não</t>
        </is>
      </c>
      <c r="H14" s="37" t="n"/>
      <c r="I14" s="37" t="n"/>
      <c r="J14" s="37" t="inlineStr">
        <is>
          <t>Não</t>
        </is>
      </c>
      <c r="K14" s="37" t="n"/>
    </row>
    <row r="15">
      <c r="A15" s="36" t="inlineStr">
        <is>
          <t>Coripa</t>
        </is>
      </c>
      <c r="B15" s="37" t="inlineStr">
        <is>
          <t>Maria Helena</t>
        </is>
      </c>
      <c r="C15" s="37" t="n">
        <v>1</v>
      </c>
      <c r="D15" s="37" t="inlineStr">
        <is>
          <t>Marcella Regyna Scarassatti</t>
        </is>
      </c>
      <c r="E15" s="38" t="inlineStr">
        <is>
          <t>Enviado</t>
        </is>
      </c>
      <c r="F15" s="37" t="inlineStr">
        <is>
          <t>26/09/2025</t>
        </is>
      </c>
      <c r="G15" s="39" t="inlineStr">
        <is>
          <t>Não</t>
        </is>
      </c>
      <c r="H15" s="37" t="n"/>
      <c r="I15" s="37" t="n"/>
      <c r="J15" s="37" t="inlineStr">
        <is>
          <t>Não</t>
        </is>
      </c>
      <c r="K15" s="37" t="n"/>
    </row>
    <row r="16">
      <c r="A16" s="43" t="inlineStr">
        <is>
          <t>Comafen</t>
        </is>
      </c>
      <c r="B16" s="37" t="inlineStr">
        <is>
          <t>Marilena</t>
        </is>
      </c>
      <c r="C16" s="37" t="n">
        <v>1</v>
      </c>
      <c r="D16" s="37" t="inlineStr">
        <is>
          <t>Emerson Henrique Moreira</t>
        </is>
      </c>
      <c r="E16" s="38" t="inlineStr">
        <is>
          <t>Enviado</t>
        </is>
      </c>
      <c r="F16" s="37" t="inlineStr">
        <is>
          <t>03/10/2025</t>
        </is>
      </c>
      <c r="G16" s="39" t="inlineStr">
        <is>
          <t>Não</t>
        </is>
      </c>
      <c r="H16" s="37" t="n"/>
      <c r="I16" s="37" t="n"/>
      <c r="J16" s="37" t="inlineStr">
        <is>
          <t>Não</t>
        </is>
      </c>
      <c r="K16" s="37" t="n"/>
    </row>
    <row r="17">
      <c r="A17" s="40" t="inlineStr">
        <is>
          <t>Cibax</t>
        </is>
      </c>
      <c r="B17" s="37" t="inlineStr">
        <is>
          <t>Mariluz</t>
        </is>
      </c>
      <c r="C17" s="37" t="n">
        <v>1</v>
      </c>
      <c r="D17" s="37" t="inlineStr">
        <is>
          <t>Fabio Soares Clemente</t>
        </is>
      </c>
      <c r="E17" s="38" t="inlineStr">
        <is>
          <t>Enviado</t>
        </is>
      </c>
      <c r="F17" s="37" t="inlineStr">
        <is>
          <t>25/09/2025</t>
        </is>
      </c>
      <c r="G17" s="39" t="inlineStr">
        <is>
          <t>Sim</t>
        </is>
      </c>
      <c r="H17" s="37" t="n"/>
      <c r="I17" s="37" t="inlineStr">
        <is>
          <t>ID192</t>
        </is>
      </c>
      <c r="J17" s="37" t="inlineStr">
        <is>
          <t>Sim</t>
        </is>
      </c>
      <c r="K17" s="37" t="inlineStr">
        <is>
          <t>Deletado 192</t>
        </is>
      </c>
    </row>
    <row r="18">
      <c r="A18" s="43" t="inlineStr">
        <is>
          <t>Comafen</t>
        </is>
      </c>
      <c r="B18" s="37" t="inlineStr">
        <is>
          <t>Nova Londrina</t>
        </is>
      </c>
      <c r="C18" s="37" t="n">
        <v>1</v>
      </c>
      <c r="D18" s="37" t="inlineStr">
        <is>
          <t>Valdirlei de Araujo</t>
        </is>
      </c>
      <c r="E18" s="38" t="inlineStr">
        <is>
          <t>Enviado</t>
        </is>
      </c>
      <c r="F18" s="37" t="inlineStr">
        <is>
          <t>18/09/2025</t>
        </is>
      </c>
      <c r="G18" s="39" t="inlineStr">
        <is>
          <t>Não</t>
        </is>
      </c>
      <c r="H18" s="37" t="n"/>
      <c r="I18" s="37" t="n"/>
      <c r="J18" s="37" t="inlineStr">
        <is>
          <t>Não</t>
        </is>
      </c>
      <c r="K18" s="37" t="n"/>
    </row>
    <row r="19">
      <c r="A19" s="36" t="inlineStr">
        <is>
          <t>Coripa</t>
        </is>
      </c>
      <c r="B19" s="37" t="inlineStr">
        <is>
          <t>Nova Olimpia</t>
        </is>
      </c>
      <c r="C19" s="37" t="n">
        <v>1</v>
      </c>
      <c r="D19" s="37" t="inlineStr">
        <is>
          <t>Glassys Louise de Souza Cortez</t>
        </is>
      </c>
      <c r="E19" s="38" t="inlineStr">
        <is>
          <t>Enviado</t>
        </is>
      </c>
      <c r="F19" s="37" t="inlineStr">
        <is>
          <t>17/09/2025</t>
        </is>
      </c>
      <c r="G19" s="39" t="inlineStr">
        <is>
          <t>Não</t>
        </is>
      </c>
      <c r="H19" s="37" t="n"/>
      <c r="I19" s="37" t="n"/>
      <c r="J19" s="37" t="inlineStr">
        <is>
          <t>Não</t>
        </is>
      </c>
      <c r="K19" s="37" t="n"/>
    </row>
    <row r="20">
      <c r="A20" s="40" t="inlineStr">
        <is>
          <t>Cibax</t>
        </is>
      </c>
      <c r="B20" s="37" t="inlineStr">
        <is>
          <t>Perobal</t>
        </is>
      </c>
      <c r="C20" s="37" t="n">
        <v>1</v>
      </c>
      <c r="D20" s="37" t="inlineStr">
        <is>
          <t>Octavio Fellipe j Barbosa</t>
        </is>
      </c>
      <c r="E20" s="38" t="inlineStr">
        <is>
          <t>Enviado</t>
        </is>
      </c>
      <c r="F20" s="37" t="inlineStr">
        <is>
          <t>01/10/2025</t>
        </is>
      </c>
      <c r="G20" s="39" t="inlineStr">
        <is>
          <t>Não</t>
        </is>
      </c>
      <c r="H20" s="37" t="n"/>
      <c r="I20" s="37" t="n"/>
      <c r="J20" s="37" t="inlineStr">
        <is>
          <t>Não</t>
        </is>
      </c>
      <c r="K20" s="37" t="n"/>
    </row>
    <row r="21">
      <c r="A21" s="40" t="inlineStr">
        <is>
          <t>Cibax</t>
        </is>
      </c>
      <c r="B21" s="37" t="inlineStr">
        <is>
          <t>Pérola</t>
        </is>
      </c>
      <c r="C21" s="37" t="n">
        <v>1</v>
      </c>
      <c r="D21" s="37" t="inlineStr">
        <is>
          <t>Rony Eduardo Souza Terra</t>
        </is>
      </c>
      <c r="E21" s="38" t="inlineStr">
        <is>
          <t>Enviado</t>
        </is>
      </c>
      <c r="F21" s="37" t="inlineStr">
        <is>
          <t>03/10/2025</t>
        </is>
      </c>
      <c r="G21" s="39" t="inlineStr">
        <is>
          <t>Não</t>
        </is>
      </c>
      <c r="H21" s="37" t="n"/>
      <c r="I21" s="37" t="n"/>
      <c r="J21" s="37" t="inlineStr">
        <is>
          <t>Não</t>
        </is>
      </c>
      <c r="K21" s="37" t="n"/>
    </row>
    <row r="22">
      <c r="A22" s="41" t="inlineStr">
        <is>
          <t>Cifra</t>
        </is>
      </c>
      <c r="B22" s="37" t="inlineStr">
        <is>
          <t>Perola d'Oeste</t>
        </is>
      </c>
      <c r="C22" s="37" t="n">
        <v>1</v>
      </c>
      <c r="D22" s="37" t="n"/>
      <c r="E22" s="42" t="inlineStr">
        <is>
          <t>Sem Técnico</t>
        </is>
      </c>
      <c r="F22" s="37" t="n"/>
      <c r="G22" s="39" t="inlineStr">
        <is>
          <t>Não</t>
        </is>
      </c>
      <c r="H22" s="37" t="n"/>
      <c r="I22" s="37" t="n"/>
      <c r="J22" s="37" t="inlineStr">
        <is>
          <t>Não</t>
        </is>
      </c>
      <c r="K22" s="37" t="n"/>
    </row>
    <row r="23">
      <c r="A23" s="43" t="inlineStr">
        <is>
          <t>Comafen</t>
        </is>
      </c>
      <c r="B23" s="37" t="inlineStr">
        <is>
          <t>Planaltina do Paraná</t>
        </is>
      </c>
      <c r="C23" s="37" t="n">
        <v>1</v>
      </c>
      <c r="D23" s="37" t="inlineStr">
        <is>
          <t>Angelo Cesar Favaro</t>
        </is>
      </c>
      <c r="E23" s="44" t="inlineStr">
        <is>
          <t>Atrasado</t>
        </is>
      </c>
      <c r="F23" s="37" t="n"/>
      <c r="G23" s="39" t="inlineStr">
        <is>
          <t>Não</t>
        </is>
      </c>
      <c r="H23" s="37" t="n"/>
      <c r="I23" s="37" t="n"/>
      <c r="J23" s="37" t="inlineStr">
        <is>
          <t>Não</t>
        </is>
      </c>
      <c r="K23" s="37" t="n"/>
    </row>
    <row r="24">
      <c r="A24" s="41" t="inlineStr">
        <is>
          <t>Cifra</t>
        </is>
      </c>
      <c r="B24" s="37" t="inlineStr">
        <is>
          <t>Planalto</t>
        </is>
      </c>
      <c r="C24" s="37" t="n">
        <v>1</v>
      </c>
      <c r="D24" s="37" t="n"/>
      <c r="E24" s="42" t="inlineStr">
        <is>
          <t>Sem Técnico</t>
        </is>
      </c>
      <c r="F24" s="37" t="n"/>
      <c r="G24" s="39" t="inlineStr">
        <is>
          <t>Não</t>
        </is>
      </c>
      <c r="H24" s="37" t="n"/>
      <c r="I24" s="37" t="n"/>
      <c r="J24" s="37" t="inlineStr">
        <is>
          <t>Não</t>
        </is>
      </c>
      <c r="K24" s="37" t="n"/>
    </row>
    <row r="25">
      <c r="A25" s="43" t="inlineStr">
        <is>
          <t>Comafen</t>
        </is>
      </c>
      <c r="B25" s="37" t="inlineStr">
        <is>
          <t>Porto Rico</t>
        </is>
      </c>
      <c r="C25" s="37" t="n">
        <v>1</v>
      </c>
      <c r="D25" s="37" t="inlineStr">
        <is>
          <t>Ana Julia Pereira</t>
        </is>
      </c>
      <c r="E25" s="38" t="inlineStr">
        <is>
          <t>Enviado</t>
        </is>
      </c>
      <c r="F25" s="37" t="inlineStr">
        <is>
          <t>13/10/2025</t>
        </is>
      </c>
      <c r="G25" s="39" t="inlineStr">
        <is>
          <t>Não</t>
        </is>
      </c>
      <c r="H25" s="37" t="n"/>
      <c r="I25" s="37" t="n"/>
      <c r="J25" s="37" t="inlineStr">
        <is>
          <t>Não</t>
        </is>
      </c>
      <c r="K25" s="37" t="n"/>
    </row>
    <row r="26">
      <c r="A26" s="43" t="inlineStr">
        <is>
          <t>Comafen</t>
        </is>
      </c>
      <c r="B26" s="37" t="inlineStr">
        <is>
          <t>Querencia do Norte</t>
        </is>
      </c>
      <c r="C26" s="37" t="n">
        <v>1</v>
      </c>
      <c r="D26" s="37" t="inlineStr">
        <is>
          <t>Aparecido dos Santos</t>
        </is>
      </c>
      <c r="E26" s="44" t="inlineStr">
        <is>
          <t>Atrasado</t>
        </is>
      </c>
      <c r="F26" s="37" t="n"/>
      <c r="G26" s="39" t="inlineStr">
        <is>
          <t>Não</t>
        </is>
      </c>
      <c r="H26" s="37" t="n"/>
      <c r="I26" s="37" t="n"/>
      <c r="J26" s="37" t="inlineStr">
        <is>
          <t>Não</t>
        </is>
      </c>
      <c r="K26" s="37" t="n"/>
    </row>
    <row r="27">
      <c r="A27" s="43" t="inlineStr">
        <is>
          <t>Comafen</t>
        </is>
      </c>
      <c r="B27" s="37" t="inlineStr">
        <is>
          <t>Santa Cruz de Monte Castelo</t>
        </is>
      </c>
      <c r="C27" s="37" t="n">
        <v>1</v>
      </c>
      <c r="D27" s="37" t="inlineStr">
        <is>
          <t>Joao Lucas Côrtes Silva Freitas</t>
        </is>
      </c>
      <c r="E27" s="38" t="inlineStr">
        <is>
          <t>Enviado</t>
        </is>
      </c>
      <c r="F27" s="37" t="inlineStr">
        <is>
          <t>17/09/2025</t>
        </is>
      </c>
      <c r="G27" s="39" t="inlineStr">
        <is>
          <t>Não</t>
        </is>
      </c>
      <c r="H27" s="37" t="n"/>
      <c r="I27" s="37" t="n"/>
      <c r="J27" s="37" t="inlineStr">
        <is>
          <t>Não</t>
        </is>
      </c>
      <c r="K27" s="37" t="n"/>
    </row>
    <row r="28">
      <c r="A28" s="43" t="inlineStr">
        <is>
          <t>Comafen</t>
        </is>
      </c>
      <c r="B28" s="37" t="inlineStr">
        <is>
          <t>Santa Isabel do Ivai</t>
        </is>
      </c>
      <c r="C28" s="37" t="n">
        <v>1</v>
      </c>
      <c r="D28" s="37" t="inlineStr">
        <is>
          <t>Jose Antonio Pinheiro Munhoz</t>
        </is>
      </c>
      <c r="E28" s="38" t="inlineStr">
        <is>
          <t>Enviado</t>
        </is>
      </c>
      <c r="F28" s="37" t="inlineStr">
        <is>
          <t>26/09/2025</t>
        </is>
      </c>
      <c r="G28" s="39" t="inlineStr">
        <is>
          <t>Não</t>
        </is>
      </c>
      <c r="H28" s="37" t="n"/>
      <c r="I28" s="37" t="n"/>
      <c r="J28" s="37" t="inlineStr">
        <is>
          <t>Não</t>
        </is>
      </c>
      <c r="K28" s="37" t="n"/>
    </row>
    <row r="29">
      <c r="A29" s="41" t="inlineStr">
        <is>
          <t>Cifra</t>
        </is>
      </c>
      <c r="B29" s="37" t="inlineStr">
        <is>
          <t>Santo Antonio do Sudoeste</t>
        </is>
      </c>
      <c r="C29" s="37" t="n">
        <v>1</v>
      </c>
      <c r="D29" s="37" t="n"/>
      <c r="E29" s="42" t="inlineStr">
        <is>
          <t>Sem Técnico</t>
        </is>
      </c>
      <c r="F29" s="37" t="n"/>
      <c r="G29" s="39" t="inlineStr">
        <is>
          <t>Não</t>
        </is>
      </c>
      <c r="H29" s="37" t="n"/>
      <c r="I29" s="37" t="n"/>
      <c r="J29" s="37" t="inlineStr">
        <is>
          <t>Não</t>
        </is>
      </c>
      <c r="K29" s="37" t="n"/>
    </row>
    <row r="30">
      <c r="A30" s="36" t="inlineStr">
        <is>
          <t>Coripa</t>
        </is>
      </c>
      <c r="B30" s="37" t="inlineStr">
        <is>
          <t>São Jorge do Patrocinio</t>
        </is>
      </c>
      <c r="C30" s="37" t="n">
        <v>1</v>
      </c>
      <c r="D30" s="37" t="inlineStr">
        <is>
          <t>Alana Bardela dos Santos</t>
        </is>
      </c>
      <c r="E30" s="38" t="inlineStr">
        <is>
          <t>Enviado</t>
        </is>
      </c>
      <c r="F30" s="37" t="inlineStr">
        <is>
          <t>22/09/2025</t>
        </is>
      </c>
      <c r="G30" s="39" t="inlineStr">
        <is>
          <t>Não</t>
        </is>
      </c>
      <c r="H30" s="37" t="n"/>
      <c r="I30" s="37" t="n"/>
      <c r="J30" s="37" t="inlineStr">
        <is>
          <t>Não</t>
        </is>
      </c>
      <c r="K30" s="37" t="n"/>
    </row>
    <row r="31">
      <c r="A31" s="43" t="inlineStr">
        <is>
          <t>Comafen</t>
        </is>
      </c>
      <c r="B31" s="37" t="inlineStr">
        <is>
          <t>São Pedro do Paraná</t>
        </is>
      </c>
      <c r="C31" s="37" t="n">
        <v>1</v>
      </c>
      <c r="D31" s="37" t="inlineStr">
        <is>
          <t>Diogo Augusto Graeff Vizini</t>
        </is>
      </c>
      <c r="E31" s="44" t="inlineStr">
        <is>
          <t>Atrasado</t>
        </is>
      </c>
      <c r="F31" s="37" t="n"/>
      <c r="G31" s="39" t="inlineStr">
        <is>
          <t>Não</t>
        </is>
      </c>
      <c r="H31" s="37" t="n"/>
      <c r="I31" s="37" t="n"/>
      <c r="J31" s="37" t="inlineStr">
        <is>
          <t>Não</t>
        </is>
      </c>
      <c r="K31" s="37" t="n"/>
    </row>
    <row r="32">
      <c r="A32" s="36" t="inlineStr">
        <is>
          <t>Coripa</t>
        </is>
      </c>
      <c r="B32" s="37" t="inlineStr">
        <is>
          <t>Tapira</t>
        </is>
      </c>
      <c r="C32" s="37" t="n">
        <v>1</v>
      </c>
      <c r="D32" s="37" t="inlineStr">
        <is>
          <t>Tiago Cabrera de Oliveira</t>
        </is>
      </c>
      <c r="E32" s="38" t="inlineStr">
        <is>
          <t>Enviado</t>
        </is>
      </c>
      <c r="F32" s="37" t="inlineStr">
        <is>
          <t>06/10/2025</t>
        </is>
      </c>
      <c r="G32" s="39" t="inlineStr">
        <is>
          <t>Não</t>
        </is>
      </c>
      <c r="H32" s="37" t="n"/>
      <c r="I32" s="37" t="n"/>
      <c r="J32" s="37" t="inlineStr">
        <is>
          <t>Não</t>
        </is>
      </c>
      <c r="K32" s="37" t="n"/>
    </row>
    <row r="33">
      <c r="A33" s="40" t="inlineStr">
        <is>
          <t>Cibax</t>
        </is>
      </c>
      <c r="B33" s="37" t="inlineStr">
        <is>
          <t>Umuarama</t>
        </is>
      </c>
      <c r="C33" s="37" t="n">
        <v>1</v>
      </c>
      <c r="D33" s="37" t="inlineStr">
        <is>
          <t>Vanessa Diovana Biassi Soares</t>
        </is>
      </c>
      <c r="E33" s="38" t="inlineStr">
        <is>
          <t>Enviado</t>
        </is>
      </c>
      <c r="F33" s="37" t="inlineStr">
        <is>
          <t>29/09/2025</t>
        </is>
      </c>
      <c r="G33" s="39" t="inlineStr">
        <is>
          <t>Não</t>
        </is>
      </c>
      <c r="H33" s="37" t="n"/>
      <c r="I33" s="37" t="n"/>
      <c r="J33" s="37" t="inlineStr">
        <is>
          <t>Não</t>
        </is>
      </c>
      <c r="K33" s="37" t="n"/>
    </row>
    <row r="34">
      <c r="A34" s="40" t="inlineStr">
        <is>
          <t>Cibax</t>
        </is>
      </c>
      <c r="B34" s="37" t="inlineStr">
        <is>
          <t>Xambre</t>
        </is>
      </c>
      <c r="C34" s="37" t="n">
        <v>1</v>
      </c>
      <c r="D34" s="37" t="inlineStr">
        <is>
          <t>Carlos Eduardo Meira Freire</t>
        </is>
      </c>
      <c r="E34" s="38" t="inlineStr">
        <is>
          <t>Enviado</t>
        </is>
      </c>
      <c r="F34" s="37" t="inlineStr">
        <is>
          <t>24/09/2025</t>
        </is>
      </c>
      <c r="G34" s="39" t="inlineStr">
        <is>
          <t>Não</t>
        </is>
      </c>
      <c r="H34" s="37" t="n"/>
      <c r="I34" s="37" t="n"/>
      <c r="J34" s="37" t="inlineStr">
        <is>
          <t>Não</t>
        </is>
      </c>
      <c r="K34" s="37" t="n"/>
    </row>
    <row r="35">
      <c r="A35" s="45" t="inlineStr">
        <is>
          <t>Conisul</t>
        </is>
      </c>
      <c r="B35" s="37" t="inlineStr">
        <is>
          <t>Amambai</t>
        </is>
      </c>
      <c r="C35" s="37" t="n">
        <v>1</v>
      </c>
      <c r="D35" s="37" t="inlineStr">
        <is>
          <t>Vania Tomazelli de Lima</t>
        </is>
      </c>
      <c r="E35" s="38" t="inlineStr">
        <is>
          <t>Enviado</t>
        </is>
      </c>
      <c r="F35" s="37" t="inlineStr">
        <is>
          <t>01/10/2025</t>
        </is>
      </c>
      <c r="G35" s="39" t="inlineStr">
        <is>
          <t>Não</t>
        </is>
      </c>
      <c r="H35" s="37" t="n"/>
      <c r="I35" s="37" t="n"/>
      <c r="J35" s="37" t="inlineStr">
        <is>
          <t>Não</t>
        </is>
      </c>
      <c r="K35" s="37" t="n"/>
    </row>
    <row r="36">
      <c r="A36" s="45" t="inlineStr">
        <is>
          <t>Conisul</t>
        </is>
      </c>
      <c r="B36" s="37" t="inlineStr">
        <is>
          <t>Aral Moreira</t>
        </is>
      </c>
      <c r="C36" s="37" t="n">
        <v>1</v>
      </c>
      <c r="D36" s="37" t="inlineStr">
        <is>
          <t>Jose Elias Calonga Cunha</t>
        </is>
      </c>
      <c r="E36" s="44" t="inlineStr">
        <is>
          <t>Atrasado</t>
        </is>
      </c>
      <c r="F36" s="37" t="n"/>
      <c r="G36" s="39" t="inlineStr">
        <is>
          <t>Não</t>
        </is>
      </c>
      <c r="H36" s="37" t="n"/>
      <c r="I36" s="37" t="n"/>
      <c r="J36" s="37" t="inlineStr">
        <is>
          <t>Não</t>
        </is>
      </c>
      <c r="K36" s="37" t="n"/>
    </row>
    <row r="37">
      <c r="A37" s="45" t="inlineStr">
        <is>
          <t>Conisul</t>
        </is>
      </c>
      <c r="B37" s="37" t="inlineStr">
        <is>
          <t>Caarapó</t>
        </is>
      </c>
      <c r="C37" s="37" t="n">
        <v>1</v>
      </c>
      <c r="D37" s="37" t="inlineStr">
        <is>
          <t>Gustavo Becker Modesto Silva</t>
        </is>
      </c>
      <c r="E37" s="38" t="inlineStr">
        <is>
          <t>Enviado</t>
        </is>
      </c>
      <c r="F37" s="37" t="inlineStr">
        <is>
          <t>02/10/2025</t>
        </is>
      </c>
      <c r="G37" s="39" t="inlineStr">
        <is>
          <t>Não</t>
        </is>
      </c>
      <c r="H37" s="37" t="n"/>
      <c r="I37" s="37" t="n"/>
      <c r="J37" s="37" t="inlineStr">
        <is>
          <t>Não</t>
        </is>
      </c>
      <c r="K37" s="37" t="n"/>
    </row>
    <row r="38">
      <c r="A38" s="45" t="inlineStr">
        <is>
          <t>Conisul</t>
        </is>
      </c>
      <c r="B38" s="37" t="inlineStr">
        <is>
          <t>Coronel Sapucaia</t>
        </is>
      </c>
      <c r="C38" s="37" t="n">
        <v>1</v>
      </c>
      <c r="D38" s="37" t="inlineStr">
        <is>
          <t>Wendel Ortiz dos Santos</t>
        </is>
      </c>
      <c r="E38" s="44" t="inlineStr">
        <is>
          <t>Atrasado</t>
        </is>
      </c>
      <c r="F38" s="37" t="n"/>
      <c r="G38" s="39" t="inlineStr">
        <is>
          <t>Não</t>
        </is>
      </c>
      <c r="H38" s="37" t="n"/>
      <c r="I38" s="37" t="n"/>
      <c r="J38" s="37" t="inlineStr">
        <is>
          <t>Não</t>
        </is>
      </c>
      <c r="K38" s="37" t="n"/>
    </row>
    <row r="39">
      <c r="A39" s="45" t="inlineStr">
        <is>
          <t>Conisul</t>
        </is>
      </c>
      <c r="B39" s="37" t="inlineStr">
        <is>
          <t>Eldorado</t>
        </is>
      </c>
      <c r="C39" s="37" t="n">
        <v>1</v>
      </c>
      <c r="D39" s="37" t="inlineStr">
        <is>
          <t>Edvaldo José de Souza</t>
        </is>
      </c>
      <c r="E39" s="38" t="inlineStr">
        <is>
          <t>Enviado</t>
        </is>
      </c>
      <c r="F39" s="37" t="inlineStr">
        <is>
          <t>17/09/2025</t>
        </is>
      </c>
      <c r="G39" s="39" t="inlineStr">
        <is>
          <t>Não</t>
        </is>
      </c>
      <c r="H39" s="37" t="n"/>
      <c r="I39" s="37" t="n"/>
      <c r="J39" s="37" t="inlineStr">
        <is>
          <t>Não</t>
        </is>
      </c>
      <c r="K39" s="37" t="n"/>
    </row>
    <row r="40">
      <c r="A40" s="45" t="inlineStr">
        <is>
          <t>Conisul</t>
        </is>
      </c>
      <c r="B40" s="37" t="inlineStr">
        <is>
          <t>Iguatemi</t>
        </is>
      </c>
      <c r="C40" s="37" t="n">
        <v>1</v>
      </c>
      <c r="D40" s="37" t="inlineStr">
        <is>
          <t>Sirlei Aparecida Costa Souza</t>
        </is>
      </c>
      <c r="E40" s="38" t="inlineStr">
        <is>
          <t>Enviado</t>
        </is>
      </c>
      <c r="F40" s="37" t="inlineStr">
        <is>
          <t>06/10/2025</t>
        </is>
      </c>
      <c r="G40" s="39" t="inlineStr">
        <is>
          <t>Não</t>
        </is>
      </c>
      <c r="H40" s="37" t="n"/>
      <c r="I40" s="37" t="n"/>
      <c r="J40" s="37" t="inlineStr">
        <is>
          <t>Não</t>
        </is>
      </c>
      <c r="K40" s="37" t="n"/>
    </row>
    <row r="41">
      <c r="A41" s="45" t="inlineStr">
        <is>
          <t>Conisul</t>
        </is>
      </c>
      <c r="B41" s="37" t="inlineStr">
        <is>
          <t>Itaquiraí</t>
        </is>
      </c>
      <c r="C41" s="37" t="n">
        <v>1</v>
      </c>
      <c r="D41" s="37" t="inlineStr">
        <is>
          <t>Fredson Julio de Oliveira</t>
        </is>
      </c>
      <c r="E41" s="38" t="inlineStr">
        <is>
          <t>Enviado</t>
        </is>
      </c>
      <c r="F41" s="37" t="inlineStr">
        <is>
          <t>08/10/2025</t>
        </is>
      </c>
      <c r="G41" s="39" t="inlineStr">
        <is>
          <t>Não</t>
        </is>
      </c>
      <c r="H41" s="37" t="n"/>
      <c r="I41" s="37" t="n"/>
      <c r="J41" s="37" t="inlineStr">
        <is>
          <t>Não</t>
        </is>
      </c>
      <c r="K41" s="37" t="n"/>
    </row>
    <row r="42">
      <c r="A42" s="45" t="inlineStr">
        <is>
          <t>Conisul</t>
        </is>
      </c>
      <c r="B42" s="37" t="inlineStr">
        <is>
          <t>Japorã</t>
        </is>
      </c>
      <c r="C42" s="37" t="n">
        <v>1</v>
      </c>
      <c r="D42" s="37" t="inlineStr">
        <is>
          <t>Mayara Cristina Neves Abel</t>
        </is>
      </c>
      <c r="E42" s="38" t="inlineStr">
        <is>
          <t>Enviado</t>
        </is>
      </c>
      <c r="F42" s="37" t="inlineStr">
        <is>
          <t>17/09/2025</t>
        </is>
      </c>
      <c r="G42" s="39" t="inlineStr">
        <is>
          <t>Não</t>
        </is>
      </c>
      <c r="H42" s="37" t="n"/>
      <c r="I42" s="37" t="n"/>
      <c r="J42" s="37" t="inlineStr">
        <is>
          <t>Não</t>
        </is>
      </c>
      <c r="K42" s="37" t="n"/>
    </row>
    <row r="43">
      <c r="A43" s="45" t="inlineStr">
        <is>
          <t>Conisul</t>
        </is>
      </c>
      <c r="B43" s="37" t="inlineStr">
        <is>
          <t>Juti</t>
        </is>
      </c>
      <c r="C43" s="37" t="n">
        <v>1</v>
      </c>
      <c r="D43" s="37" t="inlineStr">
        <is>
          <t>Leandra Aymê Alves Elias Assumpcao</t>
        </is>
      </c>
      <c r="E43" s="38" t="inlineStr">
        <is>
          <t>Enviado</t>
        </is>
      </c>
      <c r="F43" s="37" t="inlineStr">
        <is>
          <t>29/09/2025</t>
        </is>
      </c>
      <c r="G43" s="39" t="inlineStr">
        <is>
          <t>Não</t>
        </is>
      </c>
      <c r="H43" s="37" t="n"/>
      <c r="I43" s="37" t="n"/>
      <c r="J43" s="37" t="inlineStr">
        <is>
          <t>Não</t>
        </is>
      </c>
      <c r="K43" s="37" t="n"/>
    </row>
    <row r="44">
      <c r="A44" s="45" t="inlineStr">
        <is>
          <t>Conisul</t>
        </is>
      </c>
      <c r="B44" s="37" t="inlineStr">
        <is>
          <t>Naviraí</t>
        </is>
      </c>
      <c r="C44" s="37" t="n">
        <v>1</v>
      </c>
      <c r="D44" s="37" t="inlineStr">
        <is>
          <t>Camila Bomfim de Carvalho Ferreira</t>
        </is>
      </c>
      <c r="E44" s="38" t="inlineStr">
        <is>
          <t>Enviado</t>
        </is>
      </c>
      <c r="F44" s="37" t="inlineStr">
        <is>
          <t>23/09/2025</t>
        </is>
      </c>
      <c r="G44" s="39" t="inlineStr">
        <is>
          <t>Não</t>
        </is>
      </c>
      <c r="H44" s="37" t="n"/>
      <c r="I44" s="37" t="n"/>
      <c r="J44" s="37" t="inlineStr">
        <is>
          <t>Não</t>
        </is>
      </c>
      <c r="K44" s="37" t="n"/>
    </row>
    <row r="45">
      <c r="A45" s="45" t="inlineStr">
        <is>
          <t>Conisul</t>
        </is>
      </c>
      <c r="B45" s="37" t="inlineStr">
        <is>
          <t>Paranhos</t>
        </is>
      </c>
      <c r="C45" s="37" t="n">
        <v>1</v>
      </c>
      <c r="D45" s="37" t="inlineStr">
        <is>
          <t>Paulo Ricardo Klaus</t>
        </is>
      </c>
      <c r="E45" s="38" t="inlineStr">
        <is>
          <t>Enviado</t>
        </is>
      </c>
      <c r="F45" s="37" t="inlineStr">
        <is>
          <t>16/09/2025</t>
        </is>
      </c>
      <c r="G45" s="39" t="inlineStr">
        <is>
          <t>Não</t>
        </is>
      </c>
      <c r="H45" s="37" t="n"/>
      <c r="I45" s="37" t="n"/>
      <c r="J45" s="37" t="inlineStr">
        <is>
          <t>Não</t>
        </is>
      </c>
      <c r="K45" s="37" t="n"/>
    </row>
    <row r="46">
      <c r="A46" s="45" t="inlineStr">
        <is>
          <t>Conisul</t>
        </is>
      </c>
      <c r="B46" s="37" t="inlineStr">
        <is>
          <t>Sete Quedas</t>
        </is>
      </c>
      <c r="C46" s="37" t="n">
        <v>1</v>
      </c>
      <c r="D46" s="37" t="n"/>
      <c r="E46" s="42" t="inlineStr">
        <is>
          <t>Sem Técnico</t>
        </is>
      </c>
      <c r="F46" s="37" t="n"/>
      <c r="G46" s="39" t="inlineStr">
        <is>
          <t>Não</t>
        </is>
      </c>
      <c r="H46" s="37" t="n"/>
      <c r="I46" s="37" t="n"/>
      <c r="J46" s="37" t="inlineStr">
        <is>
          <t>Não</t>
        </is>
      </c>
      <c r="K46" s="37" t="n"/>
    </row>
    <row r="47">
      <c r="A47" s="45" t="inlineStr">
        <is>
          <t>Conisul</t>
        </is>
      </c>
      <c r="B47" s="37" t="inlineStr">
        <is>
          <t>Tacuru</t>
        </is>
      </c>
      <c r="C47" s="37" t="n">
        <v>1</v>
      </c>
      <c r="D47" s="37" t="inlineStr">
        <is>
          <t>Adiel Correia Nogueira</t>
        </is>
      </c>
      <c r="E47" s="38" t="inlineStr">
        <is>
          <t>Enviado</t>
        </is>
      </c>
      <c r="F47" s="37" t="inlineStr">
        <is>
          <t>16/09/2025</t>
        </is>
      </c>
      <c r="G47" s="39"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f>IFERROR(IF(INDEX('Form 1 - Município'!D2:D500, MATCH(B2&amp;C2, INDEX('Form 1 - Município'!B2:B500&amp;'Form 1 - Município'!C2:C500, 0), 0))="", "", INDEX('Form 1 - Município'!D2:D500, MATCH(B2&amp;C2, INDEX('Form 1 - Município'!B2:B500&amp;'Form 1 - Município'!C2:C500, 0), 0))), "")</f>
        <v/>
      </c>
      <c r="E2" s="46" t="inlineStr">
        <is>
          <t>Outras Ocorrências</t>
        </is>
      </c>
      <c r="F2" s="37" t="n"/>
      <c r="G2" s="47" t="inlineStr">
        <is>
          <t>Não</t>
        </is>
      </c>
      <c r="H2" s="37" t="inlineStr">
        <is>
          <t>Município sem Estrutura ou Associação</t>
        </is>
      </c>
      <c r="I2" s="37" t="n"/>
      <c r="J2" s="37" t="inlineStr">
        <is>
          <t>Não</t>
        </is>
      </c>
      <c r="K2" s="37" t="n"/>
    </row>
    <row r="3">
      <c r="A3" s="40" t="inlineStr">
        <is>
          <t>Cibax</t>
        </is>
      </c>
      <c r="B3" s="37" t="inlineStr">
        <is>
          <t>Alto Piquiri</t>
        </is>
      </c>
      <c r="C3" s="37" t="n">
        <v>1</v>
      </c>
      <c r="D3" s="37">
        <f>IFERROR(IF(INDEX('Form 1 - Município'!D2:D500, MATCH(B3&amp;C3, INDEX('Form 1 - Município'!B2:B500&amp;'Form 1 - Município'!C2:C500, 0), 0))="", "", INDEX('Form 1 - Município'!D2:D500, MATCH(B3&amp;C3, INDEX('Form 1 - Município'!B2:B500&amp;'Form 1 - Município'!C2:C500, 0), 0))), "")</f>
        <v/>
      </c>
      <c r="E3" s="38" t="inlineStr">
        <is>
          <t>Enviado</t>
        </is>
      </c>
      <c r="F3" s="37" t="inlineStr">
        <is>
          <t>13/10/2025</t>
        </is>
      </c>
      <c r="G3" s="47" t="inlineStr">
        <is>
          <t>Não</t>
        </is>
      </c>
      <c r="H3" s="37" t="n"/>
      <c r="I3" s="37" t="n"/>
      <c r="J3" s="37" t="inlineStr">
        <is>
          <t>Não</t>
        </is>
      </c>
      <c r="K3" s="37" t="n"/>
    </row>
    <row r="4">
      <c r="A4" s="41" t="inlineStr">
        <is>
          <t>Cifra</t>
        </is>
      </c>
      <c r="B4" s="37" t="inlineStr">
        <is>
          <t>Bela Vista da Caroba</t>
        </is>
      </c>
      <c r="C4" s="37" t="n">
        <v>1</v>
      </c>
      <c r="D4" s="37">
        <f>IFERROR(IF(INDEX('Form 1 - Município'!D2:D500, MATCH(B4&amp;C4, INDEX('Form 1 - Município'!B2:B500&amp;'Form 1 - Município'!C2:C500, 0), 0))="", "", INDEX('Form 1 - Município'!D2:D500, MATCH(B4&amp;C4, INDEX('Form 1 - Município'!B2:B500&amp;'Form 1 - Município'!C2:C500, 0), 0))), "")</f>
        <v/>
      </c>
      <c r="E4" s="42" t="inlineStr">
        <is>
          <t>Sem Técnico</t>
        </is>
      </c>
      <c r="F4" s="37" t="n"/>
      <c r="G4" s="47" t="inlineStr">
        <is>
          <t>Não</t>
        </is>
      </c>
      <c r="H4" s="37" t="n"/>
      <c r="I4" s="37" t="n"/>
      <c r="J4" s="37" t="inlineStr">
        <is>
          <t>Não</t>
        </is>
      </c>
      <c r="K4" s="37" t="n"/>
    </row>
    <row r="5">
      <c r="A5" s="40" t="inlineStr">
        <is>
          <t>Cibax</t>
        </is>
      </c>
      <c r="B5" s="37" t="inlineStr">
        <is>
          <t>Cafezal do Sul</t>
        </is>
      </c>
      <c r="C5" s="37" t="n">
        <v>1</v>
      </c>
      <c r="D5" s="37">
        <f>IFERROR(IF(INDEX('Form 1 - Município'!D2:D500, MATCH(B5&amp;C5, INDEX('Form 1 - Município'!B2:B500&amp;'Form 1 - Município'!C2:C500, 0), 0))="", "", INDEX('Form 1 - Município'!D2:D500, MATCH(B5&amp;C5, INDEX('Form 1 - Município'!B2:B500&amp;'Form 1 - Município'!C2:C500, 0), 0))), "")</f>
        <v/>
      </c>
      <c r="E5" s="38" t="inlineStr">
        <is>
          <t>Enviado</t>
        </is>
      </c>
      <c r="F5" s="37" t="inlineStr">
        <is>
          <t>17/09/2025</t>
        </is>
      </c>
      <c r="G5" s="47" t="inlineStr">
        <is>
          <t>Não</t>
        </is>
      </c>
      <c r="H5" s="37" t="n"/>
      <c r="I5" s="37" t="n"/>
      <c r="J5" s="37" t="inlineStr">
        <is>
          <t>Não</t>
        </is>
      </c>
      <c r="K5" s="37" t="n"/>
    </row>
    <row r="6">
      <c r="A6" s="40" t="inlineStr">
        <is>
          <t>Cibax</t>
        </is>
      </c>
      <c r="B6" s="37" t="inlineStr">
        <is>
          <t>Cruzeiro do Oeste</t>
        </is>
      </c>
      <c r="C6" s="37" t="n">
        <v>1</v>
      </c>
      <c r="D6" s="37">
        <f>IFERROR(IF(INDEX('Form 1 - Município'!D2:D500, MATCH(B6&amp;C6, INDEX('Form 1 - Município'!B2:B500&amp;'Form 1 - Município'!C2:C500, 0), 0))="", "", INDEX('Form 1 - Município'!D2:D500, MATCH(B6&amp;C6, INDEX('Form 1 - Município'!B2:B500&amp;'Form 1 - Município'!C2:C500, 0), 0))), "")</f>
        <v/>
      </c>
      <c r="E6" s="38" t="inlineStr">
        <is>
          <t>Enviado</t>
        </is>
      </c>
      <c r="F6" s="37" t="inlineStr">
        <is>
          <t>01/10/2025</t>
        </is>
      </c>
      <c r="G6" s="47" t="inlineStr">
        <is>
          <t>Não</t>
        </is>
      </c>
      <c r="H6" s="37" t="n"/>
      <c r="I6" s="37" t="n"/>
      <c r="J6" s="37" t="inlineStr">
        <is>
          <t>Não</t>
        </is>
      </c>
      <c r="K6" s="37" t="n"/>
    </row>
    <row r="7">
      <c r="A7" s="43" t="inlineStr">
        <is>
          <t>Comafen</t>
        </is>
      </c>
      <c r="B7" s="37" t="inlineStr">
        <is>
          <t>Diamante do Norte</t>
        </is>
      </c>
      <c r="C7" s="37" t="n">
        <v>1</v>
      </c>
      <c r="D7" s="37">
        <f>IFERROR(IF(INDEX('Form 1 - Município'!D2:D500, MATCH(B7&amp;C7, INDEX('Form 1 - Município'!B2:B500&amp;'Form 1 - Município'!C2:C500, 0), 0))="", "", INDEX('Form 1 - Município'!D2:D500, MATCH(B7&amp;C7, INDEX('Form 1 - Município'!B2:B500&amp;'Form 1 - Município'!C2:C500, 0), 0))), "")</f>
        <v/>
      </c>
      <c r="E7" s="38" t="inlineStr">
        <is>
          <t>Enviado</t>
        </is>
      </c>
      <c r="F7" s="37" t="inlineStr">
        <is>
          <t>27/10/2025</t>
        </is>
      </c>
      <c r="G7" s="47" t="inlineStr">
        <is>
          <t>Não</t>
        </is>
      </c>
      <c r="H7" s="37" t="n"/>
      <c r="I7" s="37" t="n"/>
      <c r="J7" s="37" t="inlineStr">
        <is>
          <t>Não</t>
        </is>
      </c>
      <c r="K7" s="37" t="n"/>
    </row>
    <row r="8">
      <c r="A8" s="36" t="inlineStr">
        <is>
          <t>Coripa</t>
        </is>
      </c>
      <c r="B8" s="37" t="inlineStr">
        <is>
          <t>Douradina</t>
        </is>
      </c>
      <c r="C8" s="37" t="n">
        <v>1</v>
      </c>
      <c r="D8" s="37">
        <f>IFERROR(IF(INDEX('Form 1 - Município'!D2:D500, MATCH(B8&amp;C8, INDEX('Form 1 - Município'!B2:B500&amp;'Form 1 - Município'!C2:C500, 0), 0))="", "", INDEX('Form 1 - Município'!D2:D500, MATCH(B8&amp;C8, INDEX('Form 1 - Município'!B2:B500&amp;'Form 1 - Município'!C2:C500, 0), 0))), "")</f>
        <v/>
      </c>
      <c r="E8" s="38" t="inlineStr">
        <is>
          <t>Enviado</t>
        </is>
      </c>
      <c r="F8" s="37" t="inlineStr">
        <is>
          <t>22/09/2025</t>
        </is>
      </c>
      <c r="G8" s="47" t="inlineStr">
        <is>
          <t>Não</t>
        </is>
      </c>
      <c r="H8" s="37" t="n"/>
      <c r="I8" s="37" t="n"/>
      <c r="J8" s="37" t="inlineStr">
        <is>
          <t>Não</t>
        </is>
      </c>
      <c r="K8" s="37" t="n"/>
    </row>
    <row r="9">
      <c r="A9" s="36" t="inlineStr">
        <is>
          <t>Coripa</t>
        </is>
      </c>
      <c r="B9" s="37" t="inlineStr">
        <is>
          <t>Esperança Nova</t>
        </is>
      </c>
      <c r="C9" s="37" t="n">
        <v>1</v>
      </c>
      <c r="D9" s="37">
        <f>IFERROR(IF(INDEX('Form 1 - Município'!D2:D500, MATCH(B9&amp;C9, INDEX('Form 1 - Município'!B2:B500&amp;'Form 1 - Município'!C2:C500, 0), 0))="", "", INDEX('Form 1 - Município'!D2:D500, MATCH(B9&amp;C9, INDEX('Form 1 - Município'!B2:B500&amp;'Form 1 - Município'!C2:C500, 0), 0))), "")</f>
        <v/>
      </c>
      <c r="E9" s="44" t="inlineStr">
        <is>
          <t>Atrasado</t>
        </is>
      </c>
      <c r="F9" s="37" t="n"/>
      <c r="G9" s="47" t="inlineStr">
        <is>
          <t>Não</t>
        </is>
      </c>
      <c r="H9" s="37" t="n"/>
      <c r="I9" s="37" t="n"/>
      <c r="J9" s="37" t="inlineStr">
        <is>
          <t>Não</t>
        </is>
      </c>
      <c r="K9" s="37" t="n"/>
    </row>
    <row r="10">
      <c r="A10" s="36" t="inlineStr">
        <is>
          <t>Coripa</t>
        </is>
      </c>
      <c r="B10" s="37" t="inlineStr">
        <is>
          <t>Icaraíma</t>
        </is>
      </c>
      <c r="C10" s="37" t="n">
        <v>1</v>
      </c>
      <c r="D10" s="37">
        <f>IFERROR(IF(INDEX('Form 1 - Município'!D2:D500, MATCH(B10&amp;C10, INDEX('Form 1 - Município'!B2:B500&amp;'Form 1 - Município'!C2:C500, 0), 0))="", "", INDEX('Form 1 - Município'!D2:D500, MATCH(B10&amp;C10, INDEX('Form 1 - Município'!B2:B500&amp;'Form 1 - Município'!C2:C500, 0), 0))), "")</f>
        <v/>
      </c>
      <c r="E10" s="44" t="inlineStr">
        <is>
          <t>Atrasado</t>
        </is>
      </c>
      <c r="F10" s="37" t="n"/>
      <c r="G10" s="47" t="inlineStr">
        <is>
          <t>Não</t>
        </is>
      </c>
      <c r="H10" s="37" t="n"/>
      <c r="I10" s="37" t="n"/>
      <c r="J10" s="37" t="inlineStr">
        <is>
          <t>Não</t>
        </is>
      </c>
      <c r="K10" s="37" t="n"/>
    </row>
    <row r="11">
      <c r="A11" s="40" t="inlineStr">
        <is>
          <t>Cibax</t>
        </is>
      </c>
      <c r="B11" s="37" t="inlineStr">
        <is>
          <t>Iporã</t>
        </is>
      </c>
      <c r="C11" s="37" t="n">
        <v>1</v>
      </c>
      <c r="D11" s="37">
        <f>IFERROR(IF(INDEX('Form 1 - Município'!D2:D500, MATCH(B11&amp;C11, INDEX('Form 1 - Município'!B2:B500&amp;'Form 1 - Município'!C2:C500, 0), 0))="", "", INDEX('Form 1 - Município'!D2:D500, MATCH(B11&amp;C11, INDEX('Form 1 - Município'!B2:B500&amp;'Form 1 - Município'!C2:C500, 0), 0))), "")</f>
        <v/>
      </c>
      <c r="E11" s="38" t="inlineStr">
        <is>
          <t>Enviado</t>
        </is>
      </c>
      <c r="F11" s="37" t="inlineStr">
        <is>
          <t>22/09/2025</t>
        </is>
      </c>
      <c r="G11" s="47" t="inlineStr">
        <is>
          <t>Não</t>
        </is>
      </c>
      <c r="H11" s="37" t="n"/>
      <c r="I11" s="37" t="n"/>
      <c r="J11" s="37" t="inlineStr">
        <is>
          <t>Não</t>
        </is>
      </c>
      <c r="K11" s="37" t="n"/>
    </row>
    <row r="12">
      <c r="A12" s="40" t="inlineStr">
        <is>
          <t>Cibax</t>
        </is>
      </c>
      <c r="B12" s="37" t="inlineStr">
        <is>
          <t>Ivaté</t>
        </is>
      </c>
      <c r="C12" s="37" t="n">
        <v>1</v>
      </c>
      <c r="D12" s="37">
        <f>IFERROR(IF(INDEX('Form 1 - Município'!D2:D500, MATCH(B12&amp;C12, INDEX('Form 1 - Município'!B2:B500&amp;'Form 1 - Município'!C2:C500, 0), 0))="", "", INDEX('Form 1 - Município'!D2:D500, MATCH(B12&amp;C12, INDEX('Form 1 - Município'!B2:B500&amp;'Form 1 - Município'!C2:C500, 0), 0))), "")</f>
        <v/>
      </c>
      <c r="E12" s="38" t="inlineStr">
        <is>
          <t>Enviado</t>
        </is>
      </c>
      <c r="F12" s="37" t="inlineStr">
        <is>
          <t>29/09/2025</t>
        </is>
      </c>
      <c r="G12" s="47" t="inlineStr">
        <is>
          <t>Não</t>
        </is>
      </c>
      <c r="H12" s="37" t="n"/>
      <c r="I12" s="37" t="n"/>
      <c r="J12" s="37" t="inlineStr">
        <is>
          <t>Não</t>
        </is>
      </c>
      <c r="K12" s="37" t="n"/>
    </row>
    <row r="13">
      <c r="A13" s="43" t="inlineStr">
        <is>
          <t>Comafen</t>
        </is>
      </c>
      <c r="B13" s="37" t="inlineStr">
        <is>
          <t>Itauna do Sul</t>
        </is>
      </c>
      <c r="C13" s="37" t="n">
        <v>1</v>
      </c>
      <c r="D13" s="37">
        <f>IFERROR(IF(INDEX('Form 1 - Município'!D2:D500, MATCH(B13&amp;C13, INDEX('Form 1 - Município'!B2:B500&amp;'Form 1 - Município'!C2:C500, 0), 0))="", "", INDEX('Form 1 - Município'!D2:D500, MATCH(B13&amp;C13, INDEX('Form 1 - Município'!B2:B500&amp;'Form 1 - Município'!C2:C500, 0), 0))), "")</f>
        <v/>
      </c>
      <c r="E13" s="44" t="inlineStr">
        <is>
          <t>Atrasado</t>
        </is>
      </c>
      <c r="F13" s="37" t="n"/>
      <c r="G13" s="47" t="inlineStr">
        <is>
          <t>Não</t>
        </is>
      </c>
      <c r="H13" s="37" t="n"/>
      <c r="I13" s="37" t="n"/>
      <c r="J13" s="37" t="inlineStr">
        <is>
          <t>Não</t>
        </is>
      </c>
      <c r="K13" s="37" t="n"/>
    </row>
    <row r="14">
      <c r="A14" s="43" t="inlineStr">
        <is>
          <t>Comafen</t>
        </is>
      </c>
      <c r="B14" s="37" t="inlineStr">
        <is>
          <t>Loanda</t>
        </is>
      </c>
      <c r="C14" s="37" t="n">
        <v>1</v>
      </c>
      <c r="D14" s="37">
        <f>IFERROR(IF(INDEX('Form 1 - Município'!D2:D500, MATCH(B14&amp;C14, INDEX('Form 1 - Município'!B2:B500&amp;'Form 1 - Município'!C2:C500, 0), 0))="", "", INDEX('Form 1 - Município'!D2:D500, MATCH(B14&amp;C14, INDEX('Form 1 - Município'!B2:B500&amp;'Form 1 - Município'!C2:C500, 0), 0))), "")</f>
        <v/>
      </c>
      <c r="E14" s="38" t="inlineStr">
        <is>
          <t>Enviado</t>
        </is>
      </c>
      <c r="F14" s="37" t="inlineStr">
        <is>
          <t>07/10/2025</t>
        </is>
      </c>
      <c r="G14" s="47" t="inlineStr">
        <is>
          <t>Não</t>
        </is>
      </c>
      <c r="H14" s="37" t="n"/>
      <c r="I14" s="37" t="n"/>
      <c r="J14" s="37" t="inlineStr">
        <is>
          <t>Não</t>
        </is>
      </c>
      <c r="K14" s="37" t="n"/>
    </row>
    <row r="15">
      <c r="A15" s="36" t="inlineStr">
        <is>
          <t>Coripa</t>
        </is>
      </c>
      <c r="B15" s="37" t="inlineStr">
        <is>
          <t>Maria Helena</t>
        </is>
      </c>
      <c r="C15" s="37" t="n">
        <v>1</v>
      </c>
      <c r="D15" s="37">
        <f>IFERROR(IF(INDEX('Form 1 - Município'!D2:D500, MATCH(B15&amp;C15, INDEX('Form 1 - Município'!B2:B500&amp;'Form 1 - Município'!C2:C500, 0), 0))="", "", INDEX('Form 1 - Município'!D2:D500, MATCH(B15&amp;C15, INDEX('Form 1 - Município'!B2:B500&amp;'Form 1 - Município'!C2:C500, 0), 0))), "")</f>
        <v/>
      </c>
      <c r="E15" s="38" t="inlineStr">
        <is>
          <t>Enviado</t>
        </is>
      </c>
      <c r="F15" s="37" t="inlineStr">
        <is>
          <t>01/10/2025</t>
        </is>
      </c>
      <c r="G15" s="47" t="inlineStr">
        <is>
          <t>Não</t>
        </is>
      </c>
      <c r="H15" s="37" t="n"/>
      <c r="I15" s="37" t="n"/>
      <c r="J15" s="37" t="inlineStr">
        <is>
          <t>Não</t>
        </is>
      </c>
      <c r="K15" s="37" t="n"/>
    </row>
    <row r="16">
      <c r="A16" s="43" t="inlineStr">
        <is>
          <t>Comafen</t>
        </is>
      </c>
      <c r="B16" s="37" t="inlineStr">
        <is>
          <t>Marilena</t>
        </is>
      </c>
      <c r="C16" s="37" t="n">
        <v>1</v>
      </c>
      <c r="D16" s="37">
        <f>IFERROR(IF(INDEX('Form 1 - Município'!D2:D500, MATCH(B16&amp;C16, INDEX('Form 1 - Município'!B2:B500&amp;'Form 1 - Município'!C2:C500, 0), 0))="", "", INDEX('Form 1 - Município'!D2:D500, MATCH(B16&amp;C16, INDEX('Form 1 - Município'!B2:B500&amp;'Form 1 - Município'!C2:C500, 0), 0))), "")</f>
        <v/>
      </c>
      <c r="E16" s="44" t="inlineStr">
        <is>
          <t>Atrasado</t>
        </is>
      </c>
      <c r="F16" s="37" t="n"/>
      <c r="G16" s="47" t="inlineStr">
        <is>
          <t>Não</t>
        </is>
      </c>
      <c r="H16" s="37" t="n"/>
      <c r="I16" s="37" t="n"/>
      <c r="J16" s="37" t="inlineStr">
        <is>
          <t>Não</t>
        </is>
      </c>
      <c r="K16" s="37" t="n"/>
    </row>
    <row r="17">
      <c r="A17" s="40" t="inlineStr">
        <is>
          <t>Cibax</t>
        </is>
      </c>
      <c r="B17" s="37" t="inlineStr">
        <is>
          <t>Mariluz</t>
        </is>
      </c>
      <c r="C17" s="37" t="n">
        <v>1</v>
      </c>
      <c r="D17" s="37">
        <f>IFERROR(IF(INDEX('Form 1 - Município'!D2:D500, MATCH(B17&amp;C17, INDEX('Form 1 - Município'!B2:B500&amp;'Form 1 - Município'!C2:C500, 0), 0))="", "", INDEX('Form 1 - Município'!D2:D500, MATCH(B17&amp;C17, INDEX('Form 1 - Município'!B2:B500&amp;'Form 1 - Município'!C2:C500, 0), 0))), "")</f>
        <v/>
      </c>
      <c r="E17" s="38" t="inlineStr">
        <is>
          <t>Enviado</t>
        </is>
      </c>
      <c r="F17" s="37" t="inlineStr">
        <is>
          <t>25/09/2025</t>
        </is>
      </c>
      <c r="G17" s="47" t="inlineStr">
        <is>
          <t>Não</t>
        </is>
      </c>
      <c r="H17" s="37" t="n"/>
      <c r="I17" s="37" t="n"/>
      <c r="J17" s="37" t="inlineStr">
        <is>
          <t>Não</t>
        </is>
      </c>
      <c r="K17" s="37" t="n"/>
    </row>
    <row r="18">
      <c r="A18" s="43" t="inlineStr">
        <is>
          <t>Comafen</t>
        </is>
      </c>
      <c r="B18" s="37" t="inlineStr">
        <is>
          <t>Nova Londrina</t>
        </is>
      </c>
      <c r="C18" s="37" t="n">
        <v>1</v>
      </c>
      <c r="D18" s="37">
        <f>IFERROR(IF(INDEX('Form 1 - Município'!D2:D500, MATCH(B18&amp;C18, INDEX('Form 1 - Município'!B2:B500&amp;'Form 1 - Município'!C2:C500, 0), 0))="", "", INDEX('Form 1 - Município'!D2:D500, MATCH(B18&amp;C18, INDEX('Form 1 - Município'!B2:B500&amp;'Form 1 - Município'!C2:C500, 0), 0))), "")</f>
        <v/>
      </c>
      <c r="E18" s="38" t="inlineStr">
        <is>
          <t>Enviado</t>
        </is>
      </c>
      <c r="F18" s="37" t="inlineStr">
        <is>
          <t>28/10/2025</t>
        </is>
      </c>
      <c r="G18" s="47" t="inlineStr">
        <is>
          <t>Não</t>
        </is>
      </c>
      <c r="H18" s="37" t="n"/>
      <c r="I18" s="37" t="n"/>
      <c r="J18" s="37" t="inlineStr">
        <is>
          <t>Não</t>
        </is>
      </c>
      <c r="K18" s="37" t="n"/>
    </row>
    <row r="19">
      <c r="A19" s="36" t="inlineStr">
        <is>
          <t>Coripa</t>
        </is>
      </c>
      <c r="B19" s="37" t="inlineStr">
        <is>
          <t>Nova Olimpia</t>
        </is>
      </c>
      <c r="C19" s="37" t="n">
        <v>1</v>
      </c>
      <c r="D19" s="37">
        <f>IFERROR(IF(INDEX('Form 1 - Município'!D2:D500, MATCH(B19&amp;C19, INDEX('Form 1 - Município'!B2:B500&amp;'Form 1 - Município'!C2:C500, 0), 0))="", "", INDEX('Form 1 - Município'!D2:D500, MATCH(B19&amp;C19, INDEX('Form 1 - Município'!B2:B500&amp;'Form 1 - Município'!C2:C500, 0), 0))), "")</f>
        <v/>
      </c>
      <c r="E19" s="38" t="inlineStr">
        <is>
          <t>Enviado</t>
        </is>
      </c>
      <c r="F19" s="37" t="inlineStr">
        <is>
          <t>19/09/2025</t>
        </is>
      </c>
      <c r="G19" s="47" t="inlineStr">
        <is>
          <t>Não</t>
        </is>
      </c>
      <c r="H19" s="37" t="n"/>
      <c r="I19" s="37" t="n"/>
      <c r="J19" s="37" t="inlineStr">
        <is>
          <t>Não</t>
        </is>
      </c>
      <c r="K19" s="37" t="n"/>
    </row>
    <row r="20">
      <c r="A20" s="40" t="inlineStr">
        <is>
          <t>Cibax</t>
        </is>
      </c>
      <c r="B20" s="37" t="inlineStr">
        <is>
          <t>Perobal</t>
        </is>
      </c>
      <c r="C20" s="37" t="n">
        <v>1</v>
      </c>
      <c r="D20" s="37">
        <f>IFERROR(IF(INDEX('Form 1 - Município'!D2:D500, MATCH(B20&amp;C20, INDEX('Form 1 - Município'!B2:B500&amp;'Form 1 - Município'!C2:C500, 0), 0))="", "", INDEX('Form 1 - Município'!D2:D500, MATCH(B20&amp;C20, INDEX('Form 1 - Município'!B2:B500&amp;'Form 1 - Município'!C2:C500, 0), 0))), "")</f>
        <v/>
      </c>
      <c r="E20" s="46" t="inlineStr">
        <is>
          <t>Outras Ocorrências</t>
        </is>
      </c>
      <c r="F20" s="37" t="n"/>
      <c r="G20" s="47" t="inlineStr">
        <is>
          <t>Não</t>
        </is>
      </c>
      <c r="H20" s="37" t="inlineStr">
        <is>
          <t>Município sem Estrutura ou Associação</t>
        </is>
      </c>
      <c r="I20" s="37" t="n"/>
      <c r="J20" s="37" t="inlineStr">
        <is>
          <t>Não</t>
        </is>
      </c>
      <c r="K20" s="37" t="n"/>
    </row>
    <row r="21">
      <c r="A21" s="40" t="inlineStr">
        <is>
          <t>Cibax</t>
        </is>
      </c>
      <c r="B21" s="37" t="inlineStr">
        <is>
          <t>Pérola</t>
        </is>
      </c>
      <c r="C21" s="37" t="n">
        <v>1</v>
      </c>
      <c r="D21" s="37">
        <f>IFERROR(IF(INDEX('Form 1 - Município'!D2:D500, MATCH(B21&amp;C21, INDEX('Form 1 - Município'!B2:B500&amp;'Form 1 - Município'!C2:C500, 0), 0))="", "", INDEX('Form 1 - Município'!D2:D500, MATCH(B21&amp;C21, INDEX('Form 1 - Município'!B2:B500&amp;'Form 1 - Município'!C2:C500, 0), 0))), "")</f>
        <v/>
      </c>
      <c r="E21" s="38" t="inlineStr">
        <is>
          <t>Enviado</t>
        </is>
      </c>
      <c r="F21" s="37" t="inlineStr">
        <is>
          <t>03/10/2025</t>
        </is>
      </c>
      <c r="G21" s="47" t="inlineStr">
        <is>
          <t>Não</t>
        </is>
      </c>
      <c r="H21" s="37" t="n"/>
      <c r="I21" s="37" t="n"/>
      <c r="J21" s="37" t="inlineStr">
        <is>
          <t>Não</t>
        </is>
      </c>
      <c r="K21" s="37" t="n"/>
    </row>
    <row r="22">
      <c r="A22" s="41" t="inlineStr">
        <is>
          <t>Cifra</t>
        </is>
      </c>
      <c r="B22" s="37" t="inlineStr">
        <is>
          <t>Perola d'Oeste</t>
        </is>
      </c>
      <c r="C22" s="37" t="n">
        <v>1</v>
      </c>
      <c r="D22" s="37">
        <f>IFERROR(IF(INDEX('Form 1 - Município'!D2:D500, MATCH(B22&amp;C22, INDEX('Form 1 - Município'!B2:B500&amp;'Form 1 - Município'!C2:C500, 0), 0))="", "", INDEX('Form 1 - Município'!D2:D500, MATCH(B22&amp;C22, INDEX('Form 1 - Município'!B2:B500&amp;'Form 1 - Município'!C2:C500, 0), 0))), "")</f>
        <v/>
      </c>
      <c r="E22" s="42" t="inlineStr">
        <is>
          <t>Sem Técnico</t>
        </is>
      </c>
      <c r="F22" s="37" t="n"/>
      <c r="G22" s="47" t="inlineStr">
        <is>
          <t>Não</t>
        </is>
      </c>
      <c r="H22" s="37" t="n"/>
      <c r="I22" s="37" t="n"/>
      <c r="J22" s="37" t="inlineStr">
        <is>
          <t>Não</t>
        </is>
      </c>
      <c r="K22" s="37" t="n"/>
    </row>
    <row r="23">
      <c r="A23" s="43" t="inlineStr">
        <is>
          <t>Comafen</t>
        </is>
      </c>
      <c r="B23" s="37" t="inlineStr">
        <is>
          <t>Planaltina do Paraná</t>
        </is>
      </c>
      <c r="C23" s="37" t="n">
        <v>1</v>
      </c>
      <c r="D23" s="37">
        <f>IFERROR(IF(INDEX('Form 1 - Município'!D2:D500, MATCH(B23&amp;C23, INDEX('Form 1 - Município'!B2:B500&amp;'Form 1 - Município'!C2:C500, 0), 0))="", "", INDEX('Form 1 - Município'!D2:D500, MATCH(B23&amp;C23, INDEX('Form 1 - Município'!B2:B500&amp;'Form 1 - Município'!C2:C500, 0), 0))), "")</f>
        <v/>
      </c>
      <c r="E23" s="44" t="inlineStr">
        <is>
          <t>Atrasado</t>
        </is>
      </c>
      <c r="F23" s="37" t="n"/>
      <c r="G23" s="47" t="inlineStr">
        <is>
          <t>Não</t>
        </is>
      </c>
      <c r="H23" s="37" t="n"/>
      <c r="I23" s="37" t="n"/>
      <c r="J23" s="37" t="inlineStr">
        <is>
          <t>Não</t>
        </is>
      </c>
      <c r="K23" s="37" t="n"/>
    </row>
    <row r="24">
      <c r="A24" s="41" t="inlineStr">
        <is>
          <t>Cifra</t>
        </is>
      </c>
      <c r="B24" s="37" t="inlineStr">
        <is>
          <t>Planalto</t>
        </is>
      </c>
      <c r="C24" s="37" t="n">
        <v>1</v>
      </c>
      <c r="D24" s="37">
        <f>IFERROR(IF(INDEX('Form 1 - Município'!D2:D500, MATCH(B24&amp;C24, INDEX('Form 1 - Município'!B2:B500&amp;'Form 1 - Município'!C2:C500, 0), 0))="", "", INDEX('Form 1 - Município'!D2:D500, MATCH(B24&amp;C24, INDEX('Form 1 - Município'!B2:B500&amp;'Form 1 - Município'!C2:C500, 0), 0))), "")</f>
        <v/>
      </c>
      <c r="E24" s="42" t="inlineStr">
        <is>
          <t>Sem Técnico</t>
        </is>
      </c>
      <c r="F24" s="37" t="n"/>
      <c r="G24" s="47" t="inlineStr">
        <is>
          <t>Não</t>
        </is>
      </c>
      <c r="H24" s="37" t="n"/>
      <c r="I24" s="37" t="n"/>
      <c r="J24" s="37" t="inlineStr">
        <is>
          <t>Não</t>
        </is>
      </c>
      <c r="K24" s="37" t="n"/>
    </row>
    <row r="25">
      <c r="A25" s="43" t="inlineStr">
        <is>
          <t>Comafen</t>
        </is>
      </c>
      <c r="B25" s="37" t="inlineStr">
        <is>
          <t>Porto Rico</t>
        </is>
      </c>
      <c r="C25" s="37" t="n">
        <v>1</v>
      </c>
      <c r="D25" s="37">
        <f>IFERROR(IF(INDEX('Form 1 - Município'!D2:D500, MATCH(B25&amp;C25, INDEX('Form 1 - Município'!B2:B500&amp;'Form 1 - Município'!C2:C500, 0), 0))="", "", INDEX('Form 1 - Município'!D2:D500, MATCH(B25&amp;C25, INDEX('Form 1 - Município'!B2:B500&amp;'Form 1 - Município'!C2:C500, 0), 0))), "")</f>
        <v/>
      </c>
      <c r="E25" s="44" t="inlineStr">
        <is>
          <t>Atrasado</t>
        </is>
      </c>
      <c r="F25" s="37" t="n"/>
      <c r="G25" s="47" t="inlineStr">
        <is>
          <t>Não</t>
        </is>
      </c>
      <c r="H25" s="37" t="n"/>
      <c r="I25" s="37" t="n"/>
      <c r="J25" s="37" t="inlineStr">
        <is>
          <t>Não</t>
        </is>
      </c>
      <c r="K25" s="37" t="n"/>
    </row>
    <row r="26">
      <c r="A26" s="43" t="inlineStr">
        <is>
          <t>Comafen</t>
        </is>
      </c>
      <c r="B26" s="37" t="inlineStr">
        <is>
          <t>Querencia do Norte</t>
        </is>
      </c>
      <c r="C26" s="37" t="n">
        <v>1</v>
      </c>
      <c r="D26" s="37">
        <f>IFERROR(IF(INDEX('Form 1 - Município'!D2:D500, MATCH(B26&amp;C26, INDEX('Form 1 - Município'!B2:B500&amp;'Form 1 - Município'!C2:C500, 0), 0))="", "", INDEX('Form 1 - Município'!D2:D500, MATCH(B26&amp;C26, INDEX('Form 1 - Município'!B2:B500&amp;'Form 1 - Município'!C2:C500, 0), 0))), "")</f>
        <v/>
      </c>
      <c r="E26" s="44" t="inlineStr">
        <is>
          <t>Atrasado</t>
        </is>
      </c>
      <c r="F26" s="37" t="n"/>
      <c r="G26" s="47" t="inlineStr">
        <is>
          <t>Não</t>
        </is>
      </c>
      <c r="H26" s="37" t="n"/>
      <c r="I26" s="37" t="n"/>
      <c r="J26" s="37" t="inlineStr">
        <is>
          <t>Não</t>
        </is>
      </c>
      <c r="K26" s="37" t="n"/>
    </row>
    <row r="27">
      <c r="A27" s="43" t="inlineStr">
        <is>
          <t>Comafen</t>
        </is>
      </c>
      <c r="B27" s="37" t="inlineStr">
        <is>
          <t>Santa Cruz de Monte Castelo</t>
        </is>
      </c>
      <c r="C27" s="37" t="n">
        <v>1</v>
      </c>
      <c r="D27" s="37">
        <f>IFERROR(IF(INDEX('Form 1 - Município'!D2:D500, MATCH(B27&amp;C27, INDEX('Form 1 - Município'!B2:B500&amp;'Form 1 - Município'!C2:C500, 0), 0))="", "", INDEX('Form 1 - Município'!D2:D500, MATCH(B27&amp;C27, INDEX('Form 1 - Município'!B2:B500&amp;'Form 1 - Município'!C2:C500, 0), 0))), "")</f>
        <v/>
      </c>
      <c r="E27" s="38" t="inlineStr">
        <is>
          <t>Enviado</t>
        </is>
      </c>
      <c r="F27" s="37" t="inlineStr">
        <is>
          <t>18/09/2025</t>
        </is>
      </c>
      <c r="G27" s="47" t="inlineStr">
        <is>
          <t>Não</t>
        </is>
      </c>
      <c r="H27" s="37" t="n"/>
      <c r="I27" s="37" t="n"/>
      <c r="J27" s="37" t="inlineStr">
        <is>
          <t>Não</t>
        </is>
      </c>
      <c r="K27" s="37" t="n"/>
    </row>
    <row r="28">
      <c r="A28" s="43" t="inlineStr">
        <is>
          <t>Comafen</t>
        </is>
      </c>
      <c r="B28" s="37" t="inlineStr">
        <is>
          <t>Santa Isabel do Ivai</t>
        </is>
      </c>
      <c r="C28" s="37" t="n">
        <v>1</v>
      </c>
      <c r="D28" s="37">
        <f>IFERROR(IF(INDEX('Form 1 - Município'!D2:D500, MATCH(B28&amp;C28, INDEX('Form 1 - Município'!B2:B500&amp;'Form 1 - Município'!C2:C500, 0), 0))="", "", INDEX('Form 1 - Município'!D2:D500, MATCH(B28&amp;C28, INDEX('Form 1 - Município'!B2:B500&amp;'Form 1 - Município'!C2:C500, 0), 0))), "")</f>
        <v/>
      </c>
      <c r="E28" s="38" t="inlineStr">
        <is>
          <t>Enviado</t>
        </is>
      </c>
      <c r="F28" s="37" t="inlineStr">
        <is>
          <t>26/09/2025</t>
        </is>
      </c>
      <c r="G28" s="47" t="inlineStr">
        <is>
          <t>Não</t>
        </is>
      </c>
      <c r="H28" s="37" t="n"/>
      <c r="I28" s="37" t="n"/>
      <c r="J28" s="37" t="inlineStr">
        <is>
          <t>Não</t>
        </is>
      </c>
      <c r="K28" s="37" t="n"/>
    </row>
    <row r="29">
      <c r="A29" s="41" t="inlineStr">
        <is>
          <t>Cifra</t>
        </is>
      </c>
      <c r="B29" s="37" t="inlineStr">
        <is>
          <t>Santo Antonio do Sudoeste</t>
        </is>
      </c>
      <c r="C29" s="37" t="n">
        <v>1</v>
      </c>
      <c r="D29" s="37">
        <f>IFERROR(IF(INDEX('Form 1 - Município'!D2:D500, MATCH(B29&amp;C29, INDEX('Form 1 - Município'!B2:B500&amp;'Form 1 - Município'!C2:C500, 0), 0))="", "", INDEX('Form 1 - Município'!D2:D500, MATCH(B29&amp;C29, INDEX('Form 1 - Município'!B2:B500&amp;'Form 1 - Município'!C2:C500, 0), 0))), "")</f>
        <v/>
      </c>
      <c r="E29" s="42" t="inlineStr">
        <is>
          <t>Sem Técnico</t>
        </is>
      </c>
      <c r="F29" s="37" t="n"/>
      <c r="G29" s="47" t="inlineStr">
        <is>
          <t>Não</t>
        </is>
      </c>
      <c r="H29" s="37" t="n"/>
      <c r="I29" s="37" t="n"/>
      <c r="J29" s="37" t="inlineStr">
        <is>
          <t>Não</t>
        </is>
      </c>
      <c r="K29" s="37" t="n"/>
    </row>
    <row r="30">
      <c r="A30" s="36" t="inlineStr">
        <is>
          <t>Coripa</t>
        </is>
      </c>
      <c r="B30" s="37" t="inlineStr">
        <is>
          <t>São Jorge do Patrocinio</t>
        </is>
      </c>
      <c r="C30" s="37" t="n">
        <v>1</v>
      </c>
      <c r="D30" s="37">
        <f>IFERROR(IF(INDEX('Form 1 - Município'!D2:D500, MATCH(B30&amp;C30, INDEX('Form 1 - Município'!B2:B500&amp;'Form 1 - Município'!C2:C500, 0), 0))="", "", INDEX('Form 1 - Município'!D2:D500, MATCH(B30&amp;C30, INDEX('Form 1 - Município'!B2:B500&amp;'Form 1 - Município'!C2:C500, 0), 0))), "")</f>
        <v/>
      </c>
      <c r="E30" s="44" t="inlineStr">
        <is>
          <t>Atrasado</t>
        </is>
      </c>
      <c r="F30" s="37" t="n"/>
      <c r="G30" s="47" t="inlineStr">
        <is>
          <t>Não</t>
        </is>
      </c>
      <c r="H30" s="37" t="n"/>
      <c r="I30" s="37" t="n"/>
      <c r="J30" s="37" t="inlineStr">
        <is>
          <t>Não</t>
        </is>
      </c>
      <c r="K30" s="37" t="n"/>
    </row>
    <row r="31">
      <c r="A31" s="43" t="inlineStr">
        <is>
          <t>Comafen</t>
        </is>
      </c>
      <c r="B31" s="37" t="inlineStr">
        <is>
          <t>São Pedro do Paraná</t>
        </is>
      </c>
      <c r="C31" s="37" t="n">
        <v>1</v>
      </c>
      <c r="D31" s="37">
        <f>IFERROR(IF(INDEX('Form 1 - Município'!D2:D500, MATCH(B31&amp;C31, INDEX('Form 1 - Município'!B2:B500&amp;'Form 1 - Município'!C2:C500, 0), 0))="", "", INDEX('Form 1 - Município'!D2:D500, MATCH(B31&amp;C31, INDEX('Form 1 - Município'!B2:B500&amp;'Form 1 - Município'!C2:C500, 0), 0))), "")</f>
        <v/>
      </c>
      <c r="E31" s="44" t="inlineStr">
        <is>
          <t>Atrasado</t>
        </is>
      </c>
      <c r="F31" s="37" t="n"/>
      <c r="G31" s="47" t="inlineStr">
        <is>
          <t>Não</t>
        </is>
      </c>
      <c r="H31" s="37" t="n"/>
      <c r="I31" s="37" t="n"/>
      <c r="J31" s="37" t="inlineStr">
        <is>
          <t>Não</t>
        </is>
      </c>
      <c r="K31" s="37" t="n"/>
    </row>
    <row r="32">
      <c r="A32" s="36" t="inlineStr">
        <is>
          <t>Coripa</t>
        </is>
      </c>
      <c r="B32" s="37" t="inlineStr">
        <is>
          <t>Tapira</t>
        </is>
      </c>
      <c r="C32" s="37" t="n">
        <v>1</v>
      </c>
      <c r="D32" s="37">
        <f>IFERROR(IF(INDEX('Form 1 - Município'!D2:D500, MATCH(B32&amp;C32, INDEX('Form 1 - Município'!B2:B500&amp;'Form 1 - Município'!C2:C500, 0), 0))="", "", INDEX('Form 1 - Município'!D2:D500, MATCH(B32&amp;C32, INDEX('Form 1 - Município'!B2:B500&amp;'Form 1 - Município'!C2:C500, 0), 0))), "")</f>
        <v/>
      </c>
      <c r="E32" s="38" t="inlineStr">
        <is>
          <t>Enviado</t>
        </is>
      </c>
      <c r="F32" s="37" t="inlineStr">
        <is>
          <t>06/10/2025</t>
        </is>
      </c>
      <c r="G32" s="47" t="inlineStr">
        <is>
          <t>Não</t>
        </is>
      </c>
      <c r="H32" s="37" t="n"/>
      <c r="I32" s="37" t="n"/>
      <c r="J32" s="37" t="inlineStr">
        <is>
          <t>Não</t>
        </is>
      </c>
      <c r="K32" s="37" t="n"/>
    </row>
    <row r="33">
      <c r="A33" s="40" t="inlineStr">
        <is>
          <t>Cibax</t>
        </is>
      </c>
      <c r="B33" s="37" t="inlineStr">
        <is>
          <t>Umuarama</t>
        </is>
      </c>
      <c r="C33" s="37" t="n">
        <v>1</v>
      </c>
      <c r="D33" s="37">
        <f>IFERROR(IF(INDEX('Form 1 - Município'!D2:D500, MATCH(B33&amp;C33, INDEX('Form 1 - Município'!B2:B500&amp;'Form 1 - Município'!C2:C500, 0), 0))="", "", INDEX('Form 1 - Município'!D2:D500, MATCH(B33&amp;C33, INDEX('Form 1 - Município'!B2:B500&amp;'Form 1 - Município'!C2:C500, 0), 0))), "")</f>
        <v/>
      </c>
      <c r="E33" s="38" t="inlineStr">
        <is>
          <t>Enviado</t>
        </is>
      </c>
      <c r="F33" s="37" t="inlineStr">
        <is>
          <t>24/09/2025</t>
        </is>
      </c>
      <c r="G33" s="47" t="inlineStr">
        <is>
          <t>Não</t>
        </is>
      </c>
      <c r="H33" s="37" t="n"/>
      <c r="I33" s="37" t="n"/>
      <c r="J33" s="37" t="inlineStr">
        <is>
          <t>Não</t>
        </is>
      </c>
      <c r="K33" s="37" t="n"/>
    </row>
    <row r="34">
      <c r="A34" s="40" t="inlineStr">
        <is>
          <t>Cibax</t>
        </is>
      </c>
      <c r="B34" s="37" t="inlineStr">
        <is>
          <t>Xambre</t>
        </is>
      </c>
      <c r="C34" s="37" t="n">
        <v>1</v>
      </c>
      <c r="D34" s="37">
        <f>IFERROR(IF(INDEX('Form 1 - Município'!D2:D500, MATCH(B34&amp;C34, INDEX('Form 1 - Município'!B2:B500&amp;'Form 1 - Município'!C2:C500, 0), 0))="", "", INDEX('Form 1 - Município'!D2:D500, MATCH(B34&amp;C34, INDEX('Form 1 - Município'!B2:B500&amp;'Form 1 - Município'!C2:C500, 0), 0))), "")</f>
        <v/>
      </c>
      <c r="E34" s="38" t="inlineStr">
        <is>
          <t>Enviado</t>
        </is>
      </c>
      <c r="F34" s="37" t="inlineStr">
        <is>
          <t>25/09/2025</t>
        </is>
      </c>
      <c r="G34" s="47" t="inlineStr">
        <is>
          <t>Não</t>
        </is>
      </c>
      <c r="H34" s="37" t="n"/>
      <c r="I34" s="37" t="n"/>
      <c r="J34" s="37" t="inlineStr">
        <is>
          <t>Não</t>
        </is>
      </c>
      <c r="K34" s="37" t="n"/>
    </row>
    <row r="35">
      <c r="A35" s="45" t="inlineStr">
        <is>
          <t>Conisul</t>
        </is>
      </c>
      <c r="B35" s="37" t="inlineStr">
        <is>
          <t>Amambai</t>
        </is>
      </c>
      <c r="C35" s="37" t="n">
        <v>1</v>
      </c>
      <c r="D35" s="37">
        <f>IFERROR(IF(INDEX('Form 1 - Município'!D2:D500, MATCH(B35&amp;C35, INDEX('Form 1 - Município'!B2:B500&amp;'Form 1 - Município'!C2:C500, 0), 0))="", "", INDEX('Form 1 - Município'!D2:D500, MATCH(B35&amp;C35, INDEX('Form 1 - Município'!B2:B500&amp;'Form 1 - Município'!C2:C500, 0), 0))), "")</f>
        <v/>
      </c>
      <c r="E35" s="38" t="inlineStr">
        <is>
          <t>Enviado</t>
        </is>
      </c>
      <c r="F35" s="37" t="inlineStr">
        <is>
          <t>29/09/2025</t>
        </is>
      </c>
      <c r="G35" s="47" t="inlineStr">
        <is>
          <t>Não</t>
        </is>
      </c>
      <c r="H35" s="37" t="n"/>
      <c r="I35" s="37" t="n"/>
      <c r="J35" s="37" t="inlineStr">
        <is>
          <t>Não</t>
        </is>
      </c>
      <c r="K35" s="37" t="n"/>
    </row>
    <row r="36">
      <c r="A36" s="45" t="inlineStr">
        <is>
          <t>Conisul</t>
        </is>
      </c>
      <c r="B36" s="37" t="inlineStr">
        <is>
          <t>Aral Moreira</t>
        </is>
      </c>
      <c r="C36" s="37" t="n">
        <v>1</v>
      </c>
      <c r="D36" s="37">
        <f>IFERROR(IF(INDEX('Form 1 - Município'!D2:D500, MATCH(B36&amp;C36, INDEX('Form 1 - Município'!B2:B500&amp;'Form 1 - Município'!C2:C500, 0), 0))="", "", INDEX('Form 1 - Município'!D2:D500, MATCH(B36&amp;C36, INDEX('Form 1 - Município'!B2:B500&amp;'Form 1 - Município'!C2:C500, 0), 0))), "")</f>
        <v/>
      </c>
      <c r="E36" s="44" t="inlineStr">
        <is>
          <t>Atrasado</t>
        </is>
      </c>
      <c r="F36" s="37" t="n"/>
      <c r="G36" s="47" t="inlineStr">
        <is>
          <t>Não</t>
        </is>
      </c>
      <c r="H36" s="37" t="n"/>
      <c r="I36" s="37" t="n"/>
      <c r="J36" s="37" t="inlineStr">
        <is>
          <t>Não</t>
        </is>
      </c>
      <c r="K36" s="37" t="n"/>
    </row>
    <row r="37">
      <c r="A37" s="45" t="inlineStr">
        <is>
          <t>Conisul</t>
        </is>
      </c>
      <c r="B37" s="37" t="inlineStr">
        <is>
          <t>Caarapó</t>
        </is>
      </c>
      <c r="C37" s="37" t="n">
        <v>1</v>
      </c>
      <c r="D37" s="37">
        <f>IFERROR(IF(INDEX('Form 1 - Município'!D2:D500, MATCH(B37&amp;C37, INDEX('Form 1 - Município'!B2:B500&amp;'Form 1 - Município'!C2:C500, 0), 0))="", "", INDEX('Form 1 - Município'!D2:D500, MATCH(B37&amp;C37, INDEX('Form 1 - Município'!B2:B500&amp;'Form 1 - Município'!C2:C500, 0), 0))), "")</f>
        <v/>
      </c>
      <c r="E37" s="38" t="inlineStr">
        <is>
          <t>Enviado</t>
        </is>
      </c>
      <c r="F37" s="37" t="inlineStr">
        <is>
          <t>02/10/2025</t>
        </is>
      </c>
      <c r="G37" s="47" t="inlineStr">
        <is>
          <t>Não</t>
        </is>
      </c>
      <c r="H37" s="37" t="n"/>
      <c r="I37" s="37" t="n"/>
      <c r="J37" s="37" t="inlineStr">
        <is>
          <t>Não</t>
        </is>
      </c>
      <c r="K37" s="37" t="n"/>
    </row>
    <row r="38">
      <c r="A38" s="45" t="inlineStr">
        <is>
          <t>Conisul</t>
        </is>
      </c>
      <c r="B38" s="37" t="inlineStr">
        <is>
          <t>Coronel Sapucaia</t>
        </is>
      </c>
      <c r="C38" s="37" t="n">
        <v>1</v>
      </c>
      <c r="D38" s="37">
        <f>IFERROR(IF(INDEX('Form 1 - Município'!D2:D500, MATCH(B38&amp;C38, INDEX('Form 1 - Município'!B2:B500&amp;'Form 1 - Município'!C2:C500, 0), 0))="", "", INDEX('Form 1 - Município'!D2:D500, MATCH(B38&amp;C38, INDEX('Form 1 - Município'!B2:B500&amp;'Form 1 - Município'!C2:C500, 0), 0))), "")</f>
        <v/>
      </c>
      <c r="E38" s="44" t="inlineStr">
        <is>
          <t>Atrasado</t>
        </is>
      </c>
      <c r="F38" s="37" t="n"/>
      <c r="G38" s="47" t="inlineStr">
        <is>
          <t>Não</t>
        </is>
      </c>
      <c r="H38" s="37" t="n"/>
      <c r="I38" s="37" t="n"/>
      <c r="J38" s="37" t="inlineStr">
        <is>
          <t>Não</t>
        </is>
      </c>
      <c r="K38" s="37" t="n"/>
    </row>
    <row r="39">
      <c r="A39" s="45" t="inlineStr">
        <is>
          <t>Conisul</t>
        </is>
      </c>
      <c r="B39" s="37" t="inlineStr">
        <is>
          <t>Eldorado</t>
        </is>
      </c>
      <c r="C39" s="37" t="n">
        <v>1</v>
      </c>
      <c r="D39" s="37">
        <f>IFERROR(IF(INDEX('Form 1 - Município'!D2:D500, MATCH(B39&amp;C39, INDEX('Form 1 - Município'!B2:B500&amp;'Form 1 - Município'!C2:C500, 0), 0))="", "", INDEX('Form 1 - Município'!D2:D500, MATCH(B39&amp;C39, INDEX('Form 1 - Município'!B2:B500&amp;'Form 1 - Município'!C2:C500, 0), 0))), "")</f>
        <v/>
      </c>
      <c r="E39" s="38" t="inlineStr">
        <is>
          <t>Enviado</t>
        </is>
      </c>
      <c r="F39" s="37" t="inlineStr">
        <is>
          <t>22/09/2025</t>
        </is>
      </c>
      <c r="G39" s="47" t="inlineStr">
        <is>
          <t>Não</t>
        </is>
      </c>
      <c r="H39" s="37" t="n"/>
      <c r="I39" s="37" t="n"/>
      <c r="J39" s="37" t="inlineStr">
        <is>
          <t>Não</t>
        </is>
      </c>
      <c r="K39" s="37" t="n"/>
    </row>
    <row r="40">
      <c r="A40" s="45" t="inlineStr">
        <is>
          <t>Conisul</t>
        </is>
      </c>
      <c r="B40" s="37" t="inlineStr">
        <is>
          <t>Iguatemi</t>
        </is>
      </c>
      <c r="C40" s="37" t="n">
        <v>1</v>
      </c>
      <c r="D40" s="37">
        <f>IFERROR(IF(INDEX('Form 1 - Município'!D2:D500, MATCH(B40&amp;C40, INDEX('Form 1 - Município'!B2:B500&amp;'Form 1 - Município'!C2:C500, 0), 0))="", "", INDEX('Form 1 - Município'!D2:D500, MATCH(B40&amp;C40, INDEX('Form 1 - Município'!B2:B500&amp;'Form 1 - Município'!C2:C500, 0), 0))), "")</f>
        <v/>
      </c>
      <c r="E40" s="44" t="inlineStr">
        <is>
          <t>Atrasado</t>
        </is>
      </c>
      <c r="F40" s="37" t="n"/>
      <c r="G40" s="47" t="inlineStr">
        <is>
          <t>Não</t>
        </is>
      </c>
      <c r="H40" s="37" t="n"/>
      <c r="I40" s="37" t="n"/>
      <c r="J40" s="37" t="inlineStr">
        <is>
          <t>Não</t>
        </is>
      </c>
      <c r="K40" s="37" t="n"/>
    </row>
    <row r="41">
      <c r="A41" s="45" t="inlineStr">
        <is>
          <t>Conisul</t>
        </is>
      </c>
      <c r="B41" s="37" t="inlineStr">
        <is>
          <t>Itaquiraí</t>
        </is>
      </c>
      <c r="C41" s="37" t="n">
        <v>1</v>
      </c>
      <c r="D41" s="37">
        <f>IFERROR(IF(INDEX('Form 1 - Município'!D2:D500, MATCH(B41&amp;C41, INDEX('Form 1 - Município'!B2:B500&amp;'Form 1 - Município'!C2:C500, 0), 0))="", "", INDEX('Form 1 - Município'!D2:D500, MATCH(B41&amp;C41, INDEX('Form 1 - Município'!B2:B500&amp;'Form 1 - Município'!C2:C500, 0), 0))), "")</f>
        <v/>
      </c>
      <c r="E41" s="38" t="inlineStr">
        <is>
          <t>Enviado</t>
        </is>
      </c>
      <c r="F41" s="37" t="inlineStr">
        <is>
          <t>07/10/2025</t>
        </is>
      </c>
      <c r="G41" s="47" t="inlineStr">
        <is>
          <t>Não</t>
        </is>
      </c>
      <c r="H41" s="37" t="n"/>
      <c r="I41" s="37" t="n"/>
      <c r="J41" s="37" t="inlineStr">
        <is>
          <t>Não</t>
        </is>
      </c>
      <c r="K41" s="37" t="n"/>
    </row>
    <row r="42">
      <c r="A42" s="45" t="inlineStr">
        <is>
          <t>Conisul</t>
        </is>
      </c>
      <c r="B42" s="37" t="inlineStr">
        <is>
          <t>Japorã</t>
        </is>
      </c>
      <c r="C42" s="37" t="n">
        <v>1</v>
      </c>
      <c r="D42" s="37">
        <f>IFERROR(IF(INDEX('Form 1 - Município'!D2:D500, MATCH(B42&amp;C42, INDEX('Form 1 - Município'!B2:B500&amp;'Form 1 - Município'!C2:C500, 0), 0))="", "", INDEX('Form 1 - Município'!D2:D500, MATCH(B42&amp;C42, INDEX('Form 1 - Município'!B2:B500&amp;'Form 1 - Município'!C2:C500, 0), 0))), "")</f>
        <v/>
      </c>
      <c r="E42" s="46" t="inlineStr">
        <is>
          <t>Outras Ocorrências</t>
        </is>
      </c>
      <c r="F42" s="37" t="n"/>
      <c r="G42" s="47" t="inlineStr">
        <is>
          <t>Não</t>
        </is>
      </c>
      <c r="H42" s="37" t="inlineStr">
        <is>
          <t>Não tem UVR</t>
        </is>
      </c>
      <c r="I42" s="37" t="n"/>
      <c r="J42" s="37" t="inlineStr">
        <is>
          <t>Não</t>
        </is>
      </c>
      <c r="K42" s="37" t="n"/>
    </row>
    <row r="43">
      <c r="A43" s="45" t="inlineStr">
        <is>
          <t>Conisul</t>
        </is>
      </c>
      <c r="B43" s="37" t="inlineStr">
        <is>
          <t>Juti</t>
        </is>
      </c>
      <c r="C43" s="37" t="n">
        <v>1</v>
      </c>
      <c r="D43" s="37">
        <f>IFERROR(IF(INDEX('Form 1 - Município'!D2:D500, MATCH(B43&amp;C43, INDEX('Form 1 - Município'!B2:B500&amp;'Form 1 - Município'!C2:C500, 0), 0))="", "", INDEX('Form 1 - Município'!D2:D500, MATCH(B43&amp;C43, INDEX('Form 1 - Município'!B2:B500&amp;'Form 1 - Município'!C2:C500, 0), 0))), "")</f>
        <v/>
      </c>
      <c r="E43" s="38" t="inlineStr">
        <is>
          <t>Enviado</t>
        </is>
      </c>
      <c r="F43" s="37" t="inlineStr">
        <is>
          <t>16/09/2025</t>
        </is>
      </c>
      <c r="G43" s="47" t="inlineStr">
        <is>
          <t>Não</t>
        </is>
      </c>
      <c r="H43" s="37" t="n"/>
      <c r="I43" s="37" t="n"/>
      <c r="J43" s="37" t="inlineStr">
        <is>
          <t>Não</t>
        </is>
      </c>
      <c r="K43" s="37" t="n"/>
    </row>
    <row r="44">
      <c r="A44" s="45" t="inlineStr">
        <is>
          <t>Conisul</t>
        </is>
      </c>
      <c r="B44" s="37" t="inlineStr">
        <is>
          <t>Naviraí</t>
        </is>
      </c>
      <c r="C44" s="37" t="n">
        <v>1</v>
      </c>
      <c r="D44" s="37">
        <f>IFERROR(IF(INDEX('Form 1 - Município'!D2:D500, MATCH(B44&amp;C44, INDEX('Form 1 - Município'!B2:B500&amp;'Form 1 - Município'!C2:C500, 0), 0))="", "", INDEX('Form 1 - Município'!D2:D500, MATCH(B44&amp;C44, INDEX('Form 1 - Município'!B2:B500&amp;'Form 1 - Município'!C2:C500, 0), 0))), "")</f>
        <v/>
      </c>
      <c r="E44" s="38" t="inlineStr">
        <is>
          <t>Enviado</t>
        </is>
      </c>
      <c r="F44" s="37" t="inlineStr">
        <is>
          <t>24/09/2025</t>
        </is>
      </c>
      <c r="G44" s="47" t="inlineStr">
        <is>
          <t>Não</t>
        </is>
      </c>
      <c r="H44" s="37" t="n"/>
      <c r="I44" s="37" t="n"/>
      <c r="J44" s="37" t="inlineStr">
        <is>
          <t>Não</t>
        </is>
      </c>
      <c r="K44" s="37" t="n"/>
    </row>
    <row r="45">
      <c r="A45" s="45" t="inlineStr">
        <is>
          <t>Conisul</t>
        </is>
      </c>
      <c r="B45" s="37" t="inlineStr">
        <is>
          <t>Paranhos</t>
        </is>
      </c>
      <c r="C45" s="37" t="n">
        <v>1</v>
      </c>
      <c r="D45" s="37">
        <f>IFERROR(IF(INDEX('Form 1 - Município'!D2:D500, MATCH(B45&amp;C45, INDEX('Form 1 - Município'!B2:B500&amp;'Form 1 - Município'!C2:C500, 0), 0))="", "", INDEX('Form 1 - Município'!D2:D500, MATCH(B45&amp;C45, INDEX('Form 1 - Município'!B2:B500&amp;'Form 1 - Município'!C2:C500, 0), 0))), "")</f>
        <v/>
      </c>
      <c r="E45" s="38" t="inlineStr">
        <is>
          <t>Enviado</t>
        </is>
      </c>
      <c r="F45" s="37" t="inlineStr">
        <is>
          <t>16/09/2025</t>
        </is>
      </c>
      <c r="G45" s="47" t="inlineStr">
        <is>
          <t>Não</t>
        </is>
      </c>
      <c r="H45" s="37" t="n"/>
      <c r="I45" s="37" t="n"/>
      <c r="J45" s="37" t="inlineStr">
        <is>
          <t>Não</t>
        </is>
      </c>
      <c r="K45" s="37" t="n"/>
    </row>
    <row r="46">
      <c r="A46" s="45" t="inlineStr">
        <is>
          <t>Conisul</t>
        </is>
      </c>
      <c r="B46" s="37" t="inlineStr">
        <is>
          <t>Sete Quedas</t>
        </is>
      </c>
      <c r="C46" s="37" t="n">
        <v>1</v>
      </c>
      <c r="D46" s="37">
        <f>IFERROR(IF(INDEX('Form 1 - Município'!D2:D500, MATCH(B46&amp;C46, INDEX('Form 1 - Município'!B2:B500&amp;'Form 1 - Município'!C2:C500, 0), 0))="", "", INDEX('Form 1 - Município'!D2:D500, MATCH(B46&amp;C46, INDEX('Form 1 - Município'!B2:B500&amp;'Form 1 - Município'!C2:C500, 0), 0))), "")</f>
        <v/>
      </c>
      <c r="E46" s="42" t="inlineStr">
        <is>
          <t>Sem Técnico</t>
        </is>
      </c>
      <c r="F46" s="37" t="n"/>
      <c r="G46" s="47" t="inlineStr">
        <is>
          <t>Não</t>
        </is>
      </c>
      <c r="H46" s="37" t="n"/>
      <c r="I46" s="37" t="n"/>
      <c r="J46" s="37" t="inlineStr">
        <is>
          <t>Não</t>
        </is>
      </c>
      <c r="K46" s="37" t="n"/>
    </row>
    <row r="47">
      <c r="A47" s="45" t="inlineStr">
        <is>
          <t>Conisul</t>
        </is>
      </c>
      <c r="B47" s="37" t="inlineStr">
        <is>
          <t>Tacuru</t>
        </is>
      </c>
      <c r="C47" s="37" t="n">
        <v>1</v>
      </c>
      <c r="D47" s="37">
        <f>IFERROR(IF(INDEX('Form 1 - Município'!D2:D500, MATCH(B47&amp;C47, INDEX('Form 1 - Município'!B2:B500&amp;'Form 1 - Município'!C2:C500, 0), 0))="", "", INDEX('Form 1 - Município'!D2:D500, MATCH(B47&amp;C47, INDEX('Form 1 - Município'!B2:B500&amp;'Form 1 - Município'!C2:C500, 0), 0))), "")</f>
        <v/>
      </c>
      <c r="E47" s="38" t="inlineStr">
        <is>
          <t>Enviado</t>
        </is>
      </c>
      <c r="F47" s="37" t="inlineStr">
        <is>
          <t>11/09/2025</t>
        </is>
      </c>
      <c r="G47" s="47"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51" customWidth="1" min="6" max="6"/>
    <col width="27" customWidth="1" min="7" max="7"/>
    <col width="42"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f>IFERROR(IF(INDEX('Form 1 - Município'!D2:D500, MATCH(B2&amp;C2, INDEX('Form 1 - Município'!B2:B500&amp;'Form 1 - Município'!C2:C500, 0), 0))="", "", INDEX('Form 1 - Município'!D2:D500, MATCH(B2&amp;C2, INDEX('Form 1 - Município'!B2:B500&amp;'Form 1 - Município'!C2:C500, 0), 0))), "")</f>
        <v/>
      </c>
      <c r="E2" s="46" t="inlineStr">
        <is>
          <t>Outras Ocorrências</t>
        </is>
      </c>
      <c r="F2" s="37" t="n"/>
      <c r="G2" s="47" t="inlineStr">
        <is>
          <t>Não</t>
        </is>
      </c>
      <c r="H2" s="37" t="inlineStr">
        <is>
          <t>Município sem Estrutura ou Associação</t>
        </is>
      </c>
      <c r="I2" s="37" t="n"/>
      <c r="J2" s="37" t="inlineStr">
        <is>
          <t>Não</t>
        </is>
      </c>
      <c r="K2" s="37" t="n"/>
    </row>
    <row r="3">
      <c r="A3" s="40" t="inlineStr">
        <is>
          <t>Cibax</t>
        </is>
      </c>
      <c r="B3" s="37" t="inlineStr">
        <is>
          <t>Alto Piquiri</t>
        </is>
      </c>
      <c r="C3" s="37" t="n">
        <v>1</v>
      </c>
      <c r="D3" s="37">
        <f>IFERROR(IF(INDEX('Form 1 - Município'!D2:D500, MATCH(B3&amp;C3, INDEX('Form 1 - Município'!B2:B500&amp;'Form 1 - Município'!C2:C500, 0), 0))="", "", INDEX('Form 1 - Município'!D2:D500, MATCH(B3&amp;C3, INDEX('Form 1 - Município'!B2:B500&amp;'Form 1 - Município'!C2:C500, 0), 0))), "")</f>
        <v/>
      </c>
      <c r="E3" s="48" t="inlineStr">
        <is>
          <t>Duplicado</t>
        </is>
      </c>
      <c r="F3" s="37" t="inlineStr">
        <is>
          <t>13/10/2025, 24/11/2025</t>
        </is>
      </c>
      <c r="G3" s="47" t="inlineStr">
        <is>
          <t>Não</t>
        </is>
      </c>
      <c r="H3" s="37" t="n"/>
      <c r="I3" s="37" t="n"/>
      <c r="J3" s="37" t="inlineStr">
        <is>
          <t>Não</t>
        </is>
      </c>
      <c r="K3" s="37" t="n"/>
    </row>
    <row r="4">
      <c r="A4" s="41" t="inlineStr">
        <is>
          <t>Cifra</t>
        </is>
      </c>
      <c r="B4" s="37" t="inlineStr">
        <is>
          <t>Bela Vista da Caroba</t>
        </is>
      </c>
      <c r="C4" s="37" t="n">
        <v>1</v>
      </c>
      <c r="D4" s="37">
        <f>IFERROR(IF(INDEX('Form 1 - Município'!D2:D500, MATCH(B4&amp;C4, INDEX('Form 1 - Município'!B2:B500&amp;'Form 1 - Município'!C2:C500, 0), 0))="", "", INDEX('Form 1 - Município'!D2:D500, MATCH(B4&amp;C4, INDEX('Form 1 - Município'!B2:B500&amp;'Form 1 - Município'!C2:C500, 0), 0))), "")</f>
        <v/>
      </c>
      <c r="E4" s="42" t="inlineStr">
        <is>
          <t>Sem Técnico</t>
        </is>
      </c>
      <c r="F4" s="37" t="n"/>
      <c r="G4" s="47" t="inlineStr">
        <is>
          <t>Não</t>
        </is>
      </c>
      <c r="H4" s="37" t="n"/>
      <c r="I4" s="37" t="n"/>
      <c r="J4" s="37" t="inlineStr">
        <is>
          <t>Não</t>
        </is>
      </c>
      <c r="K4" s="37" t="n"/>
    </row>
    <row r="5">
      <c r="A5" s="40" t="inlineStr">
        <is>
          <t>Cibax</t>
        </is>
      </c>
      <c r="B5" s="37" t="inlineStr">
        <is>
          <t>Cafezal do Sul</t>
        </is>
      </c>
      <c r="C5" s="37" t="n">
        <v>1</v>
      </c>
      <c r="D5" s="37">
        <f>IFERROR(IF(INDEX('Form 1 - Município'!D2:D500, MATCH(B5&amp;C5, INDEX('Form 1 - Município'!B2:B500&amp;'Form 1 - Município'!C2:C500, 0), 0))="", "", INDEX('Form 1 - Município'!D2:D500, MATCH(B5&amp;C5, INDEX('Form 1 - Município'!B2:B500&amp;'Form 1 - Município'!C2:C500, 0), 0))), "")</f>
        <v/>
      </c>
      <c r="E5" s="38" t="inlineStr">
        <is>
          <t>Enviado</t>
        </is>
      </c>
      <c r="F5" s="37" t="inlineStr">
        <is>
          <t>18/09/2025</t>
        </is>
      </c>
      <c r="G5" s="49" t="inlineStr">
        <is>
          <t>Sim</t>
        </is>
      </c>
      <c r="H5" s="37" t="n"/>
      <c r="I5" s="37" t="inlineStr">
        <is>
          <t>ID201</t>
        </is>
      </c>
      <c r="J5" s="37" t="inlineStr">
        <is>
          <t>Sim</t>
        </is>
      </c>
      <c r="K5" s="37" t="inlineStr">
        <is>
          <t>Deletado 201</t>
        </is>
      </c>
    </row>
    <row r="6">
      <c r="A6" s="40" t="inlineStr">
        <is>
          <t>Cibax</t>
        </is>
      </c>
      <c r="B6" s="37" t="inlineStr">
        <is>
          <t>Cruzeiro do Oeste</t>
        </is>
      </c>
      <c r="C6" s="37" t="n">
        <v>1</v>
      </c>
      <c r="D6" s="37">
        <f>IFERROR(IF(INDEX('Form 1 - Município'!D2:D500, MATCH(B6&amp;C6, INDEX('Form 1 - Município'!B2:B500&amp;'Form 1 - Município'!C2:C500, 0), 0))="", "", INDEX('Form 1 - Município'!D2:D500, MATCH(B6&amp;C6, INDEX('Form 1 - Município'!B2:B500&amp;'Form 1 - Município'!C2:C500, 0), 0))), "")</f>
        <v/>
      </c>
      <c r="E6" s="38" t="inlineStr">
        <is>
          <t>Enviado</t>
        </is>
      </c>
      <c r="F6" s="37" t="inlineStr">
        <is>
          <t>01/10/2025</t>
        </is>
      </c>
      <c r="G6" s="47" t="inlineStr">
        <is>
          <t>Não</t>
        </is>
      </c>
      <c r="H6" s="37" t="n"/>
      <c r="I6" s="37" t="n"/>
      <c r="J6" s="37" t="inlineStr">
        <is>
          <t>Não</t>
        </is>
      </c>
      <c r="K6" s="37" t="n"/>
    </row>
    <row r="7">
      <c r="A7" s="43" t="inlineStr">
        <is>
          <t>Comafen</t>
        </is>
      </c>
      <c r="B7" s="37" t="inlineStr">
        <is>
          <t>Diamante do Norte</t>
        </is>
      </c>
      <c r="C7" s="37" t="n">
        <v>1</v>
      </c>
      <c r="D7" s="37">
        <f>IFERROR(IF(INDEX('Form 1 - Município'!D2:D500, MATCH(B7&amp;C7, INDEX('Form 1 - Município'!B2:B500&amp;'Form 1 - Município'!C2:C500, 0), 0))="", "", INDEX('Form 1 - Município'!D2:D500, MATCH(B7&amp;C7, INDEX('Form 1 - Município'!B2:B500&amp;'Form 1 - Município'!C2:C500, 0), 0))), "")</f>
        <v/>
      </c>
      <c r="E7" s="48" t="inlineStr">
        <is>
          <t>Duplicado</t>
        </is>
      </c>
      <c r="F7" s="37" t="inlineStr">
        <is>
          <t>13/11/2025, 13/11/2025, 13/11/2025, 13/11/2025</t>
        </is>
      </c>
      <c r="G7" s="47" t="inlineStr">
        <is>
          <t>Não</t>
        </is>
      </c>
      <c r="H7" s="37" t="n"/>
      <c r="I7" s="37" t="n"/>
      <c r="J7" s="37" t="inlineStr">
        <is>
          <t>Não</t>
        </is>
      </c>
      <c r="K7" s="37" t="n"/>
    </row>
    <row r="8">
      <c r="A8" s="36" t="inlineStr">
        <is>
          <t>Coripa</t>
        </is>
      </c>
      <c r="B8" s="37" t="inlineStr">
        <is>
          <t>Douradina</t>
        </is>
      </c>
      <c r="C8" s="37" t="n">
        <v>1</v>
      </c>
      <c r="D8" s="37">
        <f>IFERROR(IF(INDEX('Form 1 - Município'!D2:D500, MATCH(B8&amp;C8, INDEX('Form 1 - Município'!B2:B500&amp;'Form 1 - Município'!C2:C500, 0), 0))="", "", INDEX('Form 1 - Município'!D2:D500, MATCH(B8&amp;C8, INDEX('Form 1 - Município'!B2:B500&amp;'Form 1 - Município'!C2:C500, 0), 0))), "")</f>
        <v/>
      </c>
      <c r="E8" s="38" t="inlineStr">
        <is>
          <t>Enviado</t>
        </is>
      </c>
      <c r="F8" s="37" t="inlineStr">
        <is>
          <t>23/09/2025</t>
        </is>
      </c>
      <c r="G8" s="47" t="inlineStr">
        <is>
          <t>Não</t>
        </is>
      </c>
      <c r="H8" s="37" t="n"/>
      <c r="I8" s="37" t="n"/>
      <c r="J8" s="37" t="inlineStr">
        <is>
          <t>Não</t>
        </is>
      </c>
      <c r="K8" s="37" t="n"/>
    </row>
    <row r="9">
      <c r="A9" s="36" t="inlineStr">
        <is>
          <t>Coripa</t>
        </is>
      </c>
      <c r="B9" s="37" t="inlineStr">
        <is>
          <t>Esperança Nova</t>
        </is>
      </c>
      <c r="C9" s="37" t="n">
        <v>1</v>
      </c>
      <c r="D9" s="37">
        <f>IFERROR(IF(INDEX('Form 1 - Município'!D2:D500, MATCH(B9&amp;C9, INDEX('Form 1 - Município'!B2:B500&amp;'Form 1 - Município'!C2:C500, 0), 0))="", "", INDEX('Form 1 - Município'!D2:D500, MATCH(B9&amp;C9, INDEX('Form 1 - Município'!B2:B500&amp;'Form 1 - Município'!C2:C500, 0), 0))), "")</f>
        <v/>
      </c>
      <c r="E9" s="44" t="inlineStr">
        <is>
          <t>Atrasado</t>
        </is>
      </c>
      <c r="F9" s="37" t="n"/>
      <c r="G9" s="47" t="inlineStr">
        <is>
          <t>Não</t>
        </is>
      </c>
      <c r="H9" s="37" t="n"/>
      <c r="I9" s="37" t="n"/>
      <c r="J9" s="37" t="inlineStr">
        <is>
          <t>Não</t>
        </is>
      </c>
      <c r="K9" s="37" t="n"/>
    </row>
    <row r="10">
      <c r="A10" s="36" t="inlineStr">
        <is>
          <t>Coripa</t>
        </is>
      </c>
      <c r="B10" s="37" t="inlineStr">
        <is>
          <t>Icaraíma</t>
        </is>
      </c>
      <c r="C10" s="37" t="n">
        <v>1</v>
      </c>
      <c r="D10" s="37">
        <f>IFERROR(IF(INDEX('Form 1 - Município'!D2:D500, MATCH(B10&amp;C10, INDEX('Form 1 - Município'!B2:B500&amp;'Form 1 - Município'!C2:C500, 0), 0))="", "", INDEX('Form 1 - Município'!D2:D500, MATCH(B10&amp;C10, INDEX('Form 1 - Município'!B2:B500&amp;'Form 1 - Município'!C2:C500, 0), 0))), "")</f>
        <v/>
      </c>
      <c r="E10" s="38" t="inlineStr">
        <is>
          <t>Enviado</t>
        </is>
      </c>
      <c r="F10" s="37" t="inlineStr">
        <is>
          <t>10/11/2025</t>
        </is>
      </c>
      <c r="G10" s="47" t="inlineStr">
        <is>
          <t>Não</t>
        </is>
      </c>
      <c r="H10" s="37" t="n"/>
      <c r="I10" s="37" t="n"/>
      <c r="J10" s="37" t="inlineStr">
        <is>
          <t>Não</t>
        </is>
      </c>
      <c r="K10" s="37" t="n"/>
    </row>
    <row r="11">
      <c r="A11" s="40" t="inlineStr">
        <is>
          <t>Cibax</t>
        </is>
      </c>
      <c r="B11" s="37" t="inlineStr">
        <is>
          <t>Iporã</t>
        </is>
      </c>
      <c r="C11" s="37" t="n">
        <v>1</v>
      </c>
      <c r="D11" s="37">
        <f>IFERROR(IF(INDEX('Form 1 - Município'!D2:D500, MATCH(B11&amp;C11, INDEX('Form 1 - Município'!B2:B500&amp;'Form 1 - Município'!C2:C500, 0), 0))="", "", INDEX('Form 1 - Município'!D2:D500, MATCH(B11&amp;C11, INDEX('Form 1 - Município'!B2:B500&amp;'Form 1 - Município'!C2:C500, 0), 0))), "")</f>
        <v/>
      </c>
      <c r="E11" s="38" t="inlineStr">
        <is>
          <t>Enviado</t>
        </is>
      </c>
      <c r="F11" s="37" t="inlineStr">
        <is>
          <t>23/09/2025</t>
        </is>
      </c>
      <c r="G11" s="47" t="inlineStr">
        <is>
          <t>Não</t>
        </is>
      </c>
      <c r="H11" s="37" t="n"/>
      <c r="I11" s="37" t="n"/>
      <c r="J11" s="37" t="inlineStr">
        <is>
          <t>Não</t>
        </is>
      </c>
      <c r="K11" s="37" t="n"/>
    </row>
    <row r="12">
      <c r="A12" s="40" t="inlineStr">
        <is>
          <t>Cibax</t>
        </is>
      </c>
      <c r="B12" s="37" t="inlineStr">
        <is>
          <t>Ivaté</t>
        </is>
      </c>
      <c r="C12" s="37" t="n">
        <v>1</v>
      </c>
      <c r="D12" s="37">
        <f>IFERROR(IF(INDEX('Form 1 - Município'!D2:D500, MATCH(B12&amp;C12, INDEX('Form 1 - Município'!B2:B500&amp;'Form 1 - Município'!C2:C500, 0), 0))="", "", INDEX('Form 1 - Município'!D2:D500, MATCH(B12&amp;C12, INDEX('Form 1 - Município'!B2:B500&amp;'Form 1 - Município'!C2:C500, 0), 0))), "")</f>
        <v/>
      </c>
      <c r="E12" s="38" t="inlineStr">
        <is>
          <t>Enviado</t>
        </is>
      </c>
      <c r="F12" s="37" t="inlineStr">
        <is>
          <t>28/10/2025</t>
        </is>
      </c>
      <c r="G12" s="49" t="inlineStr">
        <is>
          <t>Sim</t>
        </is>
      </c>
      <c r="H12" s="37" t="n"/>
      <c r="I12" s="37" t="inlineStr">
        <is>
          <t xml:space="preserve">ID212 </t>
        </is>
      </c>
      <c r="J12" s="37" t="inlineStr">
        <is>
          <t>Sim</t>
        </is>
      </c>
      <c r="K12" s="37" t="inlineStr">
        <is>
          <t>Deletado 212</t>
        </is>
      </c>
    </row>
    <row r="13">
      <c r="A13" s="43" t="inlineStr">
        <is>
          <t>Comafen</t>
        </is>
      </c>
      <c r="B13" s="37" t="inlineStr">
        <is>
          <t>Itauna do Sul</t>
        </is>
      </c>
      <c r="C13" s="37" t="n">
        <v>1</v>
      </c>
      <c r="D13" s="37">
        <f>IFERROR(IF(INDEX('Form 1 - Município'!D2:D500, MATCH(B13&amp;C13, INDEX('Form 1 - Município'!B2:B500&amp;'Form 1 - Município'!C2:C500, 0), 0))="", "", INDEX('Form 1 - Município'!D2:D500, MATCH(B13&amp;C13, INDEX('Form 1 - Município'!B2:B500&amp;'Form 1 - Município'!C2:C500, 0), 0))), "")</f>
        <v/>
      </c>
      <c r="E13" s="44" t="inlineStr">
        <is>
          <t>Atrasado</t>
        </is>
      </c>
      <c r="F13" s="37" t="n"/>
      <c r="G13" s="47" t="inlineStr">
        <is>
          <t>Não</t>
        </is>
      </c>
      <c r="H13" s="37" t="n"/>
      <c r="I13" s="37" t="n"/>
      <c r="J13" s="37" t="inlineStr">
        <is>
          <t>Não</t>
        </is>
      </c>
      <c r="K13" s="37" t="n"/>
    </row>
    <row r="14">
      <c r="A14" s="43" t="inlineStr">
        <is>
          <t>Comafen</t>
        </is>
      </c>
      <c r="B14" s="37" t="inlineStr">
        <is>
          <t>Loanda</t>
        </is>
      </c>
      <c r="C14" s="37" t="n">
        <v>1</v>
      </c>
      <c r="D14" s="37">
        <f>IFERROR(IF(INDEX('Form 1 - Município'!D2:D500, MATCH(B14&amp;C14, INDEX('Form 1 - Município'!B2:B500&amp;'Form 1 - Município'!C2:C500, 0), 0))="", "", INDEX('Form 1 - Município'!D2:D500, MATCH(B14&amp;C14, INDEX('Form 1 - Município'!B2:B500&amp;'Form 1 - Município'!C2:C500, 0), 0))), "")</f>
        <v/>
      </c>
      <c r="E14" s="38" t="inlineStr">
        <is>
          <t>Enviado</t>
        </is>
      </c>
      <c r="F14" s="37" t="inlineStr">
        <is>
          <t>08/10/2025</t>
        </is>
      </c>
      <c r="G14" s="47" t="inlineStr">
        <is>
          <t>Não</t>
        </is>
      </c>
      <c r="H14" s="37" t="n"/>
      <c r="I14" s="37" t="n"/>
      <c r="J14" s="37" t="inlineStr">
        <is>
          <t>Não</t>
        </is>
      </c>
      <c r="K14" s="37" t="n"/>
    </row>
    <row r="15">
      <c r="A15" s="36" t="inlineStr">
        <is>
          <t>Coripa</t>
        </is>
      </c>
      <c r="B15" s="37" t="inlineStr">
        <is>
          <t>Maria Helena</t>
        </is>
      </c>
      <c r="C15" s="37" t="n">
        <v>1</v>
      </c>
      <c r="D15" s="37">
        <f>IFERROR(IF(INDEX('Form 1 - Município'!D2:D500, MATCH(B15&amp;C15, INDEX('Form 1 - Município'!B2:B500&amp;'Form 1 - Município'!C2:C500, 0), 0))="", "", INDEX('Form 1 - Município'!D2:D500, MATCH(B15&amp;C15, INDEX('Form 1 - Município'!B2:B500&amp;'Form 1 - Município'!C2:C500, 0), 0))), "")</f>
        <v/>
      </c>
      <c r="E15" s="38" t="inlineStr">
        <is>
          <t>Enviado</t>
        </is>
      </c>
      <c r="F15" s="37" t="inlineStr">
        <is>
          <t>01/10/2025</t>
        </is>
      </c>
      <c r="G15" s="47" t="inlineStr">
        <is>
          <t>Não</t>
        </is>
      </c>
      <c r="H15" s="37" t="n"/>
      <c r="I15" s="37" t="n"/>
      <c r="J15" s="37" t="inlineStr">
        <is>
          <t>Não</t>
        </is>
      </c>
      <c r="K15" s="37" t="n"/>
    </row>
    <row r="16">
      <c r="A16" s="43" t="inlineStr">
        <is>
          <t>Comafen</t>
        </is>
      </c>
      <c r="B16" s="37" t="inlineStr">
        <is>
          <t>Marilena</t>
        </is>
      </c>
      <c r="C16" s="37" t="n">
        <v>1</v>
      </c>
      <c r="D16" s="37">
        <f>IFERROR(IF(INDEX('Form 1 - Município'!D2:D500, MATCH(B16&amp;C16, INDEX('Form 1 - Município'!B2:B500&amp;'Form 1 - Município'!C2:C500, 0), 0))="", "", INDEX('Form 1 - Município'!D2:D500, MATCH(B16&amp;C16, INDEX('Form 1 - Município'!B2:B500&amp;'Form 1 - Município'!C2:C500, 0), 0))), "")</f>
        <v/>
      </c>
      <c r="E16" s="44" t="inlineStr">
        <is>
          <t>Atrasado</t>
        </is>
      </c>
      <c r="F16" s="37" t="n"/>
      <c r="G16" s="47" t="inlineStr">
        <is>
          <t>Não</t>
        </is>
      </c>
      <c r="H16" s="37" t="n"/>
      <c r="I16" s="37" t="n"/>
      <c r="J16" s="37" t="inlineStr">
        <is>
          <t>Não</t>
        </is>
      </c>
      <c r="K16" s="37" t="n"/>
    </row>
    <row r="17">
      <c r="A17" s="40" t="inlineStr">
        <is>
          <t>Cibax</t>
        </is>
      </c>
      <c r="B17" s="37" t="inlineStr">
        <is>
          <t>Mariluz</t>
        </is>
      </c>
      <c r="C17" s="37" t="n">
        <v>1</v>
      </c>
      <c r="D17" s="37">
        <f>IFERROR(IF(INDEX('Form 1 - Município'!D2:D500, MATCH(B17&amp;C17, INDEX('Form 1 - Município'!B2:B500&amp;'Form 1 - Município'!C2:C500, 0), 0))="", "", INDEX('Form 1 - Município'!D2:D500, MATCH(B17&amp;C17, INDEX('Form 1 - Município'!B2:B500&amp;'Form 1 - Município'!C2:C500, 0), 0))), "")</f>
        <v/>
      </c>
      <c r="E17" s="38" t="inlineStr">
        <is>
          <t>Enviado</t>
        </is>
      </c>
      <c r="F17" s="37" t="inlineStr">
        <is>
          <t>25/09/2025</t>
        </is>
      </c>
      <c r="G17" s="47" t="inlineStr">
        <is>
          <t>Não</t>
        </is>
      </c>
      <c r="H17" s="37" t="n"/>
      <c r="I17" s="37" t="n"/>
      <c r="J17" s="37" t="inlineStr">
        <is>
          <t>Não</t>
        </is>
      </c>
      <c r="K17" s="37" t="n"/>
    </row>
    <row r="18">
      <c r="A18" s="43" t="inlineStr">
        <is>
          <t>Comafen</t>
        </is>
      </c>
      <c r="B18" s="37" t="inlineStr">
        <is>
          <t>Nova Londrina</t>
        </is>
      </c>
      <c r="C18" s="37" t="n">
        <v>1</v>
      </c>
      <c r="D18" s="37">
        <f>IFERROR(IF(INDEX('Form 1 - Município'!D2:D500, MATCH(B18&amp;C18, INDEX('Form 1 - Município'!B2:B500&amp;'Form 1 - Município'!C2:C500, 0), 0))="", "", INDEX('Form 1 - Município'!D2:D500, MATCH(B18&amp;C18, INDEX('Form 1 - Município'!B2:B500&amp;'Form 1 - Município'!C2:C500, 0), 0))), "")</f>
        <v/>
      </c>
      <c r="E18" s="48" t="inlineStr">
        <is>
          <t>Duplicado</t>
        </is>
      </c>
      <c r="F18" s="37" t="inlineStr">
        <is>
          <t>03/10/2025, 28/10/2025</t>
        </is>
      </c>
      <c r="G18" s="47" t="inlineStr">
        <is>
          <t>Não</t>
        </is>
      </c>
      <c r="H18" s="37" t="n"/>
      <c r="I18" s="37" t="n"/>
      <c r="J18" s="37" t="inlineStr">
        <is>
          <t>Não</t>
        </is>
      </c>
      <c r="K18" s="37" t="n"/>
    </row>
    <row r="19">
      <c r="A19" s="36" t="inlineStr">
        <is>
          <t>Coripa</t>
        </is>
      </c>
      <c r="B19" s="37" t="inlineStr">
        <is>
          <t>Nova Olimpia</t>
        </is>
      </c>
      <c r="C19" s="37" t="n">
        <v>1</v>
      </c>
      <c r="D19" s="37">
        <f>IFERROR(IF(INDEX('Form 1 - Município'!D2:D500, MATCH(B19&amp;C19, INDEX('Form 1 - Município'!B2:B500&amp;'Form 1 - Município'!C2:C500, 0), 0))="", "", INDEX('Form 1 - Município'!D2:D500, MATCH(B19&amp;C19, INDEX('Form 1 - Município'!B2:B500&amp;'Form 1 - Município'!C2:C500, 0), 0))), "")</f>
        <v/>
      </c>
      <c r="E19" s="38" t="inlineStr">
        <is>
          <t>Enviado</t>
        </is>
      </c>
      <c r="F19" s="37" t="inlineStr">
        <is>
          <t>19/09/2025</t>
        </is>
      </c>
      <c r="G19" s="47" t="inlineStr">
        <is>
          <t>Não</t>
        </is>
      </c>
      <c r="H19" s="37" t="n"/>
      <c r="I19" s="37" t="n"/>
      <c r="J19" s="37" t="inlineStr">
        <is>
          <t>Não</t>
        </is>
      </c>
      <c r="K19" s="37" t="n"/>
    </row>
    <row r="20">
      <c r="A20" s="40" t="inlineStr">
        <is>
          <t>Cibax</t>
        </is>
      </c>
      <c r="B20" s="37" t="inlineStr">
        <is>
          <t>Perobal</t>
        </is>
      </c>
      <c r="C20" s="37" t="n">
        <v>1</v>
      </c>
      <c r="D20" s="37">
        <f>IFERROR(IF(INDEX('Form 1 - Município'!D2:D500, MATCH(B20&amp;C20, INDEX('Form 1 - Município'!B2:B500&amp;'Form 1 - Município'!C2:C500, 0), 0))="", "", INDEX('Form 1 - Município'!D2:D500, MATCH(B20&amp;C20, INDEX('Form 1 - Município'!B2:B500&amp;'Form 1 - Município'!C2:C500, 0), 0))), "")</f>
        <v/>
      </c>
      <c r="E20" s="46" t="inlineStr">
        <is>
          <t>Outras Ocorrências</t>
        </is>
      </c>
      <c r="F20" s="37" t="n"/>
      <c r="G20" s="47" t="inlineStr">
        <is>
          <t>Não</t>
        </is>
      </c>
      <c r="H20" s="37" t="inlineStr">
        <is>
          <t>Município sem Estrutura ou Associação</t>
        </is>
      </c>
      <c r="I20" s="37" t="n"/>
      <c r="J20" s="37" t="inlineStr">
        <is>
          <t>Não</t>
        </is>
      </c>
      <c r="K20" s="37" t="n"/>
    </row>
    <row r="21">
      <c r="A21" s="40" t="inlineStr">
        <is>
          <t>Cibax</t>
        </is>
      </c>
      <c r="B21" s="37" t="inlineStr">
        <is>
          <t>Pérola</t>
        </is>
      </c>
      <c r="C21" s="37" t="n">
        <v>1</v>
      </c>
      <c r="D21" s="37">
        <f>IFERROR(IF(INDEX('Form 1 - Município'!D2:D500, MATCH(B21&amp;C21, INDEX('Form 1 - Município'!B2:B500&amp;'Form 1 - Município'!C2:C500, 0), 0))="", "", INDEX('Form 1 - Município'!D2:D500, MATCH(B21&amp;C21, INDEX('Form 1 - Município'!B2:B500&amp;'Form 1 - Município'!C2:C500, 0), 0))), "")</f>
        <v/>
      </c>
      <c r="E21" s="38" t="inlineStr">
        <is>
          <t>Enviado</t>
        </is>
      </c>
      <c r="F21" s="37" t="inlineStr">
        <is>
          <t>03/10/2025</t>
        </is>
      </c>
      <c r="G21" s="47" t="inlineStr">
        <is>
          <t>Não</t>
        </is>
      </c>
      <c r="H21" s="37" t="n"/>
      <c r="I21" s="37" t="n"/>
      <c r="J21" s="37" t="inlineStr">
        <is>
          <t>Não</t>
        </is>
      </c>
      <c r="K21" s="37" t="n"/>
    </row>
    <row r="22">
      <c r="A22" s="41" t="inlineStr">
        <is>
          <t>Cifra</t>
        </is>
      </c>
      <c r="B22" s="37" t="inlineStr">
        <is>
          <t>Perola d'Oeste</t>
        </is>
      </c>
      <c r="C22" s="37" t="n">
        <v>1</v>
      </c>
      <c r="D22" s="37">
        <f>IFERROR(IF(INDEX('Form 1 - Município'!D2:D500, MATCH(B22&amp;C22, INDEX('Form 1 - Município'!B2:B500&amp;'Form 1 - Município'!C2:C500, 0), 0))="", "", INDEX('Form 1 - Município'!D2:D500, MATCH(B22&amp;C22, INDEX('Form 1 - Município'!B2:B500&amp;'Form 1 - Município'!C2:C500, 0), 0))), "")</f>
        <v/>
      </c>
      <c r="E22" s="42" t="inlineStr">
        <is>
          <t>Sem Técnico</t>
        </is>
      </c>
      <c r="F22" s="37" t="n"/>
      <c r="G22" s="47" t="inlineStr">
        <is>
          <t>Não</t>
        </is>
      </c>
      <c r="H22" s="37" t="n"/>
      <c r="I22" s="37" t="n"/>
      <c r="J22" s="37" t="inlineStr">
        <is>
          <t>Não</t>
        </is>
      </c>
      <c r="K22" s="37" t="n"/>
    </row>
    <row r="23">
      <c r="A23" s="43" t="inlineStr">
        <is>
          <t>Comafen</t>
        </is>
      </c>
      <c r="B23" s="37" t="inlineStr">
        <is>
          <t>Planaltina do Paraná</t>
        </is>
      </c>
      <c r="C23" s="37" t="n">
        <v>1</v>
      </c>
      <c r="D23" s="37">
        <f>IFERROR(IF(INDEX('Form 1 - Município'!D2:D500, MATCH(B23&amp;C23, INDEX('Form 1 - Município'!B2:B500&amp;'Form 1 - Município'!C2:C500, 0), 0))="", "", INDEX('Form 1 - Município'!D2:D500, MATCH(B23&amp;C23, INDEX('Form 1 - Município'!B2:B500&amp;'Form 1 - Município'!C2:C500, 0), 0))), "")</f>
        <v/>
      </c>
      <c r="E23" s="44" t="inlineStr">
        <is>
          <t>Atrasado</t>
        </is>
      </c>
      <c r="F23" s="37" t="n"/>
      <c r="G23" s="47" t="inlineStr">
        <is>
          <t>Não</t>
        </is>
      </c>
      <c r="H23" s="37" t="n"/>
      <c r="I23" s="37" t="n"/>
      <c r="J23" s="37" t="inlineStr">
        <is>
          <t>Não</t>
        </is>
      </c>
      <c r="K23" s="37" t="n"/>
    </row>
    <row r="24">
      <c r="A24" s="41" t="inlineStr">
        <is>
          <t>Cifra</t>
        </is>
      </c>
      <c r="B24" s="37" t="inlineStr">
        <is>
          <t>Planalto</t>
        </is>
      </c>
      <c r="C24" s="37" t="n">
        <v>1</v>
      </c>
      <c r="D24" s="37">
        <f>IFERROR(IF(INDEX('Form 1 - Município'!D2:D500, MATCH(B24&amp;C24, INDEX('Form 1 - Município'!B2:B500&amp;'Form 1 - Município'!C2:C500, 0), 0))="", "", INDEX('Form 1 - Município'!D2:D500, MATCH(B24&amp;C24, INDEX('Form 1 - Município'!B2:B500&amp;'Form 1 - Município'!C2:C500, 0), 0))), "")</f>
        <v/>
      </c>
      <c r="E24" s="42" t="inlineStr">
        <is>
          <t>Sem Técnico</t>
        </is>
      </c>
      <c r="F24" s="37" t="n"/>
      <c r="G24" s="47" t="inlineStr">
        <is>
          <t>Não</t>
        </is>
      </c>
      <c r="H24" s="37" t="n"/>
      <c r="I24" s="37" t="n"/>
      <c r="J24" s="37" t="inlineStr">
        <is>
          <t>Não</t>
        </is>
      </c>
      <c r="K24" s="37" t="n"/>
    </row>
    <row r="25">
      <c r="A25" s="43" t="inlineStr">
        <is>
          <t>Comafen</t>
        </is>
      </c>
      <c r="B25" s="37" t="inlineStr">
        <is>
          <t>Porto Rico</t>
        </is>
      </c>
      <c r="C25" s="37" t="n">
        <v>1</v>
      </c>
      <c r="D25" s="37">
        <f>IFERROR(IF(INDEX('Form 1 - Município'!D2:D500, MATCH(B25&amp;C25, INDEX('Form 1 - Município'!B2:B500&amp;'Form 1 - Município'!C2:C500, 0), 0))="", "", INDEX('Form 1 - Município'!D2:D500, MATCH(B25&amp;C25, INDEX('Form 1 - Município'!B2:B500&amp;'Form 1 - Município'!C2:C500, 0), 0))), "")</f>
        <v/>
      </c>
      <c r="E25" s="38" t="inlineStr">
        <is>
          <t>Enviado</t>
        </is>
      </c>
      <c r="F25" s="37" t="inlineStr">
        <is>
          <t>03/10/2025</t>
        </is>
      </c>
      <c r="G25" s="47" t="inlineStr">
        <is>
          <t>Não</t>
        </is>
      </c>
      <c r="H25" s="37" t="n"/>
      <c r="I25" s="37" t="n"/>
      <c r="J25" s="37" t="inlineStr">
        <is>
          <t>Não</t>
        </is>
      </c>
      <c r="K25" s="37" t="n"/>
    </row>
    <row r="26">
      <c r="A26" s="43" t="inlineStr">
        <is>
          <t>Comafen</t>
        </is>
      </c>
      <c r="B26" s="37" t="inlineStr">
        <is>
          <t>Querencia do Norte</t>
        </is>
      </c>
      <c r="C26" s="37" t="n">
        <v>1</v>
      </c>
      <c r="D26" s="37">
        <f>IFERROR(IF(INDEX('Form 1 - Município'!D2:D500, MATCH(B26&amp;C26, INDEX('Form 1 - Município'!B2:B500&amp;'Form 1 - Município'!C2:C500, 0), 0))="", "", INDEX('Form 1 - Município'!D2:D500, MATCH(B26&amp;C26, INDEX('Form 1 - Município'!B2:B500&amp;'Form 1 - Município'!C2:C500, 0), 0))), "")</f>
        <v/>
      </c>
      <c r="E26" s="44" t="inlineStr">
        <is>
          <t>Atrasado</t>
        </is>
      </c>
      <c r="F26" s="37" t="n"/>
      <c r="G26" s="47" t="inlineStr">
        <is>
          <t>Não</t>
        </is>
      </c>
      <c r="H26" s="37" t="n"/>
      <c r="I26" s="37" t="n"/>
      <c r="J26" s="37" t="inlineStr">
        <is>
          <t>Não</t>
        </is>
      </c>
      <c r="K26" s="37" t="n"/>
    </row>
    <row r="27">
      <c r="A27" s="43" t="inlineStr">
        <is>
          <t>Comafen</t>
        </is>
      </c>
      <c r="B27" s="37" t="inlineStr">
        <is>
          <t>Santa Cruz de Monte Castelo</t>
        </is>
      </c>
      <c r="C27" s="37" t="n">
        <v>1</v>
      </c>
      <c r="D27" s="37">
        <f>IFERROR(IF(INDEX('Form 1 - Município'!D2:D500, MATCH(B27&amp;C27, INDEX('Form 1 - Município'!B2:B500&amp;'Form 1 - Município'!C2:C500, 0), 0))="", "", INDEX('Form 1 - Município'!D2:D500, MATCH(B27&amp;C27, INDEX('Form 1 - Município'!B2:B500&amp;'Form 1 - Município'!C2:C500, 0), 0))), "")</f>
        <v/>
      </c>
      <c r="E27" s="38" t="inlineStr">
        <is>
          <t>Enviado</t>
        </is>
      </c>
      <c r="F27" s="37" t="inlineStr">
        <is>
          <t>01/10/2025</t>
        </is>
      </c>
      <c r="G27" s="47" t="inlineStr">
        <is>
          <t>Não</t>
        </is>
      </c>
      <c r="H27" s="37" t="n"/>
      <c r="I27" s="37" t="n"/>
      <c r="J27" s="37" t="inlineStr">
        <is>
          <t>Não</t>
        </is>
      </c>
      <c r="K27" s="37" t="n"/>
    </row>
    <row r="28">
      <c r="A28" s="43" t="inlineStr">
        <is>
          <t>Comafen</t>
        </is>
      </c>
      <c r="B28" s="37" t="inlineStr">
        <is>
          <t>Santa Isabel do Ivai</t>
        </is>
      </c>
      <c r="C28" s="37" t="n">
        <v>1</v>
      </c>
      <c r="D28" s="37">
        <f>IFERROR(IF(INDEX('Form 1 - Município'!D2:D500, MATCH(B28&amp;C28, INDEX('Form 1 - Município'!B2:B500&amp;'Form 1 - Município'!C2:C500, 0), 0))="", "", INDEX('Form 1 - Município'!D2:D500, MATCH(B28&amp;C28, INDEX('Form 1 - Município'!B2:B500&amp;'Form 1 - Município'!C2:C500, 0), 0))), "")</f>
        <v/>
      </c>
      <c r="E28" s="38" t="inlineStr">
        <is>
          <t>Enviado</t>
        </is>
      </c>
      <c r="F28" s="37" t="inlineStr">
        <is>
          <t>26/09/2025</t>
        </is>
      </c>
      <c r="G28" s="47" t="inlineStr">
        <is>
          <t>Não</t>
        </is>
      </c>
      <c r="H28" s="37" t="n"/>
      <c r="I28" s="37" t="n"/>
      <c r="J28" s="37" t="inlineStr">
        <is>
          <t>Não</t>
        </is>
      </c>
      <c r="K28" s="37" t="n"/>
    </row>
    <row r="29">
      <c r="A29" s="41" t="inlineStr">
        <is>
          <t>Cifra</t>
        </is>
      </c>
      <c r="B29" s="37" t="inlineStr">
        <is>
          <t>Santo Antonio do Sudoeste</t>
        </is>
      </c>
      <c r="C29" s="37" t="n">
        <v>1</v>
      </c>
      <c r="D29" s="37">
        <f>IFERROR(IF(INDEX('Form 1 - Município'!D2:D500, MATCH(B29&amp;C29, INDEX('Form 1 - Município'!B2:B500&amp;'Form 1 - Município'!C2:C500, 0), 0))="", "", INDEX('Form 1 - Município'!D2:D500, MATCH(B29&amp;C29, INDEX('Form 1 - Município'!B2:B500&amp;'Form 1 - Município'!C2:C500, 0), 0))), "")</f>
        <v/>
      </c>
      <c r="E29" s="42" t="inlineStr">
        <is>
          <t>Sem Técnico</t>
        </is>
      </c>
      <c r="F29" s="37" t="n"/>
      <c r="G29" s="47" t="inlineStr">
        <is>
          <t>Não</t>
        </is>
      </c>
      <c r="H29" s="37" t="n"/>
      <c r="I29" s="37" t="n"/>
      <c r="J29" s="37" t="inlineStr">
        <is>
          <t>Não</t>
        </is>
      </c>
      <c r="K29" s="37" t="n"/>
    </row>
    <row r="30">
      <c r="A30" s="36" t="inlineStr">
        <is>
          <t>Coripa</t>
        </is>
      </c>
      <c r="B30" s="37" t="inlineStr">
        <is>
          <t>São Jorge do Patrocinio</t>
        </is>
      </c>
      <c r="C30" s="37" t="n">
        <v>1</v>
      </c>
      <c r="D30" s="37">
        <f>IFERROR(IF(INDEX('Form 1 - Município'!D2:D500, MATCH(B30&amp;C30, INDEX('Form 1 - Município'!B2:B500&amp;'Form 1 - Município'!C2:C500, 0), 0))="", "", INDEX('Form 1 - Município'!D2:D500, MATCH(B30&amp;C30, INDEX('Form 1 - Município'!B2:B500&amp;'Form 1 - Município'!C2:C500, 0), 0))), "")</f>
        <v/>
      </c>
      <c r="E30" s="44" t="inlineStr">
        <is>
          <t>Atrasado</t>
        </is>
      </c>
      <c r="F30" s="37" t="n"/>
      <c r="G30" s="47" t="inlineStr">
        <is>
          <t>Não</t>
        </is>
      </c>
      <c r="H30" s="37" t="n"/>
      <c r="I30" s="37" t="n"/>
      <c r="J30" s="37" t="inlineStr">
        <is>
          <t>Não</t>
        </is>
      </c>
      <c r="K30" s="37" t="n"/>
    </row>
    <row r="31">
      <c r="A31" s="43" t="inlineStr">
        <is>
          <t>Comafen</t>
        </is>
      </c>
      <c r="B31" s="37" t="inlineStr">
        <is>
          <t>São Pedro do Paraná</t>
        </is>
      </c>
      <c r="C31" s="37" t="n">
        <v>1</v>
      </c>
      <c r="D31" s="37">
        <f>IFERROR(IF(INDEX('Form 1 - Município'!D2:D500, MATCH(B31&amp;C31, INDEX('Form 1 - Município'!B2:B500&amp;'Form 1 - Município'!C2:C500, 0), 0))="", "", INDEX('Form 1 - Município'!D2:D500, MATCH(B31&amp;C31, INDEX('Form 1 - Município'!B2:B500&amp;'Form 1 - Município'!C2:C500, 0), 0))), "")</f>
        <v/>
      </c>
      <c r="E31" s="44" t="inlineStr">
        <is>
          <t>Atrasado</t>
        </is>
      </c>
      <c r="F31" s="37" t="n"/>
      <c r="G31" s="47" t="inlineStr">
        <is>
          <t>Não</t>
        </is>
      </c>
      <c r="H31" s="37" t="n"/>
      <c r="I31" s="37" t="n"/>
      <c r="J31" s="37" t="inlineStr">
        <is>
          <t>Não</t>
        </is>
      </c>
      <c r="K31" s="37" t="n"/>
    </row>
    <row r="32">
      <c r="A32" s="36" t="inlineStr">
        <is>
          <t>Coripa</t>
        </is>
      </c>
      <c r="B32" s="37" t="inlineStr">
        <is>
          <t>Tapira</t>
        </is>
      </c>
      <c r="C32" s="37" t="n">
        <v>1</v>
      </c>
      <c r="D32" s="37">
        <f>IFERROR(IF(INDEX('Form 1 - Município'!D2:D500, MATCH(B32&amp;C32, INDEX('Form 1 - Município'!B2:B500&amp;'Form 1 - Município'!C2:C500, 0), 0))="", "", INDEX('Form 1 - Município'!D2:D500, MATCH(B32&amp;C32, INDEX('Form 1 - Município'!B2:B500&amp;'Form 1 - Município'!C2:C500, 0), 0))), "")</f>
        <v/>
      </c>
      <c r="E32" s="38" t="inlineStr">
        <is>
          <t>Enviado</t>
        </is>
      </c>
      <c r="F32" s="37" t="inlineStr">
        <is>
          <t>06/10/2025</t>
        </is>
      </c>
      <c r="G32" s="47" t="inlineStr">
        <is>
          <t>Não</t>
        </is>
      </c>
      <c r="H32" s="37" t="n"/>
      <c r="I32" s="37" t="n"/>
      <c r="J32" s="37" t="inlineStr">
        <is>
          <t>Não</t>
        </is>
      </c>
      <c r="K32" s="37" t="n"/>
    </row>
    <row r="33">
      <c r="A33" s="40" t="inlineStr">
        <is>
          <t>Cibax</t>
        </is>
      </c>
      <c r="B33" s="37" t="inlineStr">
        <is>
          <t>Umuarama</t>
        </is>
      </c>
      <c r="C33" s="37" t="n">
        <v>1</v>
      </c>
      <c r="D33" s="37">
        <f>IFERROR(IF(INDEX('Form 1 - Município'!D2:D500, MATCH(B33&amp;C33, INDEX('Form 1 - Município'!B2:B500&amp;'Form 1 - Município'!C2:C500, 0), 0))="", "", INDEX('Form 1 - Município'!D2:D500, MATCH(B33&amp;C33, INDEX('Form 1 - Município'!B2:B500&amp;'Form 1 - Município'!C2:C500, 0), 0))), "")</f>
        <v/>
      </c>
      <c r="E33" s="38" t="inlineStr">
        <is>
          <t>Enviado</t>
        </is>
      </c>
      <c r="F33" s="37" t="inlineStr">
        <is>
          <t>24/09/2025</t>
        </is>
      </c>
      <c r="G33" s="47" t="inlineStr">
        <is>
          <t>Não</t>
        </is>
      </c>
      <c r="H33" s="37" t="n"/>
      <c r="I33" s="37" t="n"/>
      <c r="J33" s="37" t="inlineStr">
        <is>
          <t>Não</t>
        </is>
      </c>
      <c r="K33" s="37" t="n"/>
    </row>
    <row r="34">
      <c r="A34" s="40" t="inlineStr">
        <is>
          <t>Cibax</t>
        </is>
      </c>
      <c r="B34" s="37" t="inlineStr">
        <is>
          <t>Xambre</t>
        </is>
      </c>
      <c r="C34" s="37" t="n">
        <v>1</v>
      </c>
      <c r="D34" s="37">
        <f>IFERROR(IF(INDEX('Form 1 - Município'!D2:D500, MATCH(B34&amp;C34, INDEX('Form 1 - Município'!B2:B500&amp;'Form 1 - Município'!C2:C500, 0), 0))="", "", INDEX('Form 1 - Município'!D2:D500, MATCH(B34&amp;C34, INDEX('Form 1 - Município'!B2:B500&amp;'Form 1 - Município'!C2:C500, 0), 0))), "")</f>
        <v/>
      </c>
      <c r="E34" s="38" t="inlineStr">
        <is>
          <t>Enviado</t>
        </is>
      </c>
      <c r="F34" s="37" t="inlineStr">
        <is>
          <t>25/09/2025</t>
        </is>
      </c>
      <c r="G34" s="47" t="inlineStr">
        <is>
          <t>Não</t>
        </is>
      </c>
      <c r="H34" s="37" t="n"/>
      <c r="I34" s="37" t="n"/>
      <c r="J34" s="37" t="inlineStr">
        <is>
          <t>Não</t>
        </is>
      </c>
      <c r="K34" s="37" t="n"/>
    </row>
    <row r="35">
      <c r="A35" s="45" t="inlineStr">
        <is>
          <t>Conisul</t>
        </is>
      </c>
      <c r="B35" s="37" t="inlineStr">
        <is>
          <t>Amambai</t>
        </is>
      </c>
      <c r="C35" s="37" t="n">
        <v>1</v>
      </c>
      <c r="D35" s="37">
        <f>IFERROR(IF(INDEX('Form 1 - Município'!D2:D500, MATCH(B35&amp;C35, INDEX('Form 1 - Município'!B2:B500&amp;'Form 1 - Município'!C2:C500, 0), 0))="", "", INDEX('Form 1 - Município'!D2:D500, MATCH(B35&amp;C35, INDEX('Form 1 - Município'!B2:B500&amp;'Form 1 - Município'!C2:C500, 0), 0))), "")</f>
        <v/>
      </c>
      <c r="E35" s="38" t="inlineStr">
        <is>
          <t>Enviado</t>
        </is>
      </c>
      <c r="F35" s="37" t="inlineStr">
        <is>
          <t>01/10/2025</t>
        </is>
      </c>
      <c r="G35" s="47" t="inlineStr">
        <is>
          <t>Não</t>
        </is>
      </c>
      <c r="H35" s="37" t="n"/>
      <c r="I35" s="37" t="n"/>
      <c r="J35" s="37" t="inlineStr">
        <is>
          <t>Não</t>
        </is>
      </c>
      <c r="K35" s="37" t="n"/>
    </row>
    <row r="36">
      <c r="A36" s="45" t="inlineStr">
        <is>
          <t>Conisul</t>
        </is>
      </c>
      <c r="B36" s="37" t="inlineStr">
        <is>
          <t>Aral Moreira</t>
        </is>
      </c>
      <c r="C36" s="37" t="n">
        <v>1</v>
      </c>
      <c r="D36" s="37">
        <f>IFERROR(IF(INDEX('Form 1 - Município'!D2:D500, MATCH(B36&amp;C36, INDEX('Form 1 - Município'!B2:B500&amp;'Form 1 - Município'!C2:C500, 0), 0))="", "", INDEX('Form 1 - Município'!D2:D500, MATCH(B36&amp;C36, INDEX('Form 1 - Município'!B2:B500&amp;'Form 1 - Município'!C2:C500, 0), 0))), "")</f>
        <v/>
      </c>
      <c r="E36" s="44" t="inlineStr">
        <is>
          <t>Atrasado</t>
        </is>
      </c>
      <c r="F36" s="37" t="n"/>
      <c r="G36" s="47" t="inlineStr">
        <is>
          <t>Não</t>
        </is>
      </c>
      <c r="H36" s="37" t="n"/>
      <c r="I36" s="37" t="n"/>
      <c r="J36" s="37" t="inlineStr">
        <is>
          <t>Não</t>
        </is>
      </c>
      <c r="K36" s="37" t="n"/>
    </row>
    <row r="37">
      <c r="A37" s="45" t="inlineStr">
        <is>
          <t>Conisul</t>
        </is>
      </c>
      <c r="B37" s="37" t="inlineStr">
        <is>
          <t>Caarapó</t>
        </is>
      </c>
      <c r="C37" s="37" t="n">
        <v>1</v>
      </c>
      <c r="D37" s="37">
        <f>IFERROR(IF(INDEX('Form 1 - Município'!D2:D500, MATCH(B37&amp;C37, INDEX('Form 1 - Município'!B2:B500&amp;'Form 1 - Município'!C2:C500, 0), 0))="", "", INDEX('Form 1 - Município'!D2:D500, MATCH(B37&amp;C37, INDEX('Form 1 - Município'!B2:B500&amp;'Form 1 - Município'!C2:C500, 0), 0))), "")</f>
        <v/>
      </c>
      <c r="E37" s="38" t="inlineStr">
        <is>
          <t>Enviado</t>
        </is>
      </c>
      <c r="F37" s="37" t="inlineStr">
        <is>
          <t>13/10/2025</t>
        </is>
      </c>
      <c r="G37" s="47" t="inlineStr">
        <is>
          <t>Não</t>
        </is>
      </c>
      <c r="H37" s="37" t="n"/>
      <c r="I37" s="37" t="n"/>
      <c r="J37" s="37" t="inlineStr">
        <is>
          <t>Não</t>
        </is>
      </c>
      <c r="K37" s="37" t="n"/>
    </row>
    <row r="38">
      <c r="A38" s="45" t="inlineStr">
        <is>
          <t>Conisul</t>
        </is>
      </c>
      <c r="B38" s="37" t="inlineStr">
        <is>
          <t>Coronel Sapucaia</t>
        </is>
      </c>
      <c r="C38" s="37" t="n">
        <v>1</v>
      </c>
      <c r="D38" s="37">
        <f>IFERROR(IF(INDEX('Form 1 - Município'!D2:D500, MATCH(B38&amp;C38, INDEX('Form 1 - Município'!B2:B500&amp;'Form 1 - Município'!C2:C500, 0), 0))="", "", INDEX('Form 1 - Município'!D2:D500, MATCH(B38&amp;C38, INDEX('Form 1 - Município'!B2:B500&amp;'Form 1 - Município'!C2:C500, 0), 0))), "")</f>
        <v/>
      </c>
      <c r="E38" s="44" t="inlineStr">
        <is>
          <t>Atrasado</t>
        </is>
      </c>
      <c r="F38" s="37" t="n"/>
      <c r="G38" s="47" t="inlineStr">
        <is>
          <t>Não</t>
        </is>
      </c>
      <c r="H38" s="37" t="n"/>
      <c r="I38" s="37" t="n"/>
      <c r="J38" s="37" t="inlineStr">
        <is>
          <t>Não</t>
        </is>
      </c>
      <c r="K38" s="37" t="n"/>
    </row>
    <row r="39">
      <c r="A39" s="45" t="inlineStr">
        <is>
          <t>Conisul</t>
        </is>
      </c>
      <c r="B39" s="37" t="inlineStr">
        <is>
          <t>Eldorado</t>
        </is>
      </c>
      <c r="C39" s="37" t="n">
        <v>1</v>
      </c>
      <c r="D39" s="37">
        <f>IFERROR(IF(INDEX('Form 1 - Município'!D2:D500, MATCH(B39&amp;C39, INDEX('Form 1 - Município'!B2:B500&amp;'Form 1 - Município'!C2:C500, 0), 0))="", "", INDEX('Form 1 - Município'!D2:D500, MATCH(B39&amp;C39, INDEX('Form 1 - Município'!B2:B500&amp;'Form 1 - Município'!C2:C500, 0), 0))), "")</f>
        <v/>
      </c>
      <c r="E39" s="38" t="inlineStr">
        <is>
          <t>Enviado</t>
        </is>
      </c>
      <c r="F39" s="37" t="inlineStr">
        <is>
          <t>22/09/2025</t>
        </is>
      </c>
      <c r="G39" s="47" t="inlineStr">
        <is>
          <t>Não</t>
        </is>
      </c>
      <c r="H39" s="37" t="n"/>
      <c r="I39" s="37" t="n"/>
      <c r="J39" s="37" t="inlineStr">
        <is>
          <t>Não</t>
        </is>
      </c>
      <c r="K39" s="37" t="n"/>
    </row>
    <row r="40">
      <c r="A40" s="45" t="inlineStr">
        <is>
          <t>Conisul</t>
        </is>
      </c>
      <c r="B40" s="37" t="inlineStr">
        <is>
          <t>Iguatemi</t>
        </is>
      </c>
      <c r="C40" s="37" t="n">
        <v>1</v>
      </c>
      <c r="D40" s="37">
        <f>IFERROR(IF(INDEX('Form 1 - Município'!D2:D500, MATCH(B40&amp;C40, INDEX('Form 1 - Município'!B2:B500&amp;'Form 1 - Município'!C2:C500, 0), 0))="", "", INDEX('Form 1 - Município'!D2:D500, MATCH(B40&amp;C40, INDEX('Form 1 - Município'!B2:B500&amp;'Form 1 - Município'!C2:C500, 0), 0))), "")</f>
        <v/>
      </c>
      <c r="E40" s="44" t="inlineStr">
        <is>
          <t>Atrasado</t>
        </is>
      </c>
      <c r="F40" s="37" t="n"/>
      <c r="G40" s="47" t="inlineStr">
        <is>
          <t>Não</t>
        </is>
      </c>
      <c r="H40" s="37" t="n"/>
      <c r="I40" s="37" t="n"/>
      <c r="J40" s="37" t="inlineStr">
        <is>
          <t>Não</t>
        </is>
      </c>
      <c r="K40" s="37" t="n"/>
    </row>
    <row r="41">
      <c r="A41" s="45" t="inlineStr">
        <is>
          <t>Conisul</t>
        </is>
      </c>
      <c r="B41" s="37" t="inlineStr">
        <is>
          <t>Itaquiraí</t>
        </is>
      </c>
      <c r="C41" s="37" t="n">
        <v>1</v>
      </c>
      <c r="D41" s="37">
        <f>IFERROR(IF(INDEX('Form 1 - Município'!D2:D500, MATCH(B41&amp;C41, INDEX('Form 1 - Município'!B2:B500&amp;'Form 1 - Município'!C2:C500, 0), 0))="", "", INDEX('Form 1 - Município'!D2:D500, MATCH(B41&amp;C41, INDEX('Form 1 - Município'!B2:B500&amp;'Form 1 - Município'!C2:C500, 0), 0))), "")</f>
        <v/>
      </c>
      <c r="E41" s="38" t="inlineStr">
        <is>
          <t>Enviado</t>
        </is>
      </c>
      <c r="F41" s="37" t="inlineStr">
        <is>
          <t>07/10/2025</t>
        </is>
      </c>
      <c r="G41" s="47" t="inlineStr">
        <is>
          <t>Não</t>
        </is>
      </c>
      <c r="H41" s="37" t="n"/>
      <c r="I41" s="37" t="n"/>
      <c r="J41" s="37" t="inlineStr">
        <is>
          <t>Não</t>
        </is>
      </c>
      <c r="K41" s="37" t="n"/>
    </row>
    <row r="42">
      <c r="A42" s="45" t="inlineStr">
        <is>
          <t>Conisul</t>
        </is>
      </c>
      <c r="B42" s="37" t="inlineStr">
        <is>
          <t>Japorã</t>
        </is>
      </c>
      <c r="C42" s="37" t="n">
        <v>1</v>
      </c>
      <c r="D42" s="37">
        <f>IFERROR(IF(INDEX('Form 1 - Município'!D2:D500, MATCH(B42&amp;C42, INDEX('Form 1 - Município'!B2:B500&amp;'Form 1 - Município'!C2:C500, 0), 0))="", "", INDEX('Form 1 - Município'!D2:D500, MATCH(B42&amp;C42, INDEX('Form 1 - Município'!B2:B500&amp;'Form 1 - Município'!C2:C500, 0), 0))), "")</f>
        <v/>
      </c>
      <c r="E42" s="38" t="inlineStr">
        <is>
          <t>Enviado</t>
        </is>
      </c>
      <c r="F42" s="37" t="inlineStr">
        <is>
          <t>30/09/2025</t>
        </is>
      </c>
      <c r="G42" s="47" t="inlineStr">
        <is>
          <t>Não</t>
        </is>
      </c>
      <c r="H42" s="37" t="n"/>
      <c r="I42" s="37" t="n"/>
      <c r="J42" s="37" t="inlineStr">
        <is>
          <t>Não</t>
        </is>
      </c>
      <c r="K42" s="37" t="n"/>
    </row>
    <row r="43">
      <c r="A43" s="45" t="inlineStr">
        <is>
          <t>Conisul</t>
        </is>
      </c>
      <c r="B43" s="37" t="inlineStr">
        <is>
          <t>Juti</t>
        </is>
      </c>
      <c r="C43" s="37" t="n">
        <v>1</v>
      </c>
      <c r="D43" s="37">
        <f>IFERROR(IF(INDEX('Form 1 - Município'!D2:D500, MATCH(B43&amp;C43, INDEX('Form 1 - Município'!B2:B500&amp;'Form 1 - Município'!C2:C500, 0), 0))="", "", INDEX('Form 1 - Município'!D2:D500, MATCH(B43&amp;C43, INDEX('Form 1 - Município'!B2:B500&amp;'Form 1 - Município'!C2:C500, 0), 0))), "")</f>
        <v/>
      </c>
      <c r="E43" s="38" t="inlineStr">
        <is>
          <t>Enviado</t>
        </is>
      </c>
      <c r="F43" s="37" t="inlineStr">
        <is>
          <t>30/09/2025</t>
        </is>
      </c>
      <c r="G43" s="47" t="inlineStr">
        <is>
          <t>Não</t>
        </is>
      </c>
      <c r="H43" s="37" t="n"/>
      <c r="I43" s="37" t="n"/>
      <c r="J43" s="37" t="inlineStr">
        <is>
          <t>Não</t>
        </is>
      </c>
      <c r="K43" s="37" t="n"/>
    </row>
    <row r="44">
      <c r="A44" s="45" t="inlineStr">
        <is>
          <t>Conisul</t>
        </is>
      </c>
      <c r="B44" s="37" t="inlineStr">
        <is>
          <t>Naviraí</t>
        </is>
      </c>
      <c r="C44" s="37" t="n">
        <v>1</v>
      </c>
      <c r="D44" s="37">
        <f>IFERROR(IF(INDEX('Form 1 - Município'!D2:D500, MATCH(B44&amp;C44, INDEX('Form 1 - Município'!B2:B500&amp;'Form 1 - Município'!C2:C500, 0), 0))="", "", INDEX('Form 1 - Município'!D2:D500, MATCH(B44&amp;C44, INDEX('Form 1 - Município'!B2:B500&amp;'Form 1 - Município'!C2:C500, 0), 0))), "")</f>
        <v/>
      </c>
      <c r="E44" s="38" t="inlineStr">
        <is>
          <t>Enviado</t>
        </is>
      </c>
      <c r="F44" s="37" t="inlineStr">
        <is>
          <t>25/09/2025</t>
        </is>
      </c>
      <c r="G44" s="47" t="inlineStr">
        <is>
          <t>Não</t>
        </is>
      </c>
      <c r="H44" s="37" t="n"/>
      <c r="I44" s="37" t="n"/>
      <c r="J44" s="37" t="inlineStr">
        <is>
          <t>Não</t>
        </is>
      </c>
      <c r="K44" s="37" t="n"/>
    </row>
    <row r="45">
      <c r="A45" s="45" t="inlineStr">
        <is>
          <t>Conisul</t>
        </is>
      </c>
      <c r="B45" s="37" t="inlineStr">
        <is>
          <t>Paranhos</t>
        </is>
      </c>
      <c r="C45" s="37" t="n">
        <v>1</v>
      </c>
      <c r="D45" s="37">
        <f>IFERROR(IF(INDEX('Form 1 - Município'!D2:D500, MATCH(B45&amp;C45, INDEX('Form 1 - Município'!B2:B500&amp;'Form 1 - Município'!C2:C500, 0), 0))="", "", INDEX('Form 1 - Município'!D2:D500, MATCH(B45&amp;C45, INDEX('Form 1 - Município'!B2:B500&amp;'Form 1 - Município'!C2:C500, 0), 0))), "")</f>
        <v/>
      </c>
      <c r="E45" s="44" t="inlineStr">
        <is>
          <t>Atrasado</t>
        </is>
      </c>
      <c r="F45" s="37" t="n"/>
      <c r="G45" s="47" t="inlineStr">
        <is>
          <t>Não</t>
        </is>
      </c>
      <c r="H45" s="37" t="n"/>
      <c r="I45" s="37" t="n"/>
      <c r="J45" s="37" t="inlineStr">
        <is>
          <t>Não</t>
        </is>
      </c>
      <c r="K45" s="37" t="n"/>
    </row>
    <row r="46">
      <c r="A46" s="45" t="inlineStr">
        <is>
          <t>Conisul</t>
        </is>
      </c>
      <c r="B46" s="37" t="inlineStr">
        <is>
          <t>Sete Quedas</t>
        </is>
      </c>
      <c r="C46" s="37" t="n">
        <v>1</v>
      </c>
      <c r="D46" s="37">
        <f>IFERROR(IF(INDEX('Form 1 - Município'!D2:D500, MATCH(B46&amp;C46, INDEX('Form 1 - Município'!B2:B500&amp;'Form 1 - Município'!C2:C500, 0), 0))="", "", INDEX('Form 1 - Município'!D2:D500, MATCH(B46&amp;C46, INDEX('Form 1 - Município'!B2:B500&amp;'Form 1 - Município'!C2:C500, 0), 0))), "")</f>
        <v/>
      </c>
      <c r="E46" s="42" t="inlineStr">
        <is>
          <t>Sem Técnico</t>
        </is>
      </c>
      <c r="F46" s="37" t="n"/>
      <c r="G46" s="47" t="inlineStr">
        <is>
          <t>Não</t>
        </is>
      </c>
      <c r="H46" s="37" t="n"/>
      <c r="I46" s="37" t="n"/>
      <c r="J46" s="37" t="inlineStr">
        <is>
          <t>Não</t>
        </is>
      </c>
      <c r="K46" s="37" t="n"/>
    </row>
    <row r="47">
      <c r="A47" s="45" t="inlineStr">
        <is>
          <t>Conisul</t>
        </is>
      </c>
      <c r="B47" s="37" t="inlineStr">
        <is>
          <t>Tacuru</t>
        </is>
      </c>
      <c r="C47" s="37" t="n">
        <v>1</v>
      </c>
      <c r="D47" s="37">
        <f>IFERROR(IF(INDEX('Form 1 - Município'!D2:D500, MATCH(B47&amp;C47, INDEX('Form 1 - Município'!B2:B500&amp;'Form 1 - Município'!C2:C500, 0), 0))="", "", INDEX('Form 1 - Município'!D2:D500, MATCH(B47&amp;C47, INDEX('Form 1 - Município'!B2:B500&amp;'Form 1 - Município'!C2:C500, 0), 0))), "")</f>
        <v/>
      </c>
      <c r="E47" s="38" t="inlineStr">
        <is>
          <t>Enviado</t>
        </is>
      </c>
      <c r="F47" s="37" t="inlineStr">
        <is>
          <t>11/09/2025</t>
        </is>
      </c>
      <c r="G47" s="47"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2025-12-05T14:06:35Z</dcterms:created>
  <dcterms:modified xmlns:dcterms="http://purl.org/dc/terms/" xmlns:xsi="http://www.w3.org/2001/XMLSchema-instance" xsi:type="dcterms:W3CDTF">2025-12-05T14:06:48Z</dcterms:modified>
</cp:coreProperties>
</file>