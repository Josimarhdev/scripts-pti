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1" documentId="11_23851DD72BE3F89CC93D7BC1EC3C72E4872DA3E2" xr6:coauthVersionLast="47" xr6:coauthVersionMax="47" xr10:uidLastSave="{0150A65B-9382-4EF7-B9DD-699ADFB9AB90}"/>
  <bookViews>
    <workbookView xWindow="0" yWindow="0" windowWidth="0" windowHeight="0"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5" l="1"/>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70" i="2" a="1"/>
  <c r="F70" i="2"/>
  <c r="E70" i="2" a="1"/>
  <c r="E70" i="2"/>
  <c r="D70" i="2" a="1"/>
  <c r="D70" i="2"/>
  <c r="F69" i="2" a="1"/>
  <c r="F69" i="2"/>
  <c r="E69" i="2" a="1"/>
  <c r="E69" i="2"/>
  <c r="D69" i="2" a="1"/>
  <c r="D69" i="2"/>
  <c r="F68" i="2" a="1"/>
  <c r="F68" i="2"/>
  <c r="E68" i="2" a="1"/>
  <c r="E68" i="2"/>
  <c r="D68" i="2" a="1"/>
  <c r="D68" i="2"/>
  <c r="F67" i="2" a="1"/>
  <c r="F67" i="2"/>
  <c r="E67" i="2" a="1"/>
  <c r="E67" i="2"/>
  <c r="D67" i="2" a="1"/>
  <c r="D67" i="2"/>
  <c r="F66" i="2" a="1"/>
  <c r="F66" i="2"/>
  <c r="E66" i="2" a="1"/>
  <c r="E66" i="2"/>
  <c r="D66" i="2" a="1"/>
  <c r="D66" i="2"/>
  <c r="F65" i="2" a="1"/>
  <c r="F65" i="2"/>
  <c r="E65" i="2" a="1"/>
  <c r="E65" i="2"/>
  <c r="D65" i="2" a="1"/>
  <c r="D65" i="2"/>
  <c r="F64" i="2" a="1"/>
  <c r="F64" i="2"/>
  <c r="E64" i="2" a="1"/>
  <c r="E64" i="2"/>
  <c r="D64" i="2" a="1"/>
  <c r="D64" i="2"/>
  <c r="F63" i="2" a="1"/>
  <c r="F63" i="2"/>
  <c r="E63" i="2" a="1"/>
  <c r="E63" i="2"/>
  <c r="D63" i="2" a="1"/>
  <c r="D63" i="2"/>
  <c r="F60" i="2" a="1"/>
  <c r="F60" i="2"/>
  <c r="E60" i="2" a="1"/>
  <c r="E60" i="2"/>
  <c r="D60" i="2" a="1"/>
  <c r="D60" i="2"/>
  <c r="F59" i="2" a="1"/>
  <c r="F59" i="2"/>
  <c r="E59" i="2" a="1"/>
  <c r="E59" i="2"/>
  <c r="D59" i="2" a="1"/>
  <c r="D59" i="2"/>
  <c r="F58" i="2" a="1"/>
  <c r="F58" i="2"/>
  <c r="E58" i="2" a="1"/>
  <c r="E58" i="2"/>
  <c r="D58" i="2" a="1"/>
  <c r="D58" i="2"/>
  <c r="F57" i="2" a="1"/>
  <c r="F57" i="2"/>
  <c r="E57" i="2" a="1"/>
  <c r="E57" i="2"/>
  <c r="D57" i="2" a="1"/>
  <c r="D57" i="2"/>
  <c r="F56" i="2" a="1"/>
  <c r="F56" i="2"/>
  <c r="E56" i="2" a="1"/>
  <c r="E56" i="2"/>
  <c r="D56" i="2" a="1"/>
  <c r="D56" i="2"/>
  <c r="F55" i="2" a="1"/>
  <c r="F55" i="2"/>
  <c r="E55" i="2" a="1"/>
  <c r="E55" i="2"/>
  <c r="D55" i="2" a="1"/>
  <c r="D55" i="2"/>
  <c r="F54" i="2" a="1"/>
  <c r="F54" i="2"/>
  <c r="E54" i="2" a="1"/>
  <c r="E54" i="2"/>
  <c r="D54" i="2" a="1"/>
  <c r="D54" i="2"/>
  <c r="F53" i="2" a="1"/>
  <c r="F53" i="2"/>
  <c r="E53" i="2" a="1"/>
  <c r="E53" i="2"/>
  <c r="D53" i="2" a="1"/>
  <c r="D53" i="2"/>
  <c r="F50" i="2" a="1"/>
  <c r="F50" i="2"/>
  <c r="E50" i="2" a="1"/>
  <c r="E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0" i="2" a="1"/>
  <c r="F40" i="2"/>
  <c r="E40" i="2" a="1"/>
  <c r="E40" i="2"/>
  <c r="D40" i="2" a="1"/>
  <c r="D40" i="2"/>
  <c r="F39" i="2" a="1"/>
  <c r="F39" i="2"/>
  <c r="E39" i="2" a="1"/>
  <c r="E39" i="2"/>
  <c r="D39" i="2" a="1"/>
  <c r="D39"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F33" i="2" a="1"/>
  <c r="F33" i="2"/>
  <c r="E33" i="2" a="1"/>
  <c r="E33" i="2"/>
  <c r="D33" i="2" a="1"/>
  <c r="D33" i="2"/>
  <c r="F30" i="2" a="1"/>
  <c r="F30" i="2"/>
  <c r="E30" i="2" a="1"/>
  <c r="E30" i="2"/>
  <c r="D30" i="2" a="1"/>
  <c r="D30" i="2"/>
  <c r="F29" i="2" a="1"/>
  <c r="F29" i="2"/>
  <c r="E29" i="2" a="1"/>
  <c r="E29" i="2"/>
  <c r="D29" i="2" a="1"/>
  <c r="D29" i="2"/>
  <c r="F28" i="2" a="1"/>
  <c r="F28" i="2"/>
  <c r="E28" i="2" a="1"/>
  <c r="E28" i="2"/>
  <c r="D28" i="2" a="1"/>
  <c r="D28" i="2"/>
  <c r="F25" i="2" a="1"/>
  <c r="F25" i="2"/>
  <c r="E25" i="2" a="1"/>
  <c r="E25" i="2"/>
  <c r="D25" i="2" a="1"/>
  <c r="D25" i="2"/>
  <c r="F24" i="2" a="1"/>
  <c r="F24" i="2"/>
  <c r="E24" i="2" a="1"/>
  <c r="E24" i="2"/>
  <c r="D24" i="2" a="1"/>
  <c r="D24" i="2"/>
  <c r="F23" i="2" a="1"/>
  <c r="F23" i="2"/>
  <c r="E23" i="2" a="1"/>
  <c r="E23" i="2"/>
  <c r="D23" i="2" a="1"/>
  <c r="D23"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4" i="2" a="1"/>
  <c r="F14" i="2"/>
  <c r="E14" i="2" a="1"/>
  <c r="E14" i="2"/>
  <c r="D14" i="2" a="1"/>
  <c r="D14" i="2"/>
  <c r="F13" i="2" a="1"/>
  <c r="F13" i="2"/>
  <c r="E13" i="2" a="1"/>
  <c r="E13" i="2"/>
  <c r="D13" i="2" a="1"/>
  <c r="D13" i="2"/>
  <c r="F12" i="2" a="1"/>
  <c r="F12" i="2"/>
  <c r="E12" i="2" a="1"/>
  <c r="E12" i="2"/>
  <c r="D12" i="2" a="1"/>
  <c r="D12" i="2"/>
  <c r="F11" i="2" a="1"/>
  <c r="F11" i="2"/>
  <c r="E11" i="2" a="1"/>
  <c r="E11" i="2"/>
  <c r="D11" i="2" a="1"/>
  <c r="D11" i="2"/>
  <c r="F10" i="2" a="1"/>
  <c r="F10" i="2"/>
  <c r="E10" i="2" a="1"/>
  <c r="E10" i="2"/>
  <c r="D10" i="2" a="1"/>
  <c r="D10"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F2" i="2" a="1"/>
  <c r="F2" i="2"/>
  <c r="E2" i="2" a="1"/>
  <c r="E2" i="2"/>
  <c r="D2" i="2" a="1"/>
  <c r="D2" i="2"/>
  <c r="F23" i="1" a="1"/>
  <c r="F23" i="1"/>
  <c r="G23" i="1" s="1"/>
  <c r="D23" i="1" a="1"/>
  <c r="D23" i="1"/>
  <c r="E23" i="1" s="1"/>
  <c r="B23" i="1" a="1"/>
  <c r="B23" i="1"/>
  <c r="C23" i="1" s="1"/>
  <c r="F22" i="1" a="1"/>
  <c r="F22" i="1"/>
  <c r="G22" i="1" s="1"/>
  <c r="D22" i="1" a="1"/>
  <c r="D22" i="1"/>
  <c r="E22" i="1" s="1"/>
  <c r="B22" i="1" a="1"/>
  <c r="B22" i="1"/>
  <c r="C22" i="1" s="1"/>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2" i="1" l="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2" i="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2" i="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4" i="1"/>
  <c r="C17" i="1"/>
  <c r="C24" i="1" s="1"/>
  <c r="D24" i="1"/>
  <c r="E17" i="1"/>
  <c r="E24" i="1" s="1"/>
  <c r="F24" i="1"/>
  <c r="G17" i="1"/>
  <c r="G24" i="1" s="1"/>
  <c r="H4" i="1" l="1"/>
  <c r="F4" i="1"/>
  <c r="D4" i="1"/>
  <c r="B4" i="1"/>
  <c r="H3" i="1"/>
  <c r="F3" i="1"/>
  <c r="D3" i="1"/>
  <c r="B3" i="1"/>
  <c r="H2" i="1"/>
  <c r="F2" i="1"/>
  <c r="D2" i="1"/>
  <c r="B2" i="1"/>
  <c r="B5" i="1" l="1"/>
  <c r="P2" i="1"/>
  <c r="J2" i="1"/>
  <c r="C2" i="1"/>
  <c r="D5" i="1"/>
  <c r="Q2" i="1"/>
  <c r="E2" i="1"/>
  <c r="F5" i="1"/>
  <c r="R2" i="1"/>
  <c r="G2" i="1"/>
  <c r="H5" i="1"/>
  <c r="I5" i="1" s="1"/>
  <c r="I2" i="1"/>
  <c r="P3" i="1"/>
  <c r="J3" i="1"/>
  <c r="C3" i="1"/>
  <c r="Q3" i="1"/>
  <c r="E3" i="1"/>
  <c r="R3" i="1"/>
  <c r="G3" i="1"/>
  <c r="I3" i="1"/>
  <c r="P4" i="1"/>
  <c r="J4" i="1"/>
  <c r="C4" i="1"/>
  <c r="Q4" i="1"/>
  <c r="E4" i="1"/>
  <c r="R4" i="1"/>
  <c r="G4" i="1"/>
  <c r="I4" i="1"/>
  <c r="G5" i="1" l="1"/>
  <c r="E5" i="1"/>
  <c r="J5" i="1"/>
  <c r="C5" i="1"/>
</calcChain>
</file>

<file path=xl/sharedStrings.xml><?xml version="1.0" encoding="utf-8"?>
<sst xmlns="http://schemas.openxmlformats.org/spreadsheetml/2006/main" count="1649" uniqueCount="284">
  <si>
    <t>Formulário</t>
  </si>
  <si>
    <t>Enviados</t>
  </si>
  <si>
    <t>%</t>
  </si>
  <si>
    <t>Atrasados</t>
  </si>
  <si>
    <t>Sem Técnico</t>
  </si>
  <si>
    <t>Duplicado</t>
  </si>
  <si>
    <t>Total</t>
  </si>
  <si>
    <t>Pólo</t>
  </si>
  <si>
    <t>Regional</t>
  </si>
  <si>
    <t>Formulários </t>
  </si>
  <si>
    <t>Enviado </t>
  </si>
  <si>
    <t>Atrasado </t>
  </si>
  <si>
    <t>Sem Téc </t>
  </si>
  <si>
    <t>Form 1</t>
  </si>
  <si>
    <t>Form 2</t>
  </si>
  <si>
    <t>Form 3</t>
  </si>
  <si>
    <t>1 - Município</t>
  </si>
  <si>
    <t>Curitiba</t>
  </si>
  <si>
    <t>Kelly</t>
  </si>
  <si>
    <t>  1 - Município </t>
  </si>
  <si>
    <t>2 - UVR</t>
  </si>
  <si>
    <t>Francisco Beltrão</t>
  </si>
  <si>
    <t>Vanessa</t>
  </si>
  <si>
    <t>  2 - UVR </t>
  </si>
  <si>
    <t>3 - Empreendimento</t>
  </si>
  <si>
    <t>Guarapuava</t>
  </si>
  <si>
    <t>Juliane</t>
  </si>
  <si>
    <t>  3 - Empreendimento </t>
  </si>
  <si>
    <t>Laranjeiras do Sul</t>
  </si>
  <si>
    <t>Londrina</t>
  </si>
  <si>
    <t>Johvanny</t>
  </si>
  <si>
    <t>Maringá</t>
  </si>
  <si>
    <t>Diana</t>
  </si>
  <si>
    <t>Paranavaí</t>
  </si>
  <si>
    <t>Mário</t>
  </si>
  <si>
    <t>Validados</t>
  </si>
  <si>
    <t>Form 1 - Município</t>
  </si>
  <si>
    <t>Form 2 - UVR</t>
  </si>
  <si>
    <t>Form 3 - Empreendimento</t>
  </si>
  <si>
    <t>Municípios</t>
  </si>
  <si>
    <t>UVR</t>
  </si>
  <si>
    <t>Campo Largo</t>
  </si>
  <si>
    <t>01</t>
  </si>
  <si>
    <t>02</t>
  </si>
  <si>
    <t>03</t>
  </si>
  <si>
    <t>04</t>
  </si>
  <si>
    <t>05</t>
  </si>
  <si>
    <t>Campo Magro</t>
  </si>
  <si>
    <t>Cerro Azul</t>
  </si>
  <si>
    <t>Lapa</t>
  </si>
  <si>
    <t>Rio Branco Do Sul</t>
  </si>
  <si>
    <t>Rio Negro</t>
  </si>
  <si>
    <t>São João Do Triunfo</t>
  </si>
  <si>
    <t>Tijucas Do Sul</t>
  </si>
  <si>
    <t>Barracão</t>
  </si>
  <si>
    <t>Capanema</t>
  </si>
  <si>
    <t>Enéas Marques</t>
  </si>
  <si>
    <t>Marmeleiro</t>
  </si>
  <si>
    <t>Realeza</t>
  </si>
  <si>
    <t>Salgado Filho</t>
  </si>
  <si>
    <t>Campina Da Lagoa</t>
  </si>
  <si>
    <t>Mato Rico</t>
  </si>
  <si>
    <t>Nova Tebas</t>
  </si>
  <si>
    <t>Coronel Vivida</t>
  </si>
  <si>
    <t>General Carneiro</t>
  </si>
  <si>
    <t>Laranjeiras Do Sul</t>
  </si>
  <si>
    <t>Palmital</t>
  </si>
  <si>
    <t>Quedas Do Iguaçu</t>
  </si>
  <si>
    <t>Reserva Do Iguaçu</t>
  </si>
  <si>
    <t>Santa Maria Do Oeste</t>
  </si>
  <si>
    <t>São João</t>
  </si>
  <si>
    <t>Cambará</t>
  </si>
  <si>
    <t>Ibaiti</t>
  </si>
  <si>
    <t>Jaguapitã</t>
  </si>
  <si>
    <t>Jaguariaíva</t>
  </si>
  <si>
    <t>Ortigueira</t>
  </si>
  <si>
    <t>Ribeirão Claro</t>
  </si>
  <si>
    <t>Santa Mariana</t>
  </si>
  <si>
    <t>Santana Do Itararé</t>
  </si>
  <si>
    <t>Apucarana</t>
  </si>
  <si>
    <t>Borrazópolis</t>
  </si>
  <si>
    <t>Jardim Alegre</t>
  </si>
  <si>
    <t>Kaloré</t>
  </si>
  <si>
    <t>Mandaguaçu</t>
  </si>
  <si>
    <t>Mandaguari</t>
  </si>
  <si>
    <t>Presidente Castelo Branco</t>
  </si>
  <si>
    <t>São João Do Ivaí</t>
  </si>
  <si>
    <t>Alto Paraná</t>
  </si>
  <si>
    <t>Amaporã</t>
  </si>
  <si>
    <t>Atalaia</t>
  </si>
  <si>
    <t>Colorado</t>
  </si>
  <si>
    <t>Cruzeiro Do Sul</t>
  </si>
  <si>
    <t>Paraíso Do Norte</t>
  </si>
  <si>
    <t>Santa Mônica</t>
  </si>
  <si>
    <t>São João Do Caiuá</t>
  </si>
  <si>
    <t>Município</t>
  </si>
  <si>
    <t>Técnico de UVR</t>
  </si>
  <si>
    <t>Situação</t>
  </si>
  <si>
    <t>Data de Envio</t>
  </si>
  <si>
    <t>Validado pelo Regional</t>
  </si>
  <si>
    <t>Observações</t>
  </si>
  <si>
    <t>Formulários para Deletar (ID)</t>
  </si>
  <si>
    <t>Validado Equip de TI</t>
  </si>
  <si>
    <t>Resposta Equipe de TI</t>
  </si>
  <si>
    <t>Marcia do Nascimento</t>
  </si>
  <si>
    <t>Enviado</t>
  </si>
  <si>
    <t>09/04/2025</t>
  </si>
  <si>
    <t>Sim</t>
  </si>
  <si>
    <t>ocorreu substituição de técnico</t>
  </si>
  <si>
    <t>Remover ID 139 ID 142 ID 148</t>
  </si>
  <si>
    <t>Deletados 139, 142 e 148</t>
  </si>
  <si>
    <t>Marcia Regina Willers</t>
  </si>
  <si>
    <t>23/03/2025</t>
  </si>
  <si>
    <t>Lançamento incorreto. O Form para deleção era o Form 4.</t>
  </si>
  <si>
    <t>Claudete Rodrigues Scarpelini</t>
  </si>
  <si>
    <t>10/02/2025</t>
  </si>
  <si>
    <t>Não</t>
  </si>
  <si>
    <t>Vagner Perseti Alves</t>
  </si>
  <si>
    <t>07/02/2025</t>
  </si>
  <si>
    <t>Logística reversa, no paraná há contratos já firmados entre o poder público / Indicação de ocorrência número de vezes por semana e não percentual.</t>
  </si>
  <si>
    <t>Tania Grespan</t>
  </si>
  <si>
    <t>Daniele de Souza Lima Mei</t>
  </si>
  <si>
    <t>será mantido o ID 77 pois foi realizado 3 cadastro solicidando a exclusão de 2. sendo o ID75 e 76</t>
  </si>
  <si>
    <t>Remover ID75 e ID76</t>
  </si>
  <si>
    <t>Removido IDs 75 e 76</t>
  </si>
  <si>
    <t xml:space="preserve">Eunice Fernandes Gonzaga </t>
  </si>
  <si>
    <t>Rafaelly Custódio</t>
  </si>
  <si>
    <t>21/03/2025</t>
  </si>
  <si>
    <t>ecluir o ID115 manter o ID116</t>
  </si>
  <si>
    <t>Remover ID115</t>
  </si>
  <si>
    <t>Removido ID 115</t>
  </si>
  <si>
    <t>Hayana dos Santos Jaines</t>
  </si>
  <si>
    <t>Evellyn Renata Bereza Bueno</t>
  </si>
  <si>
    <t>Anandra da Silva</t>
  </si>
  <si>
    <t>Carlos Jorge de Oliveira Fernandes Moreira </t>
  </si>
  <si>
    <t>27/03/2025</t>
  </si>
  <si>
    <t>Jéssica da Silva Bortolozzo</t>
  </si>
  <si>
    <t>05/02/2025</t>
  </si>
  <si>
    <t>Tássia Castelli</t>
  </si>
  <si>
    <t>27/10/2025</t>
  </si>
  <si>
    <t>Bianca Monteiro</t>
  </si>
  <si>
    <t>Augusto Cesar Nunes</t>
  </si>
  <si>
    <t>25/03/2025</t>
  </si>
  <si>
    <t>Amanda Cristina Beal Acosta</t>
  </si>
  <si>
    <t>18/02/2025</t>
  </si>
  <si>
    <t>Marcos Alexandre Cordeiro Esmocoviski</t>
  </si>
  <si>
    <t>26/03/2025</t>
  </si>
  <si>
    <t>Rodrigo Lima</t>
  </si>
  <si>
    <t>Savana Lemes Rodrigues</t>
  </si>
  <si>
    <t>17/03/2025</t>
  </si>
  <si>
    <t>Letícia Diniz</t>
  </si>
  <si>
    <t>04/02/2025</t>
  </si>
  <si>
    <t>Tais Muller</t>
  </si>
  <si>
    <t>corrigir informações</t>
  </si>
  <si>
    <t>Fernando Henrique Ferreira</t>
  </si>
  <si>
    <t>Isadora Bussmann Barsotti</t>
  </si>
  <si>
    <t>18/03/2025</t>
  </si>
  <si>
    <t>Osair Wrublak</t>
  </si>
  <si>
    <t>Gislaine Souza Rosa</t>
  </si>
  <si>
    <t>excluir ID 69 feito pelo Matheus B.</t>
  </si>
  <si>
    <t>Remover ID69</t>
  </si>
  <si>
    <t>Deletado 69</t>
  </si>
  <si>
    <t>Leticia Framesche</t>
  </si>
  <si>
    <t>15/10/2025</t>
  </si>
  <si>
    <t>excluir ID 60 feito pela Rayra</t>
  </si>
  <si>
    <t>Remover ID60</t>
  </si>
  <si>
    <t>Deletado 60</t>
  </si>
  <si>
    <t>Suzana Gotardo de Meira</t>
  </si>
  <si>
    <t>Vinicius Patriota dos Santos</t>
  </si>
  <si>
    <t>Patricia Teixeira dos Santos</t>
  </si>
  <si>
    <t>Anderson Batista Siqueira</t>
  </si>
  <si>
    <t>24/03/2025</t>
  </si>
  <si>
    <t>Aramis Vinicius de Paula Oliveira</t>
  </si>
  <si>
    <t>Dois envios (manter ID 117)</t>
  </si>
  <si>
    <t>Remover ID109</t>
  </si>
  <si>
    <t>Deletado o ID109</t>
  </si>
  <si>
    <t>Juliane Gonçalves</t>
  </si>
  <si>
    <t>11/02/2025</t>
  </si>
  <si>
    <t>Gustavo Henrique de Andrade</t>
  </si>
  <si>
    <t>Ricardo Pyc</t>
  </si>
  <si>
    <t>Camila Maytana Flores da Silva</t>
  </si>
  <si>
    <t>Claudiana Andria</t>
  </si>
  <si>
    <t>Daiana Aparecida Dias</t>
  </si>
  <si>
    <t>Maysa Fernanda Back</t>
  </si>
  <si>
    <t>01/04/2025</t>
  </si>
  <si>
    <t>Jean Eriksen de Miranda</t>
  </si>
  <si>
    <t>Formulário duplicado (Manter ID 81)</t>
  </si>
  <si>
    <t>Remover ID79</t>
  </si>
  <si>
    <t>Deletado 79</t>
  </si>
  <si>
    <t>Ana Paula Cigolini</t>
  </si>
  <si>
    <t>14/04/2025</t>
  </si>
  <si>
    <t>Vilmar Ribeiro</t>
  </si>
  <si>
    <t>Dois envios (manter ID 80)</t>
  </si>
  <si>
    <t>Remover ID63</t>
  </si>
  <si>
    <t>Deletado 63</t>
  </si>
  <si>
    <t>Ana Carolina Bertolaccini</t>
  </si>
  <si>
    <t>Maristela da Silva de Oliveira Melo</t>
  </si>
  <si>
    <t>Yuri Luiz de Oliveira</t>
  </si>
  <si>
    <t>Eliane Stefani Dantas Dias</t>
  </si>
  <si>
    <t>28/03/2025</t>
  </si>
  <si>
    <t>Remover ID 134</t>
  </si>
  <si>
    <t>Deletado 134</t>
  </si>
  <si>
    <t>Diego Batista</t>
  </si>
  <si>
    <t>20/03/2025</t>
  </si>
  <si>
    <t>Fernanda Naiara Voinarski</t>
  </si>
  <si>
    <t>12/02/2025</t>
  </si>
  <si>
    <t>Pablo Bruno Rosa Oliveira</t>
  </si>
  <si>
    <t xml:space="preserve">Formulário duplicado (Manter ID 86) </t>
  </si>
  <si>
    <t>Remover ID65</t>
  </si>
  <si>
    <t>Deletado o 65</t>
  </si>
  <si>
    <t>08/04/2025</t>
  </si>
  <si>
    <t>Ingresso de nova técnica</t>
  </si>
  <si>
    <t>Remover ID167</t>
  </si>
  <si>
    <t>Deletado 167</t>
  </si>
  <si>
    <t>Remover  ID78 /  ID77 (Manter o ID87)</t>
  </si>
  <si>
    <t>Remover ID78</t>
  </si>
  <si>
    <t>Removido 78 e 77</t>
  </si>
  <si>
    <t>06/02/2025</t>
  </si>
  <si>
    <t xml:space="preserve">Revisar listagem de equipamentos - Prensa multibox e fragmentador de papel </t>
  </si>
  <si>
    <t>17/11/2025</t>
  </si>
  <si>
    <t>26/03/2025, 26/03/2025</t>
  </si>
  <si>
    <t>Formulário 2: ID 149</t>
  </si>
  <si>
    <t>07/02/2025, 24/02/2025, 12/03/2025</t>
  </si>
  <si>
    <t>21/02/2025</t>
  </si>
  <si>
    <t>12/03/2025</t>
  </si>
  <si>
    <t>Excluir envio duplicado realizado dia 26/03/2025</t>
  </si>
  <si>
    <t>ID: 150</t>
  </si>
  <si>
    <t>Deletado 150</t>
  </si>
  <si>
    <t>Excluir ID93 e manter ID101</t>
  </si>
  <si>
    <t>Remover ID93</t>
  </si>
  <si>
    <t>Removido o 93</t>
  </si>
  <si>
    <t>excluir ID 76 manter ID89, excluir o ID89 feito pela Rayra</t>
  </si>
  <si>
    <t>Remover ID89</t>
  </si>
  <si>
    <t>Removido o 76; Deletado 89</t>
  </si>
  <si>
    <t>Duplicação do mesmo conteúdo</t>
  </si>
  <si>
    <t>Remover ID92</t>
  </si>
  <si>
    <t>Deletado 92</t>
  </si>
  <si>
    <t>20/10/2025, 21/03/2025</t>
  </si>
  <si>
    <t>Ajustar listagem de equipementos existentes</t>
  </si>
  <si>
    <t>06/05/2025</t>
  </si>
  <si>
    <t>excluir ID 153 manter ID199</t>
  </si>
  <si>
    <t>Remover ID 153</t>
  </si>
  <si>
    <t>Deletado 153</t>
  </si>
  <si>
    <t>03/04/2025</t>
  </si>
  <si>
    <t>10/04/2025</t>
  </si>
  <si>
    <t>CNPJ cadastrado errado</t>
  </si>
  <si>
    <t>Excluir ID103</t>
  </si>
  <si>
    <t>Deletado 103</t>
  </si>
  <si>
    <t>Remover ID163</t>
  </si>
  <si>
    <t>Deletado 163</t>
  </si>
  <si>
    <t>05/06/2025</t>
  </si>
  <si>
    <t>excluir ID 156, ID204  manter ID205</t>
  </si>
  <si>
    <t>Remover ID156 e ID 204</t>
  </si>
  <si>
    <t>Deletados 156 e 204</t>
  </si>
  <si>
    <t>24/07/2025, 20/03/2025</t>
  </si>
  <si>
    <t xml:space="preserve"> Formulário duplicado (Manterv ID107)</t>
  </si>
  <si>
    <t>Remover ID105</t>
  </si>
  <si>
    <t>Removido o 105</t>
  </si>
  <si>
    <t>Excluir ID 122</t>
  </si>
  <si>
    <t>Remover ID122</t>
  </si>
  <si>
    <t>Removidos 121, 122, 140, 142</t>
  </si>
  <si>
    <t>Lançamento incorreto de dados de comercialização. Já notificada e orientada da técnica. Excluir ID4488</t>
  </si>
  <si>
    <t>02/04/2025</t>
  </si>
  <si>
    <t>Formulário Duplicado (manter ID 125)</t>
  </si>
  <si>
    <t>Remover ID120</t>
  </si>
  <si>
    <t>Removido o 120</t>
  </si>
  <si>
    <t>Formulário 3: ID 124</t>
  </si>
  <si>
    <t>24/02/2025</t>
  </si>
  <si>
    <t>16/10/2025</t>
  </si>
  <si>
    <t>excluir o ID62 feito pela Rayra</t>
  </si>
  <si>
    <t>ID62</t>
  </si>
  <si>
    <t>Deletado 62</t>
  </si>
  <si>
    <t>Deletar ID172</t>
  </si>
  <si>
    <t>Deletado 172</t>
  </si>
  <si>
    <t>Deletar ID83</t>
  </si>
  <si>
    <t>Deletado o ID 83</t>
  </si>
  <si>
    <t xml:space="preserve">UVR sem atividade </t>
  </si>
  <si>
    <t>05/02/2025, 07/03/2025</t>
  </si>
  <si>
    <t>Remover ID136</t>
  </si>
  <si>
    <t>Deletado 136</t>
  </si>
  <si>
    <t>21/03/2025, 24/07/2025</t>
  </si>
  <si>
    <t>Formulário Duplicado (manter ID113)</t>
  </si>
  <si>
    <t>Remover ID118</t>
  </si>
  <si>
    <t>Removido o 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</si>
</sst>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4"/>
      <color theme="0"/>
      <name val="Aptos Narrow"/>
    </font>
    <font>
      <sz val="12"/>
      <color theme="0"/>
      <name val="Aptos Narrow"/>
    </font>
    <font>
      <b/>
      <sz val="10"/>
      <name val="Arial"/>
    </font>
    <font>
      <b/>
      <sz val="8"/>
      <color rgb="FFFFFFFF"/>
      <name val="Arial"/>
    </font>
    <font>
      <sz val="11"/>
      <color theme="0"/>
      <name val="Calibri"/>
    </font>
    <font>
      <sz val="11"/>
      <color theme="1"/>
      <name val="Calibri"/>
    </font>
    <font>
      <sz val="12"/>
      <color theme="1"/>
      <name val="Aptos Narrow"/>
    </font>
    <font>
      <b/>
      <sz val="12"/>
      <color theme="1"/>
      <name val="Aptos Narrow"/>
    </font>
    <font>
      <sz val="11"/>
      <name val="Arial"/>
    </font>
    <font>
      <sz val="9"/>
      <color rgb="FF000000"/>
      <name val="Arial"/>
    </font>
    <font>
      <sz val="10"/>
      <name val="Arial"/>
    </font>
    <font>
      <b/>
      <sz val="11"/>
      <color theme="1"/>
      <name val="Arial"/>
    </font>
    <font>
      <b/>
      <sz val="11"/>
      <color theme="1"/>
      <name val="Calibri"/>
    </font>
    <font>
      <sz val="11"/>
      <color theme="1"/>
      <name val="Arial"/>
    </font>
    <font>
      <b/>
      <sz val="11"/>
      <color rgb="FFFFFFFF"/>
      <name val="Arial"/>
    </font>
    <font>
      <sz val="11"/>
      <color rgb="FFFFFFFF"/>
      <name val="Arial"/>
    </font>
  </fonts>
  <fills count="28">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FF"/>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9" tint="-0.249977111117893"/>
        <bgColor indexed="64"/>
      </patternFill>
    </fill>
    <fill>
      <patternFill patternType="solid">
        <fgColor rgb="FFFFC000"/>
        <bgColor indexed="64"/>
      </patternFill>
    </fill>
    <fill>
      <patternFill patternType="solid">
        <fgColor rgb="FFFF00FB"/>
        <bgColor indexed="64"/>
      </patternFill>
    </fill>
    <fill>
      <patternFill patternType="solid">
        <fgColor rgb="FF003366"/>
        <bgColor rgb="FF003366"/>
      </patternFill>
    </fill>
    <fill>
      <patternFill patternType="solid">
        <fgColor rgb="FF9B59B6"/>
        <bgColor rgb="FF9B59B6"/>
      </patternFill>
    </fill>
    <fill>
      <patternFill patternType="solid">
        <fgColor rgb="FF66FF66"/>
        <bgColor rgb="FF66FF66"/>
      </patternFill>
    </fill>
    <fill>
      <patternFill patternType="solid">
        <fgColor rgb="FFFFCCFF"/>
        <bgColor rgb="FFFFCCFF"/>
      </patternFill>
    </fill>
    <fill>
      <patternFill patternType="solid">
        <fgColor rgb="FFB2FFFF"/>
        <bgColor rgb="FFB2FFFF"/>
      </patternFill>
    </fill>
    <fill>
      <patternFill patternType="solid">
        <fgColor rgb="FFA9C5E6"/>
        <bgColor rgb="FFA9C5E6"/>
      </patternFill>
    </fill>
    <fill>
      <patternFill patternType="solid">
        <fgColor rgb="FFF1E0C6"/>
        <bgColor rgb="FFF1E0C6"/>
      </patternFill>
    </fill>
    <fill>
      <patternFill patternType="solid">
        <fgColor rgb="FFFFFF99"/>
        <bgColor rgb="FFFFFF99"/>
      </patternFill>
    </fill>
    <fill>
      <patternFill patternType="solid">
        <fgColor rgb="FFFFD3AC"/>
        <bgColor rgb="FFFFD3AC"/>
      </patternFill>
    </fill>
    <fill>
      <patternFill patternType="solid">
        <fgColor rgb="FFFF6666"/>
        <bgColor rgb="FFFF6666"/>
      </patternFill>
    </fill>
    <fill>
      <patternFill patternType="solid">
        <fgColor rgb="FF006400"/>
        <bgColor rgb="FF006400"/>
      </patternFill>
    </fill>
    <fill>
      <patternFill patternType="solid">
        <fgColor rgb="FF31869B"/>
        <bgColor rgb="FF31869B"/>
      </patternFill>
    </fill>
    <fill>
      <patternFill patternType="solid">
        <fgColor rgb="FF808080"/>
        <bgColor rgb="FF808080"/>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0" fillId="0" borderId="2" xfId="0" applyFont="1" applyBorder="1" applyAlignment="1">
      <alignment horizontal="center" vertical="center" wrapText="1"/>
    </xf>
    <xf numFmtId="0" fontId="11" fillId="6" borderId="3" xfId="0" applyFont="1" applyFill="1" applyBorder="1" applyAlignment="1">
      <alignment horizontal="center" vertical="center" wrapText="1"/>
    </xf>
    <xf numFmtId="0" fontId="7" fillId="0" borderId="4" xfId="0" applyFont="1" applyBorder="1" applyAlignment="1">
      <alignment horizontal="center" vertical="center"/>
    </xf>
    <xf numFmtId="0" fontId="2" fillId="2" borderId="1" xfId="0" applyFont="1" applyFill="1" applyBorder="1" applyAlignment="1">
      <alignment horizontal="center" vertical="center"/>
    </xf>
    <xf numFmtId="0" fontId="12" fillId="8" borderId="4" xfId="0" applyFont="1" applyFill="1" applyBorder="1" applyAlignment="1">
      <alignment horizontal="center" vertical="center"/>
    </xf>
    <xf numFmtId="0" fontId="2" fillId="2" borderId="4" xfId="0" applyFont="1" applyFill="1" applyBorder="1" applyAlignment="1">
      <alignment horizontal="center" vertical="center"/>
    </xf>
    <xf numFmtId="0" fontId="14" fillId="10" borderId="7" xfId="0" applyFont="1" applyFill="1" applyBorder="1" applyAlignment="1">
      <alignment horizontal="center" vertical="center"/>
    </xf>
    <xf numFmtId="0" fontId="15" fillId="15" borderId="8" xfId="0" applyFont="1" applyFill="1" applyBorder="1" applyAlignment="1">
      <alignment horizontal="center" vertical="center"/>
    </xf>
    <xf numFmtId="0" fontId="9" fillId="16" borderId="8" xfId="0" applyFont="1" applyFill="1" applyBorder="1" applyAlignment="1">
      <alignment horizontal="center" vertical="center"/>
    </xf>
    <xf numFmtId="0" fontId="9" fillId="0" borderId="8" xfId="0" applyFont="1" applyBorder="1" applyAlignment="1">
      <alignment horizontal="center" vertical="center"/>
    </xf>
    <xf numFmtId="0" fontId="16" fillId="25" borderId="8" xfId="0" applyFont="1" applyFill="1" applyBorder="1" applyAlignment="1">
      <alignment horizontal="center" vertical="center"/>
    </xf>
    <xf numFmtId="0" fontId="9" fillId="17" borderId="8" xfId="0" applyFont="1" applyFill="1" applyBorder="1" applyAlignment="1">
      <alignment horizontal="center" vertical="center"/>
    </xf>
    <xf numFmtId="0" fontId="9" fillId="18" borderId="8" xfId="0" applyFont="1" applyFill="1" applyBorder="1" applyAlignment="1">
      <alignment horizontal="center" vertical="center"/>
    </xf>
    <xf numFmtId="0" fontId="9" fillId="19" borderId="8" xfId="0" applyFont="1" applyFill="1" applyBorder="1" applyAlignment="1">
      <alignment horizontal="center" vertical="center"/>
    </xf>
    <xf numFmtId="0" fontId="9" fillId="20" borderId="8" xfId="0" applyFont="1" applyFill="1" applyBorder="1" applyAlignment="1">
      <alignment horizontal="center" vertical="center"/>
    </xf>
    <xf numFmtId="0" fontId="9" fillId="21" borderId="8" xfId="0" applyFont="1" applyFill="1" applyBorder="1" applyAlignment="1">
      <alignment horizontal="center" vertical="center"/>
    </xf>
    <xf numFmtId="0" fontId="9" fillId="22" borderId="8" xfId="0" applyFont="1" applyFill="1" applyBorder="1" applyAlignment="1">
      <alignment horizontal="center" vertical="center"/>
    </xf>
    <xf numFmtId="0" fontId="9" fillId="23" borderId="8" xfId="0" applyFont="1" applyFill="1" applyBorder="1" applyAlignment="1">
      <alignment horizontal="center" vertical="center"/>
    </xf>
    <xf numFmtId="0" fontId="9" fillId="24" borderId="8" xfId="0" applyFont="1" applyFill="1" applyBorder="1" applyAlignment="1">
      <alignment horizontal="center" vertical="center"/>
    </xf>
    <xf numFmtId="0" fontId="16" fillId="26" borderId="8" xfId="0" applyFont="1" applyFill="1" applyBorder="1" applyAlignment="1">
      <alignment horizontal="center" vertical="center"/>
    </xf>
    <xf numFmtId="0" fontId="9" fillId="0" borderId="8" xfId="0" applyFont="1" applyBorder="1" applyAlignment="1">
      <alignment horizontal="center"/>
    </xf>
    <xf numFmtId="0" fontId="16" fillId="27" borderId="8" xfId="0" applyFont="1" applyFill="1" applyBorder="1" applyAlignment="1">
      <alignment horizontal="center" vertical="center"/>
    </xf>
    <xf numFmtId="0" fontId="2" fillId="2" borderId="8" xfId="0" applyFont="1" applyFill="1" applyBorder="1" applyAlignment="1">
      <alignment horizontal="center" vertical="center"/>
    </xf>
    <xf numFmtId="0" fontId="7" fillId="0" borderId="8" xfId="0" applyFont="1" applyBorder="1" applyAlignment="1">
      <alignment horizontal="center" vertical="center"/>
    </xf>
    <xf numFmtId="9" fontId="7" fillId="0" borderId="8" xfId="0" applyNumberFormat="1" applyFont="1" applyBorder="1" applyAlignment="1">
      <alignment horizontal="center" vertical="center"/>
    </xf>
    <xf numFmtId="0" fontId="8" fillId="0" borderId="8" xfId="0" applyFont="1" applyBorder="1" applyAlignment="1">
      <alignment horizontal="center" vertical="center"/>
    </xf>
    <xf numFmtId="0" fontId="6" fillId="0" borderId="8" xfId="0" applyFont="1" applyBorder="1" applyAlignment="1">
      <alignment horizontal="center" vertical="center"/>
    </xf>
    <xf numFmtId="9" fontId="6" fillId="0" borderId="8" xfId="0" applyNumberFormat="1" applyFont="1" applyBorder="1" applyAlignment="1">
      <alignment horizontal="center" vertical="center"/>
    </xf>
    <xf numFmtId="0" fontId="9" fillId="7" borderId="8" xfId="0" applyFont="1" applyFill="1" applyBorder="1" applyAlignment="1">
      <alignment horizontal="center" vertical="center"/>
    </xf>
    <xf numFmtId="0" fontId="13" fillId="0" borderId="8" xfId="0" applyFont="1" applyBorder="1" applyAlignment="1">
      <alignment horizontal="center" vertical="center"/>
    </xf>
    <xf numFmtId="9" fontId="13" fillId="0" borderId="8" xfId="0" applyNumberFormat="1" applyFont="1" applyBorder="1" applyAlignment="1">
      <alignment horizontal="center" vertical="center"/>
    </xf>
    <xf numFmtId="0" fontId="9" fillId="9" borderId="8" xfId="0" applyFont="1" applyFill="1" applyBorder="1" applyAlignment="1">
      <alignment horizontal="center" vertical="center"/>
    </xf>
    <xf numFmtId="0" fontId="14" fillId="11" borderId="8" xfId="0" applyFont="1" applyFill="1" applyBorder="1" applyAlignment="1">
      <alignment horizontal="center" vertical="center"/>
    </xf>
    <xf numFmtId="0" fontId="14" fillId="12" borderId="8" xfId="0" applyFont="1" applyFill="1" applyBorder="1" applyAlignment="1">
      <alignment horizontal="center" vertical="center"/>
    </xf>
    <xf numFmtId="0" fontId="9" fillId="13" borderId="8" xfId="0" applyFont="1" applyFill="1" applyBorder="1" applyAlignment="1">
      <alignment horizontal="center" vertical="center"/>
    </xf>
    <xf numFmtId="0" fontId="9" fillId="4" borderId="8" xfId="0" applyFont="1" applyFill="1" applyBorder="1" applyAlignment="1">
      <alignment horizontal="center" vertical="center"/>
    </xf>
    <xf numFmtId="0" fontId="9" fillId="14" borderId="8" xfId="0" applyFont="1" applyFill="1" applyBorder="1" applyAlignment="1">
      <alignment horizontal="center" vertical="center"/>
    </xf>
    <xf numFmtId="0" fontId="5" fillId="5" borderId="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5" xfId="0" applyBorder="1" applyAlignment="1"/>
    <xf numFmtId="0" fontId="0" fillId="0" borderId="6" xfId="0" applyBorder="1" applyAlignment="1"/>
  </cellXfs>
  <cellStyles count="1">
    <cellStyle name="Normal" xfId="0" builtinId="0"/>
  </cellStyles>
  <dxfs count="99">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2"/>
  <sheetViews>
    <sheetView tabSelected="1"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0.85546875" customWidth="1"/>
    <col min="12" max="12" width="20" customWidth="1"/>
    <col min="13" max="13" width="11.5703125" customWidth="1"/>
    <col min="15" max="15" width="22" customWidth="1"/>
    <col min="30" max="30" width="24.42578125" customWidth="1"/>
    <col min="31" max="31" width="11.85546875" customWidth="1"/>
    <col min="33" max="33" width="24.42578125" customWidth="1"/>
    <col min="34" max="34" width="11.85546875" customWidth="1"/>
    <col min="36" max="36" width="24.42578125" customWidth="1"/>
    <col min="37" max="37" width="11.85546875" customWidth="1"/>
  </cols>
  <sheetData>
    <row r="1" spans="1:37" ht="18.75" customHeight="1">
      <c r="A1" s="1" t="s">
        <v>0</v>
      </c>
      <c r="B1" s="1" t="s">
        <v>1</v>
      </c>
      <c r="C1" s="1" t="s">
        <v>2</v>
      </c>
      <c r="D1" s="1" t="s">
        <v>3</v>
      </c>
      <c r="E1" s="1" t="s">
        <v>2</v>
      </c>
      <c r="F1" s="1" t="s">
        <v>4</v>
      </c>
      <c r="G1" s="1" t="s">
        <v>2</v>
      </c>
      <c r="H1" s="1" t="s">
        <v>5</v>
      </c>
      <c r="I1" s="1" t="s">
        <v>2</v>
      </c>
      <c r="J1" s="1" t="s">
        <v>6</v>
      </c>
      <c r="L1" s="26" t="s">
        <v>7</v>
      </c>
      <c r="M1" s="26" t="s">
        <v>8</v>
      </c>
      <c r="O1" s="2" t="s">
        <v>9</v>
      </c>
      <c r="P1" s="3" t="s">
        <v>10</v>
      </c>
      <c r="Q1" s="3" t="s">
        <v>11</v>
      </c>
      <c r="R1" s="3" t="s">
        <v>12</v>
      </c>
      <c r="AD1" s="41" t="s">
        <v>13</v>
      </c>
      <c r="AE1" s="44"/>
      <c r="AG1" s="41" t="s">
        <v>14</v>
      </c>
      <c r="AH1" s="44"/>
      <c r="AJ1" s="41" t="s">
        <v>15</v>
      </c>
      <c r="AK1" s="44"/>
    </row>
    <row r="2" spans="1:37" ht="15.75" customHeight="1">
      <c r="A2" s="27" t="s">
        <v>16</v>
      </c>
      <c r="B2" s="27">
        <f ca="1">COUNTIF(AE2:AE51,"Enviado")</f>
        <v>50</v>
      </c>
      <c r="C2" s="28">
        <f ca="1">B2/SUM($B2,$D2,$F2,$H2)</f>
        <v>1</v>
      </c>
      <c r="D2" s="27">
        <f ca="1">COUNTIF(AE2:AE51,"Atrasado")</f>
        <v>0</v>
      </c>
      <c r="E2" s="28">
        <f ca="1">D2/SUM($B2,$D2,$F2,$H2)</f>
        <v>0</v>
      </c>
      <c r="F2" s="27">
        <f ca="1">COUNTIF(AE2:AE51,"Sem Técnico")</f>
        <v>0</v>
      </c>
      <c r="G2" s="28">
        <f ca="1">F2/SUM($B2,$D2,$F2,$H2)</f>
        <v>0</v>
      </c>
      <c r="H2" s="27">
        <f ca="1">COUNTIF(AE2:AE51,"Duplicado")</f>
        <v>0</v>
      </c>
      <c r="I2" s="28">
        <f ca="1">H2/SUM($B2,$D2,$F2,$H2)</f>
        <v>0</v>
      </c>
      <c r="J2" s="29">
        <f ca="1">SUM(B2,D2,F2,H2)</f>
        <v>50</v>
      </c>
      <c r="L2" s="20" t="s">
        <v>17</v>
      </c>
      <c r="M2" s="20" t="s">
        <v>18</v>
      </c>
      <c r="O2" s="4" t="s">
        <v>19</v>
      </c>
      <c r="P2" s="5">
        <f ca="1">B2+H2</f>
        <v>50</v>
      </c>
      <c r="Q2" s="5">
        <f ca="1">D2</f>
        <v>0</v>
      </c>
      <c r="R2" s="5">
        <f ca="1">F2</f>
        <v>0</v>
      </c>
      <c r="AD2" s="30" t="str">
        <f t="array" aca="1" ref="AD2:AD52" ca="1">_xlfn.UNIQUE(INDIRECT("'Form 1 - Município'!B2:B70"))</f>
        <v>Alto Paraná</v>
      </c>
      <c r="AE2" s="30" t="str">
        <f ca="1">VLOOKUP(AD2,INDIRECT("'Form 1 - Município'!$B$2:$E$70"),4,FALSE)</f>
        <v>Enviado</v>
      </c>
      <c r="AG2" s="30" t="str">
        <f t="array" aca="1" ref="AG2:AG52" ca="1">_xlfn.UNIQUE(INDIRECT("'Form 2 - UVR'!B2:B70"))</f>
        <v>Alto Paraná</v>
      </c>
      <c r="AH2" s="30" t="str">
        <f ca="1">VLOOKUP(AG2,INDIRECT("'Form 2 - UVR'!$B$2:$E$70"),4,FALSE)</f>
        <v>Enviado</v>
      </c>
      <c r="AJ2" s="30" t="str">
        <f t="array" aca="1" ref="AJ2:AJ52" ca="1">_xlfn.UNIQUE(INDIRECT("'Form 3 - Empreendimento'!B2:B70"))</f>
        <v>Alto Paraná</v>
      </c>
      <c r="AK2" s="30" t="str">
        <f ca="1">VLOOKUP(AJ2,INDIRECT("'Form 3 - Empreendimento'!$B$2:$E$70"),4,FALSE)</f>
        <v>Enviado</v>
      </c>
    </row>
    <row r="3" spans="1:37" ht="15.75" customHeight="1">
      <c r="A3" s="27" t="s">
        <v>20</v>
      </c>
      <c r="B3" s="27">
        <f ca="1">COUNTIF(AH2:AH51,"Enviado")</f>
        <v>45</v>
      </c>
      <c r="C3" s="28">
        <f ca="1">B3/SUM($B3,$D3,$F3,$H3)</f>
        <v>0.9</v>
      </c>
      <c r="D3" s="27">
        <f ca="1">COUNTIF(AH2:AH51,"Atrasado")</f>
        <v>0</v>
      </c>
      <c r="E3" s="28">
        <f ca="1">D3/SUM($B3,$D3,$F3,$H3)</f>
        <v>0</v>
      </c>
      <c r="F3" s="27">
        <f ca="1">COUNTIF(AH2:AH51,"Sem Técnico")</f>
        <v>1</v>
      </c>
      <c r="G3" s="28">
        <f ca="1">F3/SUM($B3,$D3,$F3,$H3)</f>
        <v>0.02</v>
      </c>
      <c r="H3" s="27">
        <f ca="1">COUNTIF(AH2:AH51,"Duplicado")</f>
        <v>4</v>
      </c>
      <c r="I3" s="28">
        <f ca="1">H3/SUM($B3,$D3,$F3,$H3)</f>
        <v>0.08</v>
      </c>
      <c r="J3" s="29">
        <f ca="1">SUM(B3,D3,F3,H3)</f>
        <v>50</v>
      </c>
      <c r="L3" s="17" t="s">
        <v>21</v>
      </c>
      <c r="M3" s="17" t="s">
        <v>22</v>
      </c>
      <c r="O3" s="4" t="s">
        <v>23</v>
      </c>
      <c r="P3" s="5">
        <f ca="1">B3+H3</f>
        <v>49</v>
      </c>
      <c r="Q3" s="5">
        <f ca="1">D3</f>
        <v>0</v>
      </c>
      <c r="R3" s="5">
        <f ca="1">F3</f>
        <v>1</v>
      </c>
      <c r="AD3" s="30" t="str">
        <f ca="1"/>
        <v>Amaporã</v>
      </c>
      <c r="AE3" s="30" t="str">
        <f ca="1">VLOOKUP(AD3,INDIRECT("'Form 1 - Município'!$B$2:$E$70"),4,FALSE)</f>
        <v>Enviado</v>
      </c>
      <c r="AG3" s="30" t="str">
        <f ca="1"/>
        <v>Amaporã</v>
      </c>
      <c r="AH3" s="30" t="str">
        <f ca="1">VLOOKUP(AG3,INDIRECT("'Form 2 - UVR'!$B$2:$E$70"),4,FALSE)</f>
        <v>Enviado</v>
      </c>
      <c r="AJ3" s="30" t="str">
        <f ca="1"/>
        <v>Amaporã</v>
      </c>
      <c r="AK3" s="30" t="str">
        <f ca="1">VLOOKUP(AJ3,INDIRECT("'Form 3 - Empreendimento'!$B$2:$E$70"),4,FALSE)</f>
        <v>Enviado</v>
      </c>
    </row>
    <row r="4" spans="1:37" ht="15.75" customHeight="1">
      <c r="A4" s="27" t="s">
        <v>24</v>
      </c>
      <c r="B4" s="27">
        <f ca="1">COUNTIF(AK2:AK51,"Enviado")</f>
        <v>47</v>
      </c>
      <c r="C4" s="28">
        <f ca="1">B4/SUM($B4,$D4,$F4,$H4)</f>
        <v>0.94</v>
      </c>
      <c r="D4" s="27">
        <f ca="1">COUNTIF(AK2:AK51,"Atrasado")</f>
        <v>0</v>
      </c>
      <c r="E4" s="28">
        <f ca="1">D4/SUM($B4,$D4,$F4,$H4)</f>
        <v>0</v>
      </c>
      <c r="F4" s="27">
        <f ca="1">COUNTIF(AK2:AK51,"Sem Técnico")</f>
        <v>0</v>
      </c>
      <c r="G4" s="28">
        <f ca="1">F4/SUM($B4,$D4,$F4,$H4)</f>
        <v>0</v>
      </c>
      <c r="H4" s="27">
        <f ca="1">COUNTIF(AK2:AK51,"Duplicado")</f>
        <v>3</v>
      </c>
      <c r="I4" s="28">
        <f ca="1">H4/SUM($B4,$D4,$F4,$H4)</f>
        <v>0.06</v>
      </c>
      <c r="J4" s="29">
        <f ca="1">SUM(B4,D4,F4,H4)</f>
        <v>50</v>
      </c>
      <c r="L4" s="19" t="s">
        <v>25</v>
      </c>
      <c r="M4" s="19" t="s">
        <v>26</v>
      </c>
      <c r="O4" s="4" t="s">
        <v>27</v>
      </c>
      <c r="P4" s="5">
        <f ca="1">B4+H4</f>
        <v>50</v>
      </c>
      <c r="Q4" s="5">
        <f ca="1">D4</f>
        <v>0</v>
      </c>
      <c r="R4" s="5">
        <f ca="1">F4</f>
        <v>0</v>
      </c>
      <c r="AD4" s="30" t="str">
        <f ca="1"/>
        <v>Apucarana</v>
      </c>
      <c r="AE4" s="30" t="str">
        <f ca="1">VLOOKUP(AD4,INDIRECT("'Form 1 - Município'!$B$2:$E$70"),4,FALSE)</f>
        <v>Enviado</v>
      </c>
      <c r="AG4" s="30" t="str">
        <f ca="1"/>
        <v>Apucarana</v>
      </c>
      <c r="AH4" s="30" t="str">
        <f ca="1">VLOOKUP(AG4,INDIRECT("'Form 2 - UVR'!$B$2:$E$70"),4,FALSE)</f>
        <v>Enviado</v>
      </c>
      <c r="AJ4" s="30" t="str">
        <f ca="1"/>
        <v>Apucarana</v>
      </c>
      <c r="AK4" s="30" t="str">
        <f ca="1">VLOOKUP(AJ4,INDIRECT("'Form 3 - Empreendimento'!$B$2:$E$70"),4,FALSE)</f>
        <v>Enviado</v>
      </c>
    </row>
    <row r="5" spans="1:37" ht="15.75" customHeight="1">
      <c r="A5" s="29" t="s">
        <v>6</v>
      </c>
      <c r="B5" s="29">
        <f ca="1">SUM(B2:B4)</f>
        <v>142</v>
      </c>
      <c r="C5" s="28">
        <f ca="1">B5/SUM($B5,$D5,$F5,$H5)</f>
        <v>0.94666666666666666</v>
      </c>
      <c r="D5" s="29">
        <f ca="1">SUM(D2:D4)</f>
        <v>0</v>
      </c>
      <c r="E5" s="28">
        <f ca="1">D5/SUM($B5,$D5,$F5,$H5)</f>
        <v>0</v>
      </c>
      <c r="F5" s="29">
        <f ca="1">SUM(F2:F4)</f>
        <v>1</v>
      </c>
      <c r="G5" s="28">
        <f ca="1">F5/SUM($B5,$D5,$F5,$H5)</f>
        <v>6.6666666666666671E-3</v>
      </c>
      <c r="H5" s="29">
        <f ca="1">SUM(H2:H4)</f>
        <v>7</v>
      </c>
      <c r="I5" s="28">
        <f ca="1">H5/SUM($B5,$D5,$F5,$H5)</f>
        <v>4.6666666666666669E-2</v>
      </c>
      <c r="J5" s="29">
        <f ca="1">SUM(J2:J4)</f>
        <v>150</v>
      </c>
      <c r="L5" s="21" t="s">
        <v>28</v>
      </c>
      <c r="M5" s="21"/>
      <c r="AD5" s="30" t="str">
        <f ca="1"/>
        <v>Atalaia</v>
      </c>
      <c r="AE5" s="30" t="str">
        <f ca="1">VLOOKUP(AD5,INDIRECT("'Form 1 - Município'!$B$2:$E$70"),4,FALSE)</f>
        <v>Enviado</v>
      </c>
      <c r="AG5" s="30" t="str">
        <f ca="1"/>
        <v>Atalaia</v>
      </c>
      <c r="AH5" s="30" t="str">
        <f ca="1">VLOOKUP(AG5,INDIRECT("'Form 2 - UVR'!$B$2:$E$70"),4,FALSE)</f>
        <v>Enviado</v>
      </c>
      <c r="AJ5" s="30" t="str">
        <f ca="1"/>
        <v>Atalaia</v>
      </c>
      <c r="AK5" s="30" t="str">
        <f ca="1">VLOOKUP(AJ5,INDIRECT("'Form 3 - Empreendimento'!$B$2:$E$70"),4,FALSE)</f>
        <v>Enviado</v>
      </c>
    </row>
    <row r="6" spans="1:37">
      <c r="L6" s="18" t="s">
        <v>29</v>
      </c>
      <c r="M6" s="18" t="s">
        <v>30</v>
      </c>
      <c r="AD6" s="30" t="str">
        <f ca="1"/>
        <v>Barracão</v>
      </c>
      <c r="AE6" s="30" t="str">
        <f ca="1">VLOOKUP(AD6,INDIRECT("'Form 1 - Município'!$B$2:$E$70"),4,FALSE)</f>
        <v>Enviado</v>
      </c>
      <c r="AG6" s="30" t="str">
        <f ca="1"/>
        <v>Barracão</v>
      </c>
      <c r="AH6" s="30" t="str">
        <f ca="1">VLOOKUP(AG6,INDIRECT("'Form 2 - UVR'!$B$2:$E$70"),4,FALSE)</f>
        <v>Enviado</v>
      </c>
      <c r="AJ6" s="30" t="str">
        <f ca="1"/>
        <v>Barracão</v>
      </c>
      <c r="AK6" s="30" t="str">
        <f ca="1">VLOOKUP(AJ6,INDIRECT("'Form 3 - Empreendimento'!$B$2:$E$70"),4,FALSE)</f>
        <v>Enviado</v>
      </c>
    </row>
    <row r="7" spans="1:37">
      <c r="L7" s="16" t="s">
        <v>31</v>
      </c>
      <c r="M7" s="16" t="s">
        <v>32</v>
      </c>
      <c r="AD7" s="30" t="str">
        <f ca="1"/>
        <v>Borrazópolis</v>
      </c>
      <c r="AE7" s="30" t="str">
        <f ca="1">VLOOKUP(AD7,INDIRECT("'Form 1 - Município'!$B$2:$E$70"),4,FALSE)</f>
        <v>Enviado</v>
      </c>
      <c r="AG7" s="30" t="str">
        <f ca="1"/>
        <v>Borrazópolis</v>
      </c>
      <c r="AH7" s="30" t="str">
        <f ca="1">VLOOKUP(AG7,INDIRECT("'Form 2 - UVR'!$B$2:$E$70"),4,FALSE)</f>
        <v>Enviado</v>
      </c>
      <c r="AJ7" s="30" t="str">
        <f ca="1"/>
        <v>Borrazópolis</v>
      </c>
      <c r="AK7" s="30" t="str">
        <f ca="1">VLOOKUP(AJ7,INDIRECT("'Form 3 - Empreendimento'!$B$2:$E$70"),4,FALSE)</f>
        <v>Enviado</v>
      </c>
    </row>
    <row r="8" spans="1:37">
      <c r="L8" s="12" t="s">
        <v>33</v>
      </c>
      <c r="M8" s="12" t="s">
        <v>34</v>
      </c>
      <c r="AD8" s="30" t="str">
        <f ca="1"/>
        <v>Cambará</v>
      </c>
      <c r="AE8" s="30" t="str">
        <f ca="1">VLOOKUP(AD8,INDIRECT("'Form 1 - Município'!$B$2:$E$70"),4,FALSE)</f>
        <v>Enviado</v>
      </c>
      <c r="AG8" s="30" t="str">
        <f ca="1"/>
        <v>Cambará</v>
      </c>
      <c r="AH8" s="30" t="str">
        <f ca="1">VLOOKUP(AG8,INDIRECT("'Form 2 - UVR'!$B$2:$E$70"),4,FALSE)</f>
        <v>Enviado</v>
      </c>
      <c r="AJ8" s="30" t="str">
        <f ca="1"/>
        <v>Cambará</v>
      </c>
      <c r="AK8" s="30" t="str">
        <f ca="1">VLOOKUP(AJ8,INDIRECT("'Form 3 - Empreendimento'!$B$2:$E$70"),4,FALSE)</f>
        <v>Enviado</v>
      </c>
    </row>
    <row r="9" spans="1:37" ht="18.75" customHeight="1">
      <c r="A9" s="1" t="s">
        <v>0</v>
      </c>
      <c r="B9" s="1" t="s">
        <v>35</v>
      </c>
      <c r="C9" s="1" t="s">
        <v>2</v>
      </c>
      <c r="AD9" s="30" t="str">
        <f ca="1"/>
        <v>Campina Da Lagoa</v>
      </c>
      <c r="AE9" s="30" t="str">
        <f ca="1">VLOOKUP(AD9,INDIRECT("'Form 1 - Município'!$B$2:$E$70"),4,FALSE)</f>
        <v>Enviado</v>
      </c>
      <c r="AG9" s="30" t="str">
        <f ca="1"/>
        <v>Campina Da Lagoa</v>
      </c>
      <c r="AH9" s="30" t="str">
        <f ca="1">VLOOKUP(AG9,INDIRECT("'Form 2 - UVR'!$B$2:$E$70"),4,FALSE)</f>
        <v>Enviado</v>
      </c>
      <c r="AJ9" s="30" t="str">
        <f ca="1"/>
        <v>Campina Da Lagoa</v>
      </c>
      <c r="AK9" s="30" t="str">
        <f ca="1">VLOOKUP(AJ9,INDIRECT("'Form 3 - Empreendimento'!$B$2:$E$70"),4,FALSE)</f>
        <v>Enviado</v>
      </c>
    </row>
    <row r="10" spans="1:37" ht="15.75" customHeight="1">
      <c r="A10" s="6" t="s">
        <v>16</v>
      </c>
      <c r="B10" s="27">
        <f ca="1">COUNTIF(INDIRECT("'Form 1 - Município'!G2:G100"),"Sim")</f>
        <v>55</v>
      </c>
      <c r="C10" s="31">
        <f ca="1">$B$10/(COUNTA(INDIRECT("'Form 1 - Município'!B2:B70")))</f>
        <v>0.96491228070175439</v>
      </c>
      <c r="AD10" s="30" t="str">
        <f ca="1"/>
        <v>Campo Largo</v>
      </c>
      <c r="AE10" s="30" t="str">
        <f ca="1">VLOOKUP(AD10,INDIRECT("'Form 1 - Município'!$B$2:$E$70"),4,FALSE)</f>
        <v>Enviado</v>
      </c>
      <c r="AG10" s="30" t="str">
        <f ca="1"/>
        <v>Campo Largo</v>
      </c>
      <c r="AH10" s="30" t="str">
        <f ca="1">VLOOKUP(AG10,INDIRECT("'Form 2 - UVR'!$B$2:$E$70"),4,FALSE)</f>
        <v>Enviado</v>
      </c>
      <c r="AJ10" s="30" t="str">
        <f ca="1"/>
        <v>Campo Largo</v>
      </c>
      <c r="AK10" s="30" t="str">
        <f ca="1">VLOOKUP(AJ10,INDIRECT("'Form 3 - Empreendimento'!$B$2:$E$70"),4,FALSE)</f>
        <v>Enviado</v>
      </c>
    </row>
    <row r="11" spans="1:37" ht="15.75" customHeight="1">
      <c r="A11" s="6" t="s">
        <v>20</v>
      </c>
      <c r="B11" s="27">
        <f ca="1">COUNTIF(INDIRECT("'Form 2 - UVR'!G2:G100"),"Sim")</f>
        <v>52</v>
      </c>
      <c r="C11" s="31">
        <f ca="1">$B$11/(COUNTA(INDIRECT("'Form 2 - UVR'!B2:B70")))</f>
        <v>0.91228070175438591</v>
      </c>
      <c r="AD11" s="30" t="str">
        <f ca="1"/>
        <v>Campo Magro</v>
      </c>
      <c r="AE11" s="30" t="str">
        <f ca="1">VLOOKUP(AD11,INDIRECT("'Form 1 - Município'!$B$2:$E$70"),4,FALSE)</f>
        <v>Enviado</v>
      </c>
      <c r="AG11" s="30" t="str">
        <f ca="1"/>
        <v>Campo Magro</v>
      </c>
      <c r="AH11" s="30" t="str">
        <f ca="1">VLOOKUP(AG11,INDIRECT("'Form 2 - UVR'!$B$2:$E$70"),4,FALSE)</f>
        <v>Enviado</v>
      </c>
      <c r="AJ11" s="30" t="str">
        <f ca="1"/>
        <v>Campo Magro</v>
      </c>
      <c r="AK11" s="30" t="str">
        <f ca="1">VLOOKUP(AJ11,INDIRECT("'Form 3 - Empreendimento'!$B$2:$E$70"),4,FALSE)</f>
        <v>Enviado</v>
      </c>
    </row>
    <row r="12" spans="1:37" ht="15.75" customHeight="1">
      <c r="A12" s="6" t="s">
        <v>24</v>
      </c>
      <c r="B12" s="27">
        <f ca="1">COUNTIF(INDIRECT("'Form 3 - Empreendimento'!G2:G100"),"Sim")</f>
        <v>52</v>
      </c>
      <c r="C12" s="31">
        <f ca="1">$B$12/(COUNTA(INDIRECT("'Form 3 - Empreendimento'!B2:B70")))</f>
        <v>0.91228070175438591</v>
      </c>
      <c r="AD12" s="30" t="str">
        <f ca="1"/>
        <v>Capanema</v>
      </c>
      <c r="AE12" s="30" t="str">
        <f ca="1">VLOOKUP(AD12,INDIRECT("'Form 1 - Município'!$B$2:$E$70"),4,FALSE)</f>
        <v>Enviado</v>
      </c>
      <c r="AG12" s="30" t="str">
        <f ca="1"/>
        <v>Capanema</v>
      </c>
      <c r="AH12" s="30" t="str">
        <f ca="1">VLOOKUP(AG12,INDIRECT("'Form 2 - UVR'!$B$2:$E$70"),4,FALSE)</f>
        <v>Enviado</v>
      </c>
      <c r="AJ12" s="30" t="str">
        <f ca="1"/>
        <v>Capanema</v>
      </c>
      <c r="AK12" s="30" t="str">
        <f ca="1">VLOOKUP(AJ12,INDIRECT("'Form 3 - Empreendimento'!$B$2:$E$70"),4,FALSE)</f>
        <v>Enviado</v>
      </c>
    </row>
    <row r="13" spans="1:37">
      <c r="AD13" s="30" t="str">
        <f ca="1"/>
        <v>Cerro Azul</v>
      </c>
      <c r="AE13" s="30" t="str">
        <f ca="1">VLOOKUP(AD13,INDIRECT("'Form 1 - Município'!$B$2:$E$70"),4,FALSE)</f>
        <v>Enviado</v>
      </c>
      <c r="AG13" s="30" t="str">
        <f ca="1"/>
        <v>Cerro Azul</v>
      </c>
      <c r="AH13" s="30" t="str">
        <f ca="1">VLOOKUP(AG13,INDIRECT("'Form 2 - UVR'!$B$2:$E$70"),4,FALSE)</f>
        <v>Enviado</v>
      </c>
      <c r="AJ13" s="30" t="str">
        <f ca="1"/>
        <v>Cerro Azul</v>
      </c>
      <c r="AK13" s="30" t="str">
        <f ca="1">VLOOKUP(AJ13,INDIRECT("'Form 3 - Empreendimento'!$B$2:$E$70"),4,FALSE)</f>
        <v>Enviado</v>
      </c>
    </row>
    <row r="14" spans="1:37">
      <c r="AD14" s="30" t="str">
        <f ca="1"/>
        <v>Colorado</v>
      </c>
      <c r="AE14" s="30" t="str">
        <f ca="1">VLOOKUP(AD14,INDIRECT("'Form 1 - Município'!$B$2:$E$70"),4,FALSE)</f>
        <v>Enviado</v>
      </c>
      <c r="AG14" s="30" t="str">
        <f ca="1"/>
        <v>Colorado</v>
      </c>
      <c r="AH14" s="30" t="str">
        <f ca="1">VLOOKUP(AG14,INDIRECT("'Form 2 - UVR'!$B$2:$E$70"),4,FALSE)</f>
        <v>Enviado</v>
      </c>
      <c r="AJ14" s="30" t="str">
        <f ca="1"/>
        <v>Colorado</v>
      </c>
      <c r="AK14" s="30" t="str">
        <f ca="1">VLOOKUP(AJ14,INDIRECT("'Form 3 - Empreendimento'!$B$2:$E$70"),4,FALSE)</f>
        <v>Enviado</v>
      </c>
    </row>
    <row r="15" spans="1:37" ht="15.75" customHeight="1">
      <c r="A15" s="42" t="s">
        <v>8</v>
      </c>
      <c r="B15" s="43" t="s">
        <v>36</v>
      </c>
      <c r="C15" s="44"/>
      <c r="D15" s="43" t="s">
        <v>37</v>
      </c>
      <c r="E15" s="44"/>
      <c r="F15" s="43" t="s">
        <v>38</v>
      </c>
      <c r="G15" s="44"/>
      <c r="AD15" s="30" t="str">
        <f ca="1"/>
        <v>Coronel Vivida</v>
      </c>
      <c r="AE15" s="30" t="str">
        <f ca="1">VLOOKUP(AD15,INDIRECT("'Form 1 - Município'!$B$2:$E$70"),4,FALSE)</f>
        <v>Enviado</v>
      </c>
      <c r="AG15" s="30" t="str">
        <f ca="1"/>
        <v>Coronel Vivida</v>
      </c>
      <c r="AH15" s="30" t="str">
        <f ca="1">VLOOKUP(AG15,INDIRECT("'Form 2 - UVR'!$B$2:$E$70"),4,FALSE)</f>
        <v>Enviado</v>
      </c>
      <c r="AJ15" s="30" t="str">
        <f ca="1"/>
        <v>Coronel Vivida</v>
      </c>
      <c r="AK15" s="30" t="str">
        <f ca="1">VLOOKUP(AJ15,INDIRECT("'Form 3 - Empreendimento'!$B$2:$E$70"),4,FALSE)</f>
        <v>Enviado</v>
      </c>
    </row>
    <row r="16" spans="1:37" ht="15.75" customHeight="1">
      <c r="A16" s="45"/>
      <c r="B16" s="7" t="s">
        <v>35</v>
      </c>
      <c r="C16" s="7" t="s">
        <v>2</v>
      </c>
      <c r="D16" s="7" t="s">
        <v>35</v>
      </c>
      <c r="E16" s="7" t="s">
        <v>2</v>
      </c>
      <c r="F16" s="7" t="s">
        <v>35</v>
      </c>
      <c r="G16" s="7" t="s">
        <v>2</v>
      </c>
      <c r="AD16" s="30" t="str">
        <f ca="1"/>
        <v>Cruzeiro Do Sul</v>
      </c>
      <c r="AE16" s="30" t="str">
        <f ca="1">VLOOKUP(AD16,INDIRECT("'Form 1 - Município'!$B$2:$E$70"),4,FALSE)</f>
        <v>Enviado</v>
      </c>
      <c r="AG16" s="30" t="str">
        <f ca="1"/>
        <v>Cruzeiro Do Sul</v>
      </c>
      <c r="AH16" s="30" t="str">
        <f ca="1">VLOOKUP(AG16,INDIRECT("'Form 2 - UVR'!$B$2:$E$70"),4,FALSE)</f>
        <v>Enviado</v>
      </c>
      <c r="AJ16" s="30" t="str">
        <f ca="1"/>
        <v>Cruzeiro Do Sul</v>
      </c>
      <c r="AK16" s="30" t="str">
        <f ca="1">VLOOKUP(AJ16,INDIRECT("'Form 3 - Empreendimento'!$B$2:$E$70"),4,FALSE)</f>
        <v>Enviado</v>
      </c>
    </row>
    <row r="17" spans="1:37">
      <c r="A17" s="20" t="s">
        <v>17</v>
      </c>
      <c r="B17" s="30">
        <f t="array" aca="1" ref="B17" ca="1">IFERROR(ROWS(_xlfn._xlws.FILTER(INDIRECT("'"&amp;B$15&amp;"'!A2:K100"),(INDIRECT("'"&amp;B$15&amp;"'!A2:A100")=$A17) * (INDIRECT("'"&amp;B$15&amp;"'!G2:G100")="Sim"))), 0)</f>
        <v>13</v>
      </c>
      <c r="C17" s="31">
        <f ca="1">B17/(COUNTA(INDIRECT("'Form 1 - Município'!B2:B70")))</f>
        <v>0.22807017543859648</v>
      </c>
      <c r="D17" s="30">
        <f t="array" aca="1" ref="D17" ca="1">IFERROR(ROWS(_xlfn._xlws.FILTER(INDIRECT("'"&amp;D$15&amp;"'!A2:K100"),(INDIRECT("'"&amp;D$15&amp;"'!A2:A100")=$A17) * (INDIRECT("'"&amp;D$15&amp;"'!G2:G100")="Sim"))), 0)</f>
        <v>13</v>
      </c>
      <c r="E17" s="31">
        <f ca="1">D17/(COUNTA(INDIRECT("'Form 2 - UVR'!B2:B70")))</f>
        <v>0.22807017543859648</v>
      </c>
      <c r="F17" s="30">
        <f t="array" aca="1" ref="F17" ca="1">IFERROR(ROWS(_xlfn._xlws.FILTER(INDIRECT("'"&amp;F$15&amp;"'!A2:K100"),(INDIRECT("'"&amp;F$15&amp;"'!A2:A100")=$A17) * (INDIRECT("'"&amp;F$15&amp;"'!G2:G100")="Sim"))), 0)</f>
        <v>11</v>
      </c>
      <c r="G17" s="31">
        <f ca="1">F17/(COUNTA(INDIRECT("'Form 3 - Empreendimento'!B2:B70")))</f>
        <v>0.19298245614035087</v>
      </c>
      <c r="AD17" s="30" t="str">
        <f ca="1"/>
        <v>Enéas Marques</v>
      </c>
      <c r="AE17" s="30" t="str">
        <f ca="1">VLOOKUP(AD17,INDIRECT("'Form 1 - Município'!$B$2:$E$70"),4,FALSE)</f>
        <v>Enviado</v>
      </c>
      <c r="AG17" s="30" t="str">
        <f ca="1"/>
        <v>Enéas Marques</v>
      </c>
      <c r="AH17" s="30" t="str">
        <f ca="1">VLOOKUP(AG17,INDIRECT("'Form 2 - UVR'!$B$2:$E$70"),4,FALSE)</f>
        <v>Duplicado</v>
      </c>
      <c r="AJ17" s="30" t="str">
        <f ca="1"/>
        <v>Enéas Marques</v>
      </c>
      <c r="AK17" s="30" t="str">
        <f ca="1">VLOOKUP(AJ17,INDIRECT("'Form 3 - Empreendimento'!$B$2:$E$70"),4,FALSE)</f>
        <v>Duplicado</v>
      </c>
    </row>
    <row r="18" spans="1:37">
      <c r="A18" s="17" t="s">
        <v>21</v>
      </c>
      <c r="B18" s="30">
        <f t="array" aca="1" ref="B18" ca="1">IFERROR(ROWS(_xlfn._xlws.FILTER(INDIRECT("'"&amp;B$15&amp;"'!A2:K100"),(INDIRECT("'"&amp;B$15&amp;"'!A2:A100")=$A18) * (INDIRECT("'"&amp;B$15&amp;"'!G2:G100")="Sim"))), 0)</f>
        <v>9</v>
      </c>
      <c r="C18" s="31">
        <f ca="1">B18/(COUNTA(INDIRECT("'Form 1 - Município'!B2:B70")))</f>
        <v>0.15789473684210525</v>
      </c>
      <c r="D18" s="30">
        <f t="array" aca="1" ref="D18" ca="1">IFERROR(ROWS(_xlfn._xlws.FILTER(INDIRECT("'"&amp;D$15&amp;"'!A2:K100"),(INDIRECT("'"&amp;D$15&amp;"'!A2:A100")=$A18) * (INDIRECT("'"&amp;D$15&amp;"'!G2:G100")="Sim"))), 0)</f>
        <v>7</v>
      </c>
      <c r="E18" s="31">
        <f ca="1">D18/(COUNTA(INDIRECT("'Form 2 - UVR'!B2:B70")))</f>
        <v>0.12280701754385964</v>
      </c>
      <c r="F18" s="30">
        <f t="array" aca="1" ref="F18" ca="1">IFERROR(ROWS(_xlfn._xlws.FILTER(INDIRECT("'"&amp;F$15&amp;"'!A2:K100"),(INDIRECT("'"&amp;F$15&amp;"'!A2:A100")=$A18) * (INDIRECT("'"&amp;F$15&amp;"'!G2:G100")="Sim"))), 0)</f>
        <v>8</v>
      </c>
      <c r="G18" s="31">
        <f ca="1">F18/(COUNTA(INDIRECT("'Form 3 - Empreendimento'!B2:B70")))</f>
        <v>0.14035087719298245</v>
      </c>
      <c r="AD18" s="30" t="str">
        <f ca="1"/>
        <v>Francisco Beltrão</v>
      </c>
      <c r="AE18" s="30" t="str">
        <f ca="1">VLOOKUP(AD18,INDIRECT("'Form 1 - Município'!$B$2:$E$70"),4,FALSE)</f>
        <v>Enviado</v>
      </c>
      <c r="AG18" s="30" t="str">
        <f ca="1"/>
        <v>Francisco Beltrão</v>
      </c>
      <c r="AH18" s="30" t="str">
        <f ca="1">VLOOKUP(AG18,INDIRECT("'Form 2 - UVR'!$B$2:$E$70"),4,FALSE)</f>
        <v>Duplicado</v>
      </c>
      <c r="AJ18" s="30" t="str">
        <f ca="1"/>
        <v>Francisco Beltrão</v>
      </c>
      <c r="AK18" s="30" t="str">
        <f ca="1">VLOOKUP(AJ18,INDIRECT("'Form 3 - Empreendimento'!$B$2:$E$70"),4,FALSE)</f>
        <v>Enviado</v>
      </c>
    </row>
    <row r="19" spans="1:37">
      <c r="A19" s="19" t="s">
        <v>25</v>
      </c>
      <c r="B19" s="30">
        <f t="array" aca="1" ref="B19" ca="1">IFERROR(ROWS(_xlfn._xlws.FILTER(INDIRECT("'"&amp;B$15&amp;"'!A2:K100"),(INDIRECT("'"&amp;B$15&amp;"'!A2:A100")=$A19) * (INDIRECT("'"&amp;B$15&amp;"'!G2:G100")="Sim"))), 0)</f>
        <v>3</v>
      </c>
      <c r="C19" s="31">
        <f ca="1">B19/(COUNTA(INDIRECT("'Form 1 - Município'!B2:B70")))</f>
        <v>5.2631578947368418E-2</v>
      </c>
      <c r="D19" s="30">
        <f t="array" aca="1" ref="D19" ca="1">IFERROR(ROWS(_xlfn._xlws.FILTER(INDIRECT("'"&amp;D$15&amp;"'!A2:K100"),(INDIRECT("'"&amp;D$15&amp;"'!A2:A100")=$A19) * (INDIRECT("'"&amp;D$15&amp;"'!G2:G100")="Sim"))), 0)</f>
        <v>3</v>
      </c>
      <c r="E19" s="31">
        <f ca="1">D19/(COUNTA(INDIRECT("'Form 2 - UVR'!B2:B70")))</f>
        <v>5.2631578947368418E-2</v>
      </c>
      <c r="F19" s="30">
        <f t="array" aca="1" ref="F19" ca="1">IFERROR(ROWS(_xlfn._xlws.FILTER(INDIRECT("'"&amp;F$15&amp;"'!A2:K100"),(INDIRECT("'"&amp;F$15&amp;"'!A2:A100")=$A19) * (INDIRECT("'"&amp;F$15&amp;"'!G2:G100")="Sim"))), 0)</f>
        <v>3</v>
      </c>
      <c r="G19" s="31">
        <f ca="1">F19/(COUNTA(INDIRECT("'Form 3 - Empreendimento'!B2:B70")))</f>
        <v>5.2631578947368418E-2</v>
      </c>
      <c r="AD19" s="30" t="str">
        <f ca="1"/>
        <v>General Carneiro</v>
      </c>
      <c r="AE19" s="30" t="str">
        <f ca="1">VLOOKUP(AD19,INDIRECT("'Form 1 - Município'!$B$2:$E$70"),4,FALSE)</f>
        <v>Enviado</v>
      </c>
      <c r="AG19" s="30" t="str">
        <f ca="1"/>
        <v>General Carneiro</v>
      </c>
      <c r="AH19" s="30" t="str">
        <f ca="1">VLOOKUP(AG19,INDIRECT("'Form 2 - UVR'!$B$2:$E$70"),4,FALSE)</f>
        <v>Enviado</v>
      </c>
      <c r="AJ19" s="30" t="str">
        <f ca="1"/>
        <v>General Carneiro</v>
      </c>
      <c r="AK19" s="30" t="str">
        <f ca="1">VLOOKUP(AJ19,INDIRECT("'Form 3 - Empreendimento'!$B$2:$E$70"),4,FALSE)</f>
        <v>Enviado</v>
      </c>
    </row>
    <row r="20" spans="1:37">
      <c r="A20" s="21" t="s">
        <v>28</v>
      </c>
      <c r="B20" s="30">
        <f t="array" aca="1" ref="B20" ca="1">IFERROR(ROWS(_xlfn._xlws.FILTER(INDIRECT("'"&amp;B$15&amp;"'!A2:K100"),(INDIRECT("'"&amp;B$15&amp;"'!A2:A100")=$A20) * (INDIRECT("'"&amp;B$15&amp;"'!G2:G100")="Sim"))), 0)</f>
        <v>6</v>
      </c>
      <c r="C20" s="31">
        <f ca="1">B20/(COUNTA(INDIRECT("'Form 1 - Município'!B2:B70")))</f>
        <v>0.10526315789473684</v>
      </c>
      <c r="D20" s="30">
        <f t="array" aca="1" ref="D20" ca="1">IFERROR(ROWS(_xlfn._xlws.FILTER(INDIRECT("'"&amp;D$15&amp;"'!A2:K100"),(INDIRECT("'"&amp;D$15&amp;"'!A2:A100")=$A20) * (INDIRECT("'"&amp;D$15&amp;"'!G2:G100")="Sim"))), 0)</f>
        <v>6</v>
      </c>
      <c r="E20" s="31">
        <f ca="1">D20/(COUNTA(INDIRECT("'Form 2 - UVR'!B2:B70")))</f>
        <v>0.10526315789473684</v>
      </c>
      <c r="F20" s="30">
        <f t="array" aca="1" ref="F20" ca="1">IFERROR(ROWS(_xlfn._xlws.FILTER(INDIRECT("'"&amp;F$15&amp;"'!A2:K100"),(INDIRECT("'"&amp;F$15&amp;"'!A2:A100")=$A20) * (INDIRECT("'"&amp;F$15&amp;"'!G2:G100")="Sim"))), 0)</f>
        <v>6</v>
      </c>
      <c r="G20" s="31">
        <f ca="1">F20/(COUNTA(INDIRECT("'Form 3 - Empreendimento'!B2:B70")))</f>
        <v>0.10526315789473684</v>
      </c>
      <c r="AD20" s="30" t="str">
        <f ca="1"/>
        <v>Ibaiti</v>
      </c>
      <c r="AE20" s="30" t="str">
        <f ca="1">VLOOKUP(AD20,INDIRECT("'Form 1 - Município'!$B$2:$E$70"),4,FALSE)</f>
        <v>Enviado</v>
      </c>
      <c r="AG20" s="30" t="str">
        <f ca="1"/>
        <v>Ibaiti</v>
      </c>
      <c r="AH20" s="30" t="str">
        <f ca="1">VLOOKUP(AG20,INDIRECT("'Form 2 - UVR'!$B$2:$E$70"),4,FALSE)</f>
        <v>Enviado</v>
      </c>
      <c r="AJ20" s="30" t="str">
        <f ca="1"/>
        <v>Ibaiti</v>
      </c>
      <c r="AK20" s="30" t="str">
        <f ca="1">VLOOKUP(AJ20,INDIRECT("'Form 3 - Empreendimento'!$B$2:$E$70"),4,FALSE)</f>
        <v>Enviado</v>
      </c>
    </row>
    <row r="21" spans="1:37">
      <c r="A21" s="18" t="s">
        <v>29</v>
      </c>
      <c r="B21" s="30">
        <f t="array" aca="1" ref="B21" ca="1">IFERROR(ROWS(_xlfn._xlws.FILTER(INDIRECT("'"&amp;B$15&amp;"'!A2:K100"),(INDIRECT("'"&amp;B$15&amp;"'!A2:A100")=$A21) * (INDIRECT("'"&amp;B$15&amp;"'!G2:G100")="Sim"))), 0)</f>
        <v>8</v>
      </c>
      <c r="C21" s="31">
        <f ca="1">B21/(COUNTA(INDIRECT("'Form 1 - Município'!B2:B70")))</f>
        <v>0.14035087719298245</v>
      </c>
      <c r="D21" s="30">
        <f t="array" aca="1" ref="D21" ca="1">IFERROR(ROWS(_xlfn._xlws.FILTER(INDIRECT("'"&amp;D$15&amp;"'!A2:K100"),(INDIRECT("'"&amp;D$15&amp;"'!A2:A100")=$A21) * (INDIRECT("'"&amp;D$15&amp;"'!G2:G100")="Sim"))), 0)</f>
        <v>8</v>
      </c>
      <c r="E21" s="31">
        <f ca="1">D21/(COUNTA(INDIRECT("'Form 2 - UVR'!B2:B70")))</f>
        <v>0.14035087719298245</v>
      </c>
      <c r="F21" s="30">
        <f t="array" aca="1" ref="F21" ca="1">IFERROR(ROWS(_xlfn._xlws.FILTER(INDIRECT("'"&amp;F$15&amp;"'!A2:K100"),(INDIRECT("'"&amp;F$15&amp;"'!A2:A100")=$A21) * (INDIRECT("'"&amp;F$15&amp;"'!G2:G100")="Sim"))), 0)</f>
        <v>8</v>
      </c>
      <c r="G21" s="31">
        <f ca="1">F21/(COUNTA(INDIRECT("'Form 3 - Empreendimento'!B2:B70")))</f>
        <v>0.14035087719298245</v>
      </c>
      <c r="AD21" s="30" t="str">
        <f ca="1"/>
        <v>Jaguapitã</v>
      </c>
      <c r="AE21" s="30" t="str">
        <f ca="1">VLOOKUP(AD21,INDIRECT("'Form 1 - Município'!$B$2:$E$70"),4,FALSE)</f>
        <v>Enviado</v>
      </c>
      <c r="AG21" s="30" t="str">
        <f ca="1"/>
        <v>Jaguapitã</v>
      </c>
      <c r="AH21" s="30" t="str">
        <f ca="1">VLOOKUP(AG21,INDIRECT("'Form 2 - UVR'!$B$2:$E$70"),4,FALSE)</f>
        <v>Enviado</v>
      </c>
      <c r="AJ21" s="30" t="str">
        <f ca="1"/>
        <v>Jaguapitã</v>
      </c>
      <c r="AK21" s="30" t="str">
        <f ca="1">VLOOKUP(AJ21,INDIRECT("'Form 3 - Empreendimento'!$B$2:$E$70"),4,FALSE)</f>
        <v>Enviado</v>
      </c>
    </row>
    <row r="22" spans="1:37">
      <c r="A22" s="16" t="s">
        <v>31</v>
      </c>
      <c r="B22" s="30">
        <f t="array" aca="1" ref="B22" ca="1">IFERROR(ROWS(_xlfn._xlws.FILTER(INDIRECT("'"&amp;B$15&amp;"'!A2:K100"),(INDIRECT("'"&amp;B$15&amp;"'!A2:A100")=$A22) * (INDIRECT("'"&amp;B$15&amp;"'!G2:G100")="Sim"))), 0)</f>
        <v>8</v>
      </c>
      <c r="C22" s="31">
        <f ca="1">B22/(COUNTA(INDIRECT("'Form 1 - Município'!B2:B70")))</f>
        <v>0.14035087719298245</v>
      </c>
      <c r="D22" s="30">
        <f t="array" aca="1" ref="D22" ca="1">IFERROR(ROWS(_xlfn._xlws.FILTER(INDIRECT("'"&amp;D$15&amp;"'!A2:K100"),(INDIRECT("'"&amp;D$15&amp;"'!A2:A100")=$A22) * (INDIRECT("'"&amp;D$15&amp;"'!G2:G100")="Sim"))), 0)</f>
        <v>8</v>
      </c>
      <c r="E22" s="31">
        <f ca="1">D22/(COUNTA(INDIRECT("'Form 2 - UVR'!B2:B70")))</f>
        <v>0.14035087719298245</v>
      </c>
      <c r="F22" s="30">
        <f t="array" aca="1" ref="F22" ca="1">IFERROR(ROWS(_xlfn._xlws.FILTER(INDIRECT("'"&amp;F$15&amp;"'!A2:K100"),(INDIRECT("'"&amp;F$15&amp;"'!A2:A100")=$A22) * (INDIRECT("'"&amp;F$15&amp;"'!G2:G100")="Sim"))), 0)</f>
        <v>8</v>
      </c>
      <c r="G22" s="31">
        <f ca="1">F22/(COUNTA(INDIRECT("'Form 3 - Empreendimento'!B2:B70")))</f>
        <v>0.14035087719298245</v>
      </c>
      <c r="AD22" s="30" t="str">
        <f ca="1"/>
        <v>Jaguariaíva</v>
      </c>
      <c r="AE22" s="30" t="str">
        <f ca="1">VLOOKUP(AD22,INDIRECT("'Form 1 - Município'!$B$2:$E$70"),4,FALSE)</f>
        <v>Enviado</v>
      </c>
      <c r="AG22" s="30" t="str">
        <f ca="1"/>
        <v>Jaguariaíva</v>
      </c>
      <c r="AH22" s="30" t="str">
        <f ca="1">VLOOKUP(AG22,INDIRECT("'Form 2 - UVR'!$B$2:$E$70"),4,FALSE)</f>
        <v>Enviado</v>
      </c>
      <c r="AJ22" s="30" t="str">
        <f ca="1"/>
        <v>Jaguariaíva</v>
      </c>
      <c r="AK22" s="30" t="str">
        <f ca="1">VLOOKUP(AJ22,INDIRECT("'Form 3 - Empreendimento'!$B$2:$E$70"),4,FALSE)</f>
        <v>Enviado</v>
      </c>
    </row>
    <row r="23" spans="1:37">
      <c r="A23" s="32" t="s">
        <v>33</v>
      </c>
      <c r="B23" s="30">
        <f t="array" aca="1" ref="B23" ca="1">IFERROR(ROWS(_xlfn._xlws.FILTER(INDIRECT("'"&amp;B$15&amp;"'!A2:K100"),(INDIRECT("'"&amp;B$15&amp;"'!A2:A100")=$A23) * (INDIRECT("'"&amp;B$15&amp;"'!G2:G100")="Sim"))), 0)</f>
        <v>8</v>
      </c>
      <c r="C23" s="31">
        <f ca="1">B23/(COUNTA(INDIRECT("'Form 1 - Município'!B2:B70")))</f>
        <v>0.14035087719298245</v>
      </c>
      <c r="D23" s="30">
        <f t="array" aca="1" ref="D23" ca="1">IFERROR(ROWS(_xlfn._xlws.FILTER(INDIRECT("'"&amp;D$15&amp;"'!A2:K100"),(INDIRECT("'"&amp;D$15&amp;"'!A2:A100")=$A23) * (INDIRECT("'"&amp;D$15&amp;"'!G2:G100")="Sim"))), 0)</f>
        <v>7</v>
      </c>
      <c r="E23" s="31">
        <f ca="1">D23/(COUNTA(INDIRECT("'Form 2 - UVR'!B2:B70")))</f>
        <v>0.12280701754385964</v>
      </c>
      <c r="F23" s="30">
        <f t="array" aca="1" ref="F23" ca="1">IFERROR(ROWS(_xlfn._xlws.FILTER(INDIRECT("'"&amp;F$15&amp;"'!A2:K100"),(INDIRECT("'"&amp;F$15&amp;"'!A2:A100")=$A23) * (INDIRECT("'"&amp;F$15&amp;"'!G2:G100")="Sim"))), 0)</f>
        <v>8</v>
      </c>
      <c r="G23" s="31">
        <f ca="1">F23/(COUNTA(INDIRECT("'Form 3 - Empreendimento'!B2:B70")))</f>
        <v>0.14035087719298245</v>
      </c>
      <c r="AD23" s="30" t="str">
        <f ca="1"/>
        <v>Jardim Alegre</v>
      </c>
      <c r="AE23" s="30" t="str">
        <f ca="1">VLOOKUP(AD23,INDIRECT("'Form 1 - Município'!$B$2:$E$70"),4,FALSE)</f>
        <v>Enviado</v>
      </c>
      <c r="AG23" s="30" t="str">
        <f ca="1"/>
        <v>Jardim Alegre</v>
      </c>
      <c r="AH23" s="30" t="str">
        <f ca="1">VLOOKUP(AG23,INDIRECT("'Form 2 - UVR'!$B$2:$E$70"),4,FALSE)</f>
        <v>Enviado</v>
      </c>
      <c r="AJ23" s="30" t="str">
        <f ca="1"/>
        <v>Jardim Alegre</v>
      </c>
      <c r="AK23" s="30" t="str">
        <f ca="1">VLOOKUP(AJ23,INDIRECT("'Form 3 - Empreendimento'!$B$2:$E$70"),4,FALSE)</f>
        <v>Enviado</v>
      </c>
    </row>
    <row r="24" spans="1:37">
      <c r="A24" s="8" t="s">
        <v>6</v>
      </c>
      <c r="B24" s="33">
        <f ca="1">SUM(B17:B23)</f>
        <v>55</v>
      </c>
      <c r="C24" s="34">
        <f ca="1">SUM(C17:C23)</f>
        <v>0.96491228070175428</v>
      </c>
      <c r="D24" s="33">
        <f ca="1">SUM(D17:D23)</f>
        <v>52</v>
      </c>
      <c r="E24" s="34">
        <f ca="1">SUM(E17:E23)</f>
        <v>0.91228070175438591</v>
      </c>
      <c r="F24" s="33">
        <f ca="1">SUM(F17:F23)</f>
        <v>52</v>
      </c>
      <c r="G24" s="34">
        <f ca="1">SUM(G17:G23)</f>
        <v>0.91228070175438591</v>
      </c>
      <c r="AD24" s="30" t="str">
        <f ca="1"/>
        <v>Kaloré</v>
      </c>
      <c r="AE24" s="30" t="str">
        <f ca="1">VLOOKUP(AD24,INDIRECT("'Form 1 - Município'!$B$2:$E$70"),4,FALSE)</f>
        <v>Enviado</v>
      </c>
      <c r="AG24" s="30" t="str">
        <f ca="1"/>
        <v>Kaloré</v>
      </c>
      <c r="AH24" s="30" t="str">
        <f ca="1">VLOOKUP(AG24,INDIRECT("'Form 2 - UVR'!$B$2:$E$70"),4,FALSE)</f>
        <v>Enviado</v>
      </c>
      <c r="AJ24" s="30" t="str">
        <f ca="1"/>
        <v>Kaloré</v>
      </c>
      <c r="AK24" s="30" t="str">
        <f ca="1">VLOOKUP(AJ24,INDIRECT("'Form 3 - Empreendimento'!$B$2:$E$70"),4,FALSE)</f>
        <v>Enviado</v>
      </c>
    </row>
    <row r="25" spans="1:37">
      <c r="AD25" s="30" t="str">
        <f ca="1"/>
        <v>Lapa</v>
      </c>
      <c r="AE25" s="30" t="str">
        <f ca="1">VLOOKUP(AD25,INDIRECT("'Form 1 - Município'!$B$2:$E$70"),4,FALSE)</f>
        <v>Enviado</v>
      </c>
      <c r="AG25" s="30" t="str">
        <f ca="1"/>
        <v>Lapa</v>
      </c>
      <c r="AH25" s="30" t="str">
        <f ca="1">VLOOKUP(AG25,INDIRECT("'Form 2 - UVR'!$B$2:$E$70"),4,FALSE)</f>
        <v>Enviado</v>
      </c>
      <c r="AJ25" s="30" t="str">
        <f ca="1"/>
        <v>Lapa</v>
      </c>
      <c r="AK25" s="30" t="str">
        <f ca="1">VLOOKUP(AJ25,INDIRECT("'Form 3 - Empreendimento'!$B$2:$E$70"),4,FALSE)</f>
        <v>Enviado</v>
      </c>
    </row>
    <row r="26" spans="1:37">
      <c r="AD26" s="30" t="str">
        <f ca="1"/>
        <v>Laranjeiras Do Sul</v>
      </c>
      <c r="AE26" s="30" t="str">
        <f ca="1">VLOOKUP(AD26,INDIRECT("'Form 1 - Município'!$B$2:$E$70"),4,FALSE)</f>
        <v>Enviado</v>
      </c>
      <c r="AG26" s="30" t="str">
        <f ca="1"/>
        <v>Laranjeiras Do Sul</v>
      </c>
      <c r="AH26" s="30" t="str">
        <f ca="1">VLOOKUP(AG26,INDIRECT("'Form 2 - UVR'!$B$2:$E$70"),4,FALSE)</f>
        <v>Enviado</v>
      </c>
      <c r="AJ26" s="30" t="str">
        <f ca="1"/>
        <v>Laranjeiras Do Sul</v>
      </c>
      <c r="AK26" s="30" t="str">
        <f ca="1">VLOOKUP(AJ26,INDIRECT("'Form 3 - Empreendimento'!$B$2:$E$70"),4,FALSE)</f>
        <v>Enviado</v>
      </c>
    </row>
    <row r="27" spans="1:37">
      <c r="AD27" s="30" t="str">
        <f ca="1"/>
        <v>Mandaguaçu</v>
      </c>
      <c r="AE27" s="30" t="str">
        <f ca="1">VLOOKUP(AD27,INDIRECT("'Form 1 - Município'!$B$2:$E$70"),4,FALSE)</f>
        <v>Enviado</v>
      </c>
      <c r="AG27" s="30" t="str">
        <f ca="1"/>
        <v>Mandaguaçu</v>
      </c>
      <c r="AH27" s="30" t="str">
        <f ca="1">VLOOKUP(AG27,INDIRECT("'Form 2 - UVR'!$B$2:$E$70"),4,FALSE)</f>
        <v>Enviado</v>
      </c>
      <c r="AJ27" s="30" t="str">
        <f ca="1"/>
        <v>Mandaguaçu</v>
      </c>
      <c r="AK27" s="30" t="str">
        <f ca="1">VLOOKUP(AJ27,INDIRECT("'Form 3 - Empreendimento'!$B$2:$E$70"),4,FALSE)</f>
        <v>Enviado</v>
      </c>
    </row>
    <row r="28" spans="1:37">
      <c r="AD28" s="30" t="str">
        <f ca="1"/>
        <v>Mandaguari</v>
      </c>
      <c r="AE28" s="30" t="str">
        <f ca="1">VLOOKUP(AD28,INDIRECT("'Form 1 - Município'!$B$2:$E$70"),4,FALSE)</f>
        <v>Enviado</v>
      </c>
      <c r="AG28" s="30" t="str">
        <f ca="1"/>
        <v>Mandaguari</v>
      </c>
      <c r="AH28" s="30" t="str">
        <f ca="1">VLOOKUP(AG28,INDIRECT("'Form 2 - UVR'!$B$2:$E$70"),4,FALSE)</f>
        <v>Enviado</v>
      </c>
      <c r="AJ28" s="30" t="str">
        <f ca="1"/>
        <v>Mandaguari</v>
      </c>
      <c r="AK28" s="30" t="str">
        <f ca="1">VLOOKUP(AJ28,INDIRECT("'Form 3 - Empreendimento'!$B$2:$E$70"),4,FALSE)</f>
        <v>Enviado</v>
      </c>
    </row>
    <row r="29" spans="1:37">
      <c r="AD29" s="30" t="str">
        <f ca="1"/>
        <v>Marmeleiro</v>
      </c>
      <c r="AE29" s="30" t="str">
        <f ca="1">VLOOKUP(AD29,INDIRECT("'Form 1 - Município'!$B$2:$E$70"),4,FALSE)</f>
        <v>Enviado</v>
      </c>
      <c r="AG29" s="30" t="str">
        <f ca="1"/>
        <v>Marmeleiro</v>
      </c>
      <c r="AH29" s="30" t="str">
        <f ca="1">VLOOKUP(AG29,INDIRECT("'Form 2 - UVR'!$B$2:$E$70"),4,FALSE)</f>
        <v>Enviado</v>
      </c>
      <c r="AJ29" s="30" t="str">
        <f ca="1"/>
        <v>Marmeleiro</v>
      </c>
      <c r="AK29" s="30" t="str">
        <f ca="1">VLOOKUP(AJ29,INDIRECT("'Form 3 - Empreendimento'!$B$2:$E$70"),4,FALSE)</f>
        <v>Enviado</v>
      </c>
    </row>
    <row r="30" spans="1:37">
      <c r="AD30" s="30" t="str">
        <f ca="1"/>
        <v>Mato Rico</v>
      </c>
      <c r="AE30" s="30" t="str">
        <f ca="1">VLOOKUP(AD30,INDIRECT("'Form 1 - Município'!$B$2:$E$70"),4,FALSE)</f>
        <v>Enviado</v>
      </c>
      <c r="AG30" s="30" t="str">
        <f ca="1"/>
        <v>Mato Rico</v>
      </c>
      <c r="AH30" s="30" t="str">
        <f ca="1">VLOOKUP(AG30,INDIRECT("'Form 2 - UVR'!$B$2:$E$70"),4,FALSE)</f>
        <v>Enviado</v>
      </c>
      <c r="AJ30" s="30" t="str">
        <f ca="1"/>
        <v>Mato Rico</v>
      </c>
      <c r="AK30" s="30" t="str">
        <f ca="1">VLOOKUP(AJ30,INDIRECT("'Form 3 - Empreendimento'!$B$2:$E$70"),4,FALSE)</f>
        <v>Enviado</v>
      </c>
    </row>
    <row r="31" spans="1:37">
      <c r="AD31" s="30" t="str">
        <f ca="1"/>
        <v>Nova Tebas</v>
      </c>
      <c r="AE31" s="30" t="str">
        <f ca="1">VLOOKUP(AD31,INDIRECT("'Form 1 - Município'!$B$2:$E$70"),4,FALSE)</f>
        <v>Enviado</v>
      </c>
      <c r="AG31" s="30" t="str">
        <f ca="1"/>
        <v>Nova Tebas</v>
      </c>
      <c r="AH31" s="30" t="str">
        <f ca="1">VLOOKUP(AG31,INDIRECT("'Form 2 - UVR'!$B$2:$E$70"),4,FALSE)</f>
        <v>Enviado</v>
      </c>
      <c r="AJ31" s="30" t="str">
        <f ca="1"/>
        <v>Nova Tebas</v>
      </c>
      <c r="AK31" s="30" t="str">
        <f ca="1">VLOOKUP(AJ31,INDIRECT("'Form 3 - Empreendimento'!$B$2:$E$70"),4,FALSE)</f>
        <v>Enviado</v>
      </c>
    </row>
    <row r="32" spans="1:37">
      <c r="AD32" s="30" t="str">
        <f ca="1"/>
        <v>Ortigueira</v>
      </c>
      <c r="AE32" s="30" t="str">
        <f ca="1">VLOOKUP(AD32,INDIRECT("'Form 1 - Município'!$B$2:$E$70"),4,FALSE)</f>
        <v>Enviado</v>
      </c>
      <c r="AG32" s="30" t="str">
        <f ca="1"/>
        <v>Ortigueira</v>
      </c>
      <c r="AH32" s="30" t="str">
        <f ca="1">VLOOKUP(AG32,INDIRECT("'Form 2 - UVR'!$B$2:$E$70"),4,FALSE)</f>
        <v>Enviado</v>
      </c>
      <c r="AJ32" s="30" t="str">
        <f ca="1"/>
        <v>Ortigueira</v>
      </c>
      <c r="AK32" s="30" t="str">
        <f ca="1">VLOOKUP(AJ32,INDIRECT("'Form 3 - Empreendimento'!$B$2:$E$70"),4,FALSE)</f>
        <v>Enviado</v>
      </c>
    </row>
    <row r="33" spans="30:37">
      <c r="AD33" s="30" t="str">
        <f ca="1"/>
        <v>Palmital</v>
      </c>
      <c r="AE33" s="30" t="str">
        <f ca="1">VLOOKUP(AD33,INDIRECT("'Form 1 - Município'!$B$2:$E$70"),4,FALSE)</f>
        <v>Enviado</v>
      </c>
      <c r="AG33" s="30" t="str">
        <f ca="1"/>
        <v>Palmital</v>
      </c>
      <c r="AH33" s="30" t="str">
        <f ca="1">VLOOKUP(AG33,INDIRECT("'Form 2 - UVR'!$B$2:$E$70"),4,FALSE)</f>
        <v>Duplicado</v>
      </c>
      <c r="AJ33" s="30" t="str">
        <f ca="1"/>
        <v>Palmital</v>
      </c>
      <c r="AK33" s="30" t="str">
        <f ca="1">VLOOKUP(AJ33,INDIRECT("'Form 3 - Empreendimento'!$B$2:$E$70"),4,FALSE)</f>
        <v>Enviado</v>
      </c>
    </row>
    <row r="34" spans="30:37">
      <c r="AD34" s="30" t="str">
        <f ca="1"/>
        <v>Paraíso Do Norte</v>
      </c>
      <c r="AE34" s="30" t="str">
        <f ca="1">VLOOKUP(AD34,INDIRECT("'Form 1 - Município'!$B$2:$E$70"),4,FALSE)</f>
        <v>Enviado</v>
      </c>
      <c r="AG34" s="30" t="str">
        <f ca="1"/>
        <v>Paraíso Do Norte</v>
      </c>
      <c r="AH34" s="30" t="str">
        <f ca="1">VLOOKUP(AG34,INDIRECT("'Form 2 - UVR'!$B$2:$E$70"),4,FALSE)</f>
        <v>Enviado</v>
      </c>
      <c r="AJ34" s="30" t="str">
        <f ca="1"/>
        <v>Paraíso Do Norte</v>
      </c>
      <c r="AK34" s="30" t="str">
        <f ca="1">VLOOKUP(AJ34,INDIRECT("'Form 3 - Empreendimento'!$B$2:$E$70"),4,FALSE)</f>
        <v>Enviado</v>
      </c>
    </row>
    <row r="35" spans="30:37">
      <c r="AD35" s="30" t="str">
        <f ca="1"/>
        <v>Presidente Castelo Branco</v>
      </c>
      <c r="AE35" s="30" t="str">
        <f ca="1">VLOOKUP(AD35,INDIRECT("'Form 1 - Município'!$B$2:$E$70"),4,FALSE)</f>
        <v>Enviado</v>
      </c>
      <c r="AG35" s="30" t="str">
        <f ca="1"/>
        <v>Presidente Castelo Branco</v>
      </c>
      <c r="AH35" s="30" t="str">
        <f ca="1">VLOOKUP(AG35,INDIRECT("'Form 2 - UVR'!$B$2:$E$70"),4,FALSE)</f>
        <v>Enviado</v>
      </c>
      <c r="AJ35" s="30" t="str">
        <f ca="1"/>
        <v>Presidente Castelo Branco</v>
      </c>
      <c r="AK35" s="30" t="str">
        <f ca="1">VLOOKUP(AJ35,INDIRECT("'Form 3 - Empreendimento'!$B$2:$E$70"),4,FALSE)</f>
        <v>Enviado</v>
      </c>
    </row>
    <row r="36" spans="30:37">
      <c r="AD36" s="30" t="str">
        <f ca="1"/>
        <v>Quedas Do Iguaçu</v>
      </c>
      <c r="AE36" s="30" t="str">
        <f ca="1">VLOOKUP(AD36,INDIRECT("'Form 1 - Município'!$B$2:$E$70"),4,FALSE)</f>
        <v>Enviado</v>
      </c>
      <c r="AG36" s="30" t="str">
        <f ca="1"/>
        <v>Quedas Do Iguaçu</v>
      </c>
      <c r="AH36" s="30" t="str">
        <f ca="1">VLOOKUP(AG36,INDIRECT("'Form 2 - UVR'!$B$2:$E$70"),4,FALSE)</f>
        <v>Enviado</v>
      </c>
      <c r="AJ36" s="30" t="str">
        <f ca="1"/>
        <v>Quedas Do Iguaçu</v>
      </c>
      <c r="AK36" s="30" t="str">
        <f ca="1">VLOOKUP(AJ36,INDIRECT("'Form 3 - Empreendimento'!$B$2:$E$70"),4,FALSE)</f>
        <v>Enviado</v>
      </c>
    </row>
    <row r="37" spans="30:37">
      <c r="AD37" s="30" t="str">
        <f ca="1"/>
        <v>Realeza</v>
      </c>
      <c r="AE37" s="30" t="str">
        <f ca="1">VLOOKUP(AD37,INDIRECT("'Form 1 - Município'!$B$2:$E$70"),4,FALSE)</f>
        <v>Enviado</v>
      </c>
      <c r="AG37" s="30" t="str">
        <f ca="1"/>
        <v>Realeza</v>
      </c>
      <c r="AH37" s="30" t="str">
        <f ca="1">VLOOKUP(AG37,INDIRECT("'Form 2 - UVR'!$B$2:$E$70"),4,FALSE)</f>
        <v>Enviado</v>
      </c>
      <c r="AJ37" s="30" t="str">
        <f ca="1"/>
        <v>Realeza</v>
      </c>
      <c r="AK37" s="30" t="str">
        <f ca="1">VLOOKUP(AJ37,INDIRECT("'Form 3 - Empreendimento'!$B$2:$E$70"),4,FALSE)</f>
        <v>Enviado</v>
      </c>
    </row>
    <row r="38" spans="30:37">
      <c r="AD38" s="30" t="str">
        <f ca="1"/>
        <v>Reserva Do Iguaçu</v>
      </c>
      <c r="AE38" s="30" t="str">
        <f ca="1">VLOOKUP(AD38,INDIRECT("'Form 1 - Município'!$B$2:$E$70"),4,FALSE)</f>
        <v>Enviado</v>
      </c>
      <c r="AG38" s="30" t="str">
        <f ca="1"/>
        <v>Reserva Do Iguaçu</v>
      </c>
      <c r="AH38" s="30" t="str">
        <f ca="1">VLOOKUP(AG38,INDIRECT("'Form 2 - UVR'!$B$2:$E$70"),4,FALSE)</f>
        <v>Enviado</v>
      </c>
      <c r="AJ38" s="30" t="str">
        <f ca="1"/>
        <v>Reserva Do Iguaçu</v>
      </c>
      <c r="AK38" s="30" t="str">
        <f ca="1">VLOOKUP(AJ38,INDIRECT("'Form 3 - Empreendimento'!$B$2:$E$70"),4,FALSE)</f>
        <v>Enviado</v>
      </c>
    </row>
    <row r="39" spans="30:37">
      <c r="AD39" s="30" t="str">
        <f ca="1"/>
        <v>Ribeirão Claro</v>
      </c>
      <c r="AE39" s="30" t="str">
        <f ca="1">VLOOKUP(AD39,INDIRECT("'Form 1 - Município'!$B$2:$E$70"),4,FALSE)</f>
        <v>Enviado</v>
      </c>
      <c r="AG39" s="30" t="str">
        <f ca="1"/>
        <v>Ribeirão Claro</v>
      </c>
      <c r="AH39" s="30" t="str">
        <f ca="1">VLOOKUP(AG39,INDIRECT("'Form 2 - UVR'!$B$2:$E$70"),4,FALSE)</f>
        <v>Enviado</v>
      </c>
      <c r="AJ39" s="30" t="str">
        <f ca="1"/>
        <v>Ribeirão Claro</v>
      </c>
      <c r="AK39" s="30" t="str">
        <f ca="1">VLOOKUP(AJ39,INDIRECT("'Form 3 - Empreendimento'!$B$2:$E$70"),4,FALSE)</f>
        <v>Enviado</v>
      </c>
    </row>
    <row r="40" spans="30:37">
      <c r="AD40" s="30" t="str">
        <f ca="1"/>
        <v>Rio Branco Do Sul</v>
      </c>
      <c r="AE40" s="30" t="str">
        <f ca="1">VLOOKUP(AD40,INDIRECT("'Form 1 - Município'!$B$2:$E$70"),4,FALSE)</f>
        <v>Enviado</v>
      </c>
      <c r="AG40" s="30" t="str">
        <f ca="1"/>
        <v>Rio Branco Do Sul</v>
      </c>
      <c r="AH40" s="30" t="str">
        <f ca="1">VLOOKUP(AG40,INDIRECT("'Form 2 - UVR'!$B$2:$E$70"),4,FALSE)</f>
        <v>Enviado</v>
      </c>
      <c r="AJ40" s="30" t="str">
        <f ca="1"/>
        <v>Rio Branco Do Sul</v>
      </c>
      <c r="AK40" s="30" t="str">
        <f ca="1">VLOOKUP(AJ40,INDIRECT("'Form 3 - Empreendimento'!$B$2:$E$70"),4,FALSE)</f>
        <v>Enviado</v>
      </c>
    </row>
    <row r="41" spans="30:37">
      <c r="AD41" s="30" t="str">
        <f ca="1"/>
        <v>Rio Negro</v>
      </c>
      <c r="AE41" s="30" t="str">
        <f ca="1">VLOOKUP(AD41,INDIRECT("'Form 1 - Município'!$B$2:$E$70"),4,FALSE)</f>
        <v>Enviado</v>
      </c>
      <c r="AG41" s="30" t="str">
        <f ca="1"/>
        <v>Rio Negro</v>
      </c>
      <c r="AH41" s="30" t="str">
        <f ca="1">VLOOKUP(AG41,INDIRECT("'Form 2 - UVR'!$B$2:$E$70"),4,FALSE)</f>
        <v>Enviado</v>
      </c>
      <c r="AJ41" s="30" t="str">
        <f ca="1"/>
        <v>Rio Negro</v>
      </c>
      <c r="AK41" s="30" t="str">
        <f ca="1">VLOOKUP(AJ41,INDIRECT("'Form 3 - Empreendimento'!$B$2:$E$70"),4,FALSE)</f>
        <v>Duplicado</v>
      </c>
    </row>
    <row r="42" spans="30:37">
      <c r="AD42" s="30" t="str">
        <f ca="1"/>
        <v>Salgado Filho</v>
      </c>
      <c r="AE42" s="30" t="str">
        <f ca="1">VLOOKUP(AD42,INDIRECT("'Form 1 - Município'!$B$2:$E$70"),4,FALSE)</f>
        <v>Enviado</v>
      </c>
      <c r="AG42" s="30" t="str">
        <f ca="1"/>
        <v>Salgado Filho</v>
      </c>
      <c r="AH42" s="30" t="str">
        <f ca="1">VLOOKUP(AG42,INDIRECT("'Form 2 - UVR'!$B$2:$E$70"),4,FALSE)</f>
        <v>Enviado</v>
      </c>
      <c r="AJ42" s="30" t="str">
        <f ca="1"/>
        <v>Salgado Filho</v>
      </c>
      <c r="AK42" s="30" t="str">
        <f ca="1">VLOOKUP(AJ42,INDIRECT("'Form 3 - Empreendimento'!$B$2:$E$70"),4,FALSE)</f>
        <v>Enviado</v>
      </c>
    </row>
    <row r="43" spans="30:37">
      <c r="AD43" s="30" t="str">
        <f ca="1"/>
        <v>Santa Maria Do Oeste</v>
      </c>
      <c r="AE43" s="30" t="str">
        <f ca="1">VLOOKUP(AD43,INDIRECT("'Form 1 - Município'!$B$2:$E$70"),4,FALSE)</f>
        <v>Enviado</v>
      </c>
      <c r="AG43" s="30" t="str">
        <f ca="1"/>
        <v>Santa Maria Do Oeste</v>
      </c>
      <c r="AH43" s="30" t="str">
        <f ca="1">VLOOKUP(AG43,INDIRECT("'Form 2 - UVR'!$B$2:$E$70"),4,FALSE)</f>
        <v>Enviado</v>
      </c>
      <c r="AJ43" s="30" t="str">
        <f ca="1"/>
        <v>Santa Maria Do Oeste</v>
      </c>
      <c r="AK43" s="30" t="str">
        <f ca="1">VLOOKUP(AJ43,INDIRECT("'Form 3 - Empreendimento'!$B$2:$E$70"),4,FALSE)</f>
        <v>Enviado</v>
      </c>
    </row>
    <row r="44" spans="30:37">
      <c r="AD44" s="30" t="str">
        <f ca="1"/>
        <v>Santa Mariana</v>
      </c>
      <c r="AE44" s="30" t="str">
        <f ca="1">VLOOKUP(AD44,INDIRECT("'Form 1 - Município'!$B$2:$E$70"),4,FALSE)</f>
        <v>Enviado</v>
      </c>
      <c r="AG44" s="30" t="str">
        <f ca="1"/>
        <v>Santa Mariana</v>
      </c>
      <c r="AH44" s="30" t="str">
        <f ca="1">VLOOKUP(AG44,INDIRECT("'Form 2 - UVR'!$B$2:$E$70"),4,FALSE)</f>
        <v>Enviado</v>
      </c>
      <c r="AJ44" s="30" t="str">
        <f ca="1"/>
        <v>Santa Mariana</v>
      </c>
      <c r="AK44" s="30" t="str">
        <f ca="1">VLOOKUP(AJ44,INDIRECT("'Form 3 - Empreendimento'!$B$2:$E$70"),4,FALSE)</f>
        <v>Enviado</v>
      </c>
    </row>
    <row r="45" spans="30:37">
      <c r="AD45" s="30" t="str">
        <f ca="1"/>
        <v>Santa Mônica</v>
      </c>
      <c r="AE45" s="30" t="str">
        <f ca="1">VLOOKUP(AD45,INDIRECT("'Form 1 - Município'!$B$2:$E$70"),4,FALSE)</f>
        <v>Enviado</v>
      </c>
      <c r="AG45" s="30" t="str">
        <f ca="1"/>
        <v>Santa Mônica</v>
      </c>
      <c r="AH45" s="30" t="str">
        <f ca="1">VLOOKUP(AG45,INDIRECT("'Form 2 - UVR'!$B$2:$E$70"),4,FALSE)</f>
        <v>Enviado</v>
      </c>
      <c r="AJ45" s="30" t="str">
        <f ca="1"/>
        <v>Santa Mônica</v>
      </c>
      <c r="AK45" s="30" t="str">
        <f ca="1">VLOOKUP(AJ45,INDIRECT("'Form 3 - Empreendimento'!$B$2:$E$70"),4,FALSE)</f>
        <v>Enviado</v>
      </c>
    </row>
    <row r="46" spans="30:37">
      <c r="AD46" s="30" t="str">
        <f ca="1"/>
        <v>Santana Do Itararé</v>
      </c>
      <c r="AE46" s="30" t="str">
        <f ca="1">VLOOKUP(AD46,INDIRECT("'Form 1 - Município'!$B$2:$E$70"),4,FALSE)</f>
        <v>Enviado</v>
      </c>
      <c r="AG46" s="30" t="str">
        <f ca="1"/>
        <v>Santana Do Itararé</v>
      </c>
      <c r="AH46" s="30" t="str">
        <f ca="1">VLOOKUP(AG46,INDIRECT("'Form 2 - UVR'!$B$2:$E$70"),4,FALSE)</f>
        <v>Enviado</v>
      </c>
      <c r="AJ46" s="30" t="str">
        <f ca="1"/>
        <v>Santana Do Itararé</v>
      </c>
      <c r="AK46" s="30" t="str">
        <f ca="1">VLOOKUP(AJ46,INDIRECT("'Form 3 - Empreendimento'!$B$2:$E$70"),4,FALSE)</f>
        <v>Enviado</v>
      </c>
    </row>
    <row r="47" spans="30:37">
      <c r="AD47" s="30" t="str">
        <f ca="1"/>
        <v>São João</v>
      </c>
      <c r="AE47" s="30" t="str">
        <f ca="1">VLOOKUP(AD47,INDIRECT("'Form 1 - Município'!$B$2:$E$70"),4,FALSE)</f>
        <v>Enviado</v>
      </c>
      <c r="AG47" s="30" t="str">
        <f ca="1"/>
        <v>São João</v>
      </c>
      <c r="AH47" s="30" t="str">
        <f ca="1">VLOOKUP(AG47,INDIRECT("'Form 2 - UVR'!$B$2:$E$70"),4,FALSE)</f>
        <v>Sem Técnico</v>
      </c>
      <c r="AJ47" s="30" t="str">
        <f ca="1"/>
        <v>São João</v>
      </c>
      <c r="AK47" s="30" t="str">
        <f ca="1">VLOOKUP(AJ47,INDIRECT("'Form 3 - Empreendimento'!$B$2:$E$70"),4,FALSE)</f>
        <v>Enviado</v>
      </c>
    </row>
    <row r="48" spans="30:37">
      <c r="AD48" s="30" t="str">
        <f ca="1"/>
        <v>São João Do Caiuá</v>
      </c>
      <c r="AE48" s="30" t="str">
        <f ca="1">VLOOKUP(AD48,INDIRECT("'Form 1 - Município'!$B$2:$E$70"),4,FALSE)</f>
        <v>Enviado</v>
      </c>
      <c r="AG48" s="30" t="str">
        <f ca="1"/>
        <v>São João Do Caiuá</v>
      </c>
      <c r="AH48" s="30" t="str">
        <f ca="1">VLOOKUP(AG48,INDIRECT("'Form 2 - UVR'!$B$2:$E$70"),4,FALSE)</f>
        <v>Enviado</v>
      </c>
      <c r="AJ48" s="30" t="str">
        <f ca="1"/>
        <v>São João Do Caiuá</v>
      </c>
      <c r="AK48" s="30" t="str">
        <f ca="1">VLOOKUP(AJ48,INDIRECT("'Form 3 - Empreendimento'!$B$2:$E$70"),4,FALSE)</f>
        <v>Enviado</v>
      </c>
    </row>
    <row r="49" spans="30:37">
      <c r="AD49" s="30" t="str">
        <f ca="1"/>
        <v>São João Do Ivaí</v>
      </c>
      <c r="AE49" s="30" t="str">
        <f ca="1">VLOOKUP(AD49,INDIRECT("'Form 1 - Município'!$B$2:$E$70"),4,FALSE)</f>
        <v>Enviado</v>
      </c>
      <c r="AG49" s="30" t="str">
        <f ca="1"/>
        <v>São João Do Ivaí</v>
      </c>
      <c r="AH49" s="30" t="str">
        <f ca="1">VLOOKUP(AG49,INDIRECT("'Form 2 - UVR'!$B$2:$E$70"),4,FALSE)</f>
        <v>Enviado</v>
      </c>
      <c r="AJ49" s="30" t="str">
        <f ca="1"/>
        <v>São João Do Ivaí</v>
      </c>
      <c r="AK49" s="30" t="str">
        <f ca="1">VLOOKUP(AJ49,INDIRECT("'Form 3 - Empreendimento'!$B$2:$E$70"),4,FALSE)</f>
        <v>Enviado</v>
      </c>
    </row>
    <row r="50" spans="30:37">
      <c r="AD50" s="30" t="str">
        <f ca="1"/>
        <v>São João Do Triunfo</v>
      </c>
      <c r="AE50" s="30" t="str">
        <f ca="1">VLOOKUP(AD50,INDIRECT("'Form 1 - Município'!$B$2:$E$70"),4,FALSE)</f>
        <v>Enviado</v>
      </c>
      <c r="AG50" s="30" t="str">
        <f ca="1"/>
        <v>São João Do Triunfo</v>
      </c>
      <c r="AH50" s="30" t="str">
        <f ca="1">VLOOKUP(AG50,INDIRECT("'Form 2 - UVR'!$B$2:$E$70"),4,FALSE)</f>
        <v>Duplicado</v>
      </c>
      <c r="AJ50" s="30" t="str">
        <f ca="1"/>
        <v>São João Do Triunfo</v>
      </c>
      <c r="AK50" s="30" t="str">
        <f ca="1">VLOOKUP(AJ50,INDIRECT("'Form 3 - Empreendimento'!$B$2:$E$70"),4,FALSE)</f>
        <v>Duplicado</v>
      </c>
    </row>
    <row r="51" spans="30:37">
      <c r="AD51" s="30" t="str">
        <f ca="1"/>
        <v>Tijucas Do Sul</v>
      </c>
      <c r="AE51" s="30" t="str">
        <f ca="1">VLOOKUP(AD51,INDIRECT("'Form 1 - Município'!$B$2:$E$70"),4,FALSE)</f>
        <v>Enviado</v>
      </c>
      <c r="AG51" s="30" t="str">
        <f ca="1"/>
        <v>Tijucas Do Sul</v>
      </c>
      <c r="AH51" s="30" t="str">
        <f ca="1">VLOOKUP(AG51,INDIRECT("'Form 2 - UVR'!$B$2:$E$70"),4,FALSE)</f>
        <v>Enviado</v>
      </c>
      <c r="AJ51" s="30" t="str">
        <f ca="1"/>
        <v>Tijucas Do Sul</v>
      </c>
      <c r="AK51" s="30" t="str">
        <f ca="1">VLOOKUP(AJ51,INDIRECT("'Form 3 - Empreendimento'!$B$2:$E$70"),4,FALSE)</f>
        <v>Enviado</v>
      </c>
    </row>
    <row r="52" spans="30:37">
      <c r="AD52">
        <f ca="1"/>
        <v>0</v>
      </c>
      <c r="AG52">
        <f ca="1"/>
        <v>0</v>
      </c>
      <c r="AJ52">
        <f ca="1"/>
        <v>0</v>
      </c>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
  <sheetViews>
    <sheetView workbookViewId="0"/>
  </sheetViews>
  <sheetFormatPr defaultRowHeight="15"/>
  <cols>
    <col min="1" max="1" width="23" customWidth="1"/>
    <col min="2" max="2" width="31.140625" customWidth="1"/>
    <col min="3" max="3" width="8.5703125" customWidth="1"/>
    <col min="4" max="4" width="24.28515625" customWidth="1"/>
    <col min="5" max="5" width="26.140625" customWidth="1"/>
    <col min="6" max="6" width="27.7109375" customWidth="1"/>
  </cols>
  <sheetData>
    <row r="1" spans="1:6" ht="15.75" customHeight="1">
      <c r="A1" s="35" t="s">
        <v>18</v>
      </c>
      <c r="B1" s="9" t="s">
        <v>39</v>
      </c>
      <c r="C1" s="9" t="s">
        <v>40</v>
      </c>
      <c r="D1" s="9" t="s">
        <v>36</v>
      </c>
      <c r="E1" s="9" t="s">
        <v>37</v>
      </c>
      <c r="F1" s="9" t="s">
        <v>38</v>
      </c>
    </row>
    <row r="2" spans="1:6" ht="15.75" customHeight="1">
      <c r="A2" s="20" t="s">
        <v>17</v>
      </c>
      <c r="B2" s="30" t="s">
        <v>41</v>
      </c>
      <c r="C2" s="13" t="s">
        <v>42</v>
      </c>
      <c r="D2" s="10"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10"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10"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20" t="s">
        <v>17</v>
      </c>
      <c r="B3" s="30" t="s">
        <v>41</v>
      </c>
      <c r="C3" s="13" t="s">
        <v>43</v>
      </c>
      <c r="D3" s="10"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10"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10"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20" t="s">
        <v>17</v>
      </c>
      <c r="B4" s="30" t="s">
        <v>41</v>
      </c>
      <c r="C4" s="13" t="s">
        <v>44</v>
      </c>
      <c r="D4" s="10"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0"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10"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20" t="s">
        <v>17</v>
      </c>
      <c r="B5" s="30" t="s">
        <v>41</v>
      </c>
      <c r="C5" s="13" t="s">
        <v>45</v>
      </c>
      <c r="D5" s="10"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10" t="str">
        <f t="array" aca="1" ref="E5" ca="1">IF(
    VLOOKUP(
        $A5,
        _xlfn._xlws.FILTER(
            INDIRECT("'"&amp;E$1&amp;"'!A2:E1000"), (INDIRECT("'"&amp;E$1&amp;"'!B2:B1000")=$B5) * (INDIRECT("'"&amp;E$1&amp;"'!C2:C1000")=$C5)
        ),
        5,
        FALSE
    )=0,
    "",
    VLOOKUP(
        $A5,
        _xlfn._xlws.FILTER(
            INDIRECT("'"&amp;E$1&amp;"'!A2:E1000"), (INDIRECT("'"&amp;E$1&amp;"'!B2:B1000")=$B5) * (INDIRECT("'"&amp;E$1&amp;"'!C2:C1000")=$C5)
        ),
        5,
        FALSE
    )
)</f>
        <v>Enviado</v>
      </c>
      <c r="F5" s="10" t="str">
        <f t="array" aca="1" ref="F5" ca="1">IF(
    VLOOKUP(
        $A5,
        _xlfn._xlws.FILTER(
            INDIRECT("'"&amp;F$1&amp;"'!A2:E1000"), (INDIRECT("'"&amp;F$1&amp;"'!B2:B1000")=$B5) * (INDIRECT("'"&amp;F$1&amp;"'!C2:C1000")=$C5)
        ),
        5,
        FALSE
    )=0,
    "",
    VLOOKUP(
        $A5,
        _xlfn._xlws.FILTER(
            INDIRECT("'"&amp;F$1&amp;"'!A2:E1000"), (INDIRECT("'"&amp;F$1&amp;"'!B2:B1000")=$B5) * (INDIRECT("'"&amp;F$1&amp;"'!C2:C1000")=$C5)
        ),
        5,
        FALSE
    )
)</f>
        <v>Enviado</v>
      </c>
    </row>
    <row r="6" spans="1:6">
      <c r="A6" s="20" t="s">
        <v>17</v>
      </c>
      <c r="B6" s="30" t="s">
        <v>41</v>
      </c>
      <c r="C6" s="13" t="s">
        <v>46</v>
      </c>
      <c r="D6" s="10"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10"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10"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20" t="s">
        <v>17</v>
      </c>
      <c r="B7" s="30" t="s">
        <v>47</v>
      </c>
      <c r="C7" s="13" t="s">
        <v>42</v>
      </c>
      <c r="D7" s="10" t="str">
        <f t="array" aca="1" ref="D7" ca="1">IF(
    VLOOKUP(
        $A7,
        _xlfn._xlws.FILTER(
            INDIRECT("'"&amp;D$1&amp;"'!A2:E1000"), (INDIRECT("'"&amp;D$1&amp;"'!B2:B1000")=$B7) * (INDIRECT("'"&amp;D$1&amp;"'!C2:C1000")=$C7)
        ),
        5,
        FALSE
    )=0,
    "",
    VLOOKUP(
        $A7,
        _xlfn._xlws.FILTER(
            INDIRECT("'"&amp;D$1&amp;"'!A2:E1000"), (INDIRECT("'"&amp;D$1&amp;"'!B2:B1000")=$B7) * (INDIRECT("'"&amp;D$1&amp;"'!C2:C1000")=$C7)
        ),
        5,
        FALSE
    )
)</f>
        <v>Enviado</v>
      </c>
      <c r="E7" s="10" t="str">
        <f t="array" aca="1" ref="E7" ca="1">IF(
    VLOOKUP(
        $A7,
        _xlfn._xlws.FILTER(
            INDIRECT("'"&amp;E$1&amp;"'!A2:E1000"), (INDIRECT("'"&amp;E$1&amp;"'!B2:B1000")=$B7) * (INDIRECT("'"&amp;E$1&amp;"'!C2:C1000")=$C7)
        ),
        5,
        FALSE
    )=0,
    "",
    VLOOKUP(
        $A7,
        _xlfn._xlws.FILTER(
            INDIRECT("'"&amp;E$1&amp;"'!A2:E1000"), (INDIRECT("'"&amp;E$1&amp;"'!B2:B1000")=$B7) * (INDIRECT("'"&amp;E$1&amp;"'!C2:C1000")=$C7)
        ),
        5,
        FALSE
    )
)</f>
        <v>Enviado</v>
      </c>
      <c r="F7" s="10" t="str">
        <f t="array" aca="1" ref="F7" ca="1">IF(
    VLOOKUP(
        $A7,
        _xlfn._xlws.FILTER(
            INDIRECT("'"&amp;F$1&amp;"'!A2:E1000"), (INDIRECT("'"&amp;F$1&amp;"'!B2:B1000")=$B7) * (INDIRECT("'"&amp;F$1&amp;"'!C2:C1000")=$C7)
        ),
        5,
        FALSE
    )=0,
    "",
    VLOOKUP(
        $A7,
        _xlfn._xlws.FILTER(
            INDIRECT("'"&amp;F$1&amp;"'!A2:E1000"), (INDIRECT("'"&amp;F$1&amp;"'!B2:B1000")=$B7) * (INDIRECT("'"&amp;F$1&amp;"'!C2:C1000")=$C7)
        ),
        5,
        FALSE
    )
)</f>
        <v>Enviado</v>
      </c>
    </row>
    <row r="8" spans="1:6">
      <c r="A8" s="20" t="s">
        <v>17</v>
      </c>
      <c r="B8" s="30" t="s">
        <v>48</v>
      </c>
      <c r="C8" s="13" t="s">
        <v>42</v>
      </c>
      <c r="D8" s="10"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10"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10"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20" t="s">
        <v>17</v>
      </c>
      <c r="B9" s="30" t="s">
        <v>49</v>
      </c>
      <c r="C9" s="13" t="s">
        <v>42</v>
      </c>
      <c r="D9" s="10"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10"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10"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20" t="s">
        <v>17</v>
      </c>
      <c r="B10" s="30" t="s">
        <v>50</v>
      </c>
      <c r="C10" s="13" t="s">
        <v>42</v>
      </c>
      <c r="D10" s="10"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10"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10"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20" t="s">
        <v>17</v>
      </c>
      <c r="B11" s="30" t="s">
        <v>50</v>
      </c>
      <c r="C11" s="13" t="s">
        <v>43</v>
      </c>
      <c r="D11" s="10"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10"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10"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20" t="s">
        <v>17</v>
      </c>
      <c r="B12" s="30" t="s">
        <v>51</v>
      </c>
      <c r="C12" s="13" t="s">
        <v>42</v>
      </c>
      <c r="D12" s="10"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10"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10" t="str">
        <f t="array" aca="1" ref="F12" ca="1">IF(
    VLOOKUP(
        $A12,
        _xlfn._xlws.FILTER(
            INDIRECT("'"&amp;F$1&amp;"'!A2:E1000"), (INDIRECT("'"&amp;F$1&amp;"'!B2:B1000")=$B12) * (INDIRECT("'"&amp;F$1&amp;"'!C2:C1000")=$C12)
        ),
        5,
        FALSE
    )=0,
    "",
    VLOOKUP(
        $A12,
        _xlfn._xlws.FILTER(
            INDIRECT("'"&amp;F$1&amp;"'!A2:E1000"), (INDIRECT("'"&amp;F$1&amp;"'!B2:B1000")=$B12) * (INDIRECT("'"&amp;F$1&amp;"'!C2:C1000")=$C12)
        ),
        5,
        FALSE
    )
)</f>
        <v>Duplicado</v>
      </c>
    </row>
    <row r="13" spans="1:6">
      <c r="A13" s="20" t="s">
        <v>17</v>
      </c>
      <c r="B13" s="30" t="s">
        <v>52</v>
      </c>
      <c r="C13" s="13" t="s">
        <v>42</v>
      </c>
      <c r="D13" s="10"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10" t="str">
        <f t="array" aca="1" ref="E13" ca="1">IF(
    VLOOKUP(
        $A13,
        _xlfn._xlws.FILTER(
            INDIRECT("'"&amp;E$1&amp;"'!A2:E1000"), (INDIRECT("'"&amp;E$1&amp;"'!B2:B1000")=$B13) * (INDIRECT("'"&amp;E$1&amp;"'!C2:C1000")=$C13)
        ),
        5,
        FALSE
    )=0,
    "",
    VLOOKUP(
        $A13,
        _xlfn._xlws.FILTER(
            INDIRECT("'"&amp;E$1&amp;"'!A2:E1000"), (INDIRECT("'"&amp;E$1&amp;"'!B2:B1000")=$B13) * (INDIRECT("'"&amp;E$1&amp;"'!C2:C1000")=$C13)
        ),
        5,
        FALSE
    )
)</f>
        <v>Duplicado</v>
      </c>
      <c r="F13" s="10" t="str">
        <f t="array" aca="1" ref="F13" ca="1">IF(
    VLOOKUP(
        $A13,
        _xlfn._xlws.FILTER(
            INDIRECT("'"&amp;F$1&amp;"'!A2:E1000"), (INDIRECT("'"&amp;F$1&amp;"'!B2:B1000")=$B13) * (INDIRECT("'"&amp;F$1&amp;"'!C2:C1000")=$C13)
        ),
        5,
        FALSE
    )=0,
    "",
    VLOOKUP(
        $A13,
        _xlfn._xlws.FILTER(
            INDIRECT("'"&amp;F$1&amp;"'!A2:E1000"), (INDIRECT("'"&amp;F$1&amp;"'!B2:B1000")=$B13) * (INDIRECT("'"&amp;F$1&amp;"'!C2:C1000")=$C13)
        ),
        5,
        FALSE
    )
)</f>
        <v>Duplicado</v>
      </c>
    </row>
    <row r="14" spans="1:6">
      <c r="A14" s="20" t="s">
        <v>17</v>
      </c>
      <c r="B14" s="30" t="s">
        <v>53</v>
      </c>
      <c r="C14" s="13" t="s">
        <v>42</v>
      </c>
      <c r="D14" s="10"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10"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10"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row>
    <row r="16" spans="1:6" ht="15.75" customHeight="1">
      <c r="A16" s="36" t="s">
        <v>22</v>
      </c>
      <c r="B16" s="9" t="s">
        <v>39</v>
      </c>
      <c r="C16" s="9" t="s">
        <v>40</v>
      </c>
      <c r="D16" s="9" t="s">
        <v>36</v>
      </c>
      <c r="E16" s="9" t="s">
        <v>37</v>
      </c>
      <c r="F16" s="9" t="s">
        <v>38</v>
      </c>
    </row>
    <row r="17" spans="1:6">
      <c r="A17" s="17" t="s">
        <v>21</v>
      </c>
      <c r="B17" s="30" t="s">
        <v>54</v>
      </c>
      <c r="C17" s="13" t="s">
        <v>42</v>
      </c>
      <c r="D17" s="10" t="str">
        <f t="array" aca="1" ref="D17" ca="1">IF(
    VLOOKUP(
        $A17,
        _xlfn._xlws.FILTER(
            INDIRECT("'"&amp;D$1&amp;"'!A2:E1000"), (INDIRECT("'"&amp;D$1&amp;"'!B2:B1000")=$B17) * (INDIRECT("'"&amp;D$1&amp;"'!C2:C1000")=$C17)
        ),
        5,
        FALSE
    )=0,
    "",
    VLOOKUP(
        $A17,
        _xlfn._xlws.FILTER(
            INDIRECT("'"&amp;D$1&amp;"'!A2:E1000"), (INDIRECT("'"&amp;D$1&amp;"'!B2:B1000")=$B17) * (INDIRECT("'"&amp;D$1&amp;"'!C2:C1000")=$C17)
        ),
        5,
        FALSE
    )
)</f>
        <v>Enviado</v>
      </c>
      <c r="E17" s="10" t="str">
        <f t="array" aca="1" ref="E17" ca="1">IF(
    VLOOKUP(
        $A17,
        _xlfn._xlws.FILTER(
            INDIRECT("'"&amp;E$1&amp;"'!A2:E1000"), (INDIRECT("'"&amp;E$1&amp;"'!B2:B1000")=$B17) * (INDIRECT("'"&amp;E$1&amp;"'!C2:C1000")=$C17)
        ),
        5,
        FALSE
    )=0,
    "",
    VLOOKUP(
        $A17,
        _xlfn._xlws.FILTER(
            INDIRECT("'"&amp;E$1&amp;"'!A2:E1000"), (INDIRECT("'"&amp;E$1&amp;"'!B2:B1000")=$B17) * (INDIRECT("'"&amp;E$1&amp;"'!C2:C1000")=$C17)
        ),
        5,
        FALSE
    )
)</f>
        <v>Enviado</v>
      </c>
      <c r="F17" s="10" t="str">
        <f t="array" aca="1" ref="F17" ca="1">IF(
    VLOOKUP(
        $A17,
        _xlfn._xlws.FILTER(
            INDIRECT("'"&amp;F$1&amp;"'!A2:E1000"), (INDIRECT("'"&amp;F$1&amp;"'!B2:B1000")=$B17) * (INDIRECT("'"&amp;F$1&amp;"'!C2:C1000")=$C17)
        ),
        5,
        FALSE
    )=0,
    "",
    VLOOKUP(
        $A17,
        _xlfn._xlws.FILTER(
            INDIRECT("'"&amp;F$1&amp;"'!A2:E1000"), (INDIRECT("'"&amp;F$1&amp;"'!B2:B1000")=$B17) * (INDIRECT("'"&amp;F$1&amp;"'!C2:C1000")=$C17)
        ),
        5,
        FALSE
    )
)</f>
        <v>Enviado</v>
      </c>
    </row>
    <row r="18" spans="1:6">
      <c r="A18" s="17" t="s">
        <v>21</v>
      </c>
      <c r="B18" s="30" t="s">
        <v>55</v>
      </c>
      <c r="C18" s="13" t="s">
        <v>42</v>
      </c>
      <c r="D18" s="10"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10"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10"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row>
    <row r="19" spans="1:6">
      <c r="A19" s="17" t="s">
        <v>21</v>
      </c>
      <c r="B19" s="30" t="s">
        <v>56</v>
      </c>
      <c r="C19" s="13" t="s">
        <v>42</v>
      </c>
      <c r="D19" s="10"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10" t="str">
        <f t="array" aca="1" ref="E19" ca="1">IF(
    VLOOKUP(
        $A19,
        _xlfn._xlws.FILTER(
            INDIRECT("'"&amp;E$1&amp;"'!A2:E1000"), (INDIRECT("'"&amp;E$1&amp;"'!B2:B1000")=$B19) * (INDIRECT("'"&amp;E$1&amp;"'!C2:C1000")=$C19)
        ),
        5,
        FALSE
    )=0,
    "",
    VLOOKUP(
        $A19,
        _xlfn._xlws.FILTER(
            INDIRECT("'"&amp;E$1&amp;"'!A2:E1000"), (INDIRECT("'"&amp;E$1&amp;"'!B2:B1000")=$B19) * (INDIRECT("'"&amp;E$1&amp;"'!C2:C1000")=$C19)
        ),
        5,
        FALSE
    )
)</f>
        <v>Duplicado</v>
      </c>
      <c r="F19" s="10" t="str">
        <f t="array" aca="1" ref="F19" ca="1">IF(
    VLOOKUP(
        $A19,
        _xlfn._xlws.FILTER(
            INDIRECT("'"&amp;F$1&amp;"'!A2:E1000"), (INDIRECT("'"&amp;F$1&amp;"'!B2:B1000")=$B19) * (INDIRECT("'"&amp;F$1&amp;"'!C2:C1000")=$C19)
        ),
        5,
        FALSE
    )=0,
    "",
    VLOOKUP(
        $A19,
        _xlfn._xlws.FILTER(
            INDIRECT("'"&amp;F$1&amp;"'!A2:E1000"), (INDIRECT("'"&amp;F$1&amp;"'!B2:B1000")=$B19) * (INDIRECT("'"&amp;F$1&amp;"'!C2:C1000")=$C19)
        ),
        5,
        FALSE
    )
)</f>
        <v>Duplicado</v>
      </c>
    </row>
    <row r="20" spans="1:6">
      <c r="A20" s="17" t="s">
        <v>21</v>
      </c>
      <c r="B20" s="30" t="s">
        <v>21</v>
      </c>
      <c r="C20" s="13" t="s">
        <v>42</v>
      </c>
      <c r="D20" s="10"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10" t="str">
        <f t="array" aca="1" ref="E20" ca="1">IF(
    VLOOKUP(
        $A20,
        _xlfn._xlws.FILTER(
            INDIRECT("'"&amp;E$1&amp;"'!A2:E1000"), (INDIRECT("'"&amp;E$1&amp;"'!B2:B1000")=$B20) * (INDIRECT("'"&amp;E$1&amp;"'!C2:C1000")=$C20)
        ),
        5,
        FALSE
    )=0,
    "",
    VLOOKUP(
        $A20,
        _xlfn._xlws.FILTER(
            INDIRECT("'"&amp;E$1&amp;"'!A2:E1000"), (INDIRECT("'"&amp;E$1&amp;"'!B2:B1000")=$B20) * (INDIRECT("'"&amp;E$1&amp;"'!C2:C1000")=$C20)
        ),
        5,
        FALSE
    )
)</f>
        <v>Duplicado</v>
      </c>
      <c r="F20" s="10"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row>
    <row r="21" spans="1:6">
      <c r="A21" s="17" t="s">
        <v>21</v>
      </c>
      <c r="B21" s="30" t="s">
        <v>21</v>
      </c>
      <c r="C21" s="13" t="s">
        <v>43</v>
      </c>
      <c r="D21" s="10"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10"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10"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7" t="s">
        <v>21</v>
      </c>
      <c r="B22" s="30" t="s">
        <v>21</v>
      </c>
      <c r="C22" s="13" t="s">
        <v>44</v>
      </c>
      <c r="D22" s="10"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10"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10"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7" t="s">
        <v>21</v>
      </c>
      <c r="B23" s="30" t="s">
        <v>57</v>
      </c>
      <c r="C23" s="13" t="s">
        <v>42</v>
      </c>
      <c r="D23" s="10"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10"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10"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7" t="s">
        <v>21</v>
      </c>
      <c r="B24" s="30" t="s">
        <v>58</v>
      </c>
      <c r="C24" s="13" t="s">
        <v>42</v>
      </c>
      <c r="D24" s="10"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10"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10"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7" t="s">
        <v>21</v>
      </c>
      <c r="B25" s="30" t="s">
        <v>59</v>
      </c>
      <c r="C25" s="13" t="s">
        <v>42</v>
      </c>
      <c r="D25" s="10"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10"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10"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7" spans="1:6" ht="15.75" customHeight="1">
      <c r="A27" s="37" t="s">
        <v>26</v>
      </c>
      <c r="B27" s="9" t="s">
        <v>39</v>
      </c>
      <c r="C27" s="9" t="s">
        <v>40</v>
      </c>
      <c r="D27" s="9" t="s">
        <v>36</v>
      </c>
      <c r="E27" s="9" t="s">
        <v>37</v>
      </c>
      <c r="F27" s="9" t="s">
        <v>38</v>
      </c>
    </row>
    <row r="28" spans="1:6">
      <c r="A28" s="19" t="s">
        <v>25</v>
      </c>
      <c r="B28" s="30" t="s">
        <v>60</v>
      </c>
      <c r="C28" s="13" t="s">
        <v>42</v>
      </c>
      <c r="D28" s="10"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10"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10"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row>
    <row r="29" spans="1:6">
      <c r="A29" s="19" t="s">
        <v>25</v>
      </c>
      <c r="B29" s="30" t="s">
        <v>61</v>
      </c>
      <c r="C29" s="13" t="s">
        <v>42</v>
      </c>
      <c r="D29" s="10"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10"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10"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19" t="s">
        <v>25</v>
      </c>
      <c r="B30" s="30" t="s">
        <v>62</v>
      </c>
      <c r="C30" s="13" t="s">
        <v>42</v>
      </c>
      <c r="D30" s="10"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10"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10"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row>
    <row r="32" spans="1:6" ht="15.75" customHeight="1">
      <c r="A32" s="38"/>
      <c r="B32" s="9" t="s">
        <v>39</v>
      </c>
      <c r="C32" s="9" t="s">
        <v>40</v>
      </c>
      <c r="D32" s="9" t="s">
        <v>36</v>
      </c>
      <c r="E32" s="9" t="s">
        <v>37</v>
      </c>
      <c r="F32" s="9" t="s">
        <v>38</v>
      </c>
    </row>
    <row r="33" spans="1:6">
      <c r="A33" s="21" t="s">
        <v>28</v>
      </c>
      <c r="B33" s="30" t="s">
        <v>63</v>
      </c>
      <c r="C33" s="13" t="s">
        <v>42</v>
      </c>
      <c r="D33" s="10"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10" t="str">
        <f t="array" aca="1" ref="E33" ca="1">IF(
    VLOOKUP(
        $A33,
        _xlfn._xlws.FILTER(
            INDIRECT("'"&amp;E$1&amp;"'!A2:E1000"), (INDIRECT("'"&amp;E$1&amp;"'!B2:B1000")=$B33) * (INDIRECT("'"&amp;E$1&amp;"'!C2:C1000")=$C33)
        ),
        5,
        FALSE
    )=0,
    "",
    VLOOKUP(
        $A33,
        _xlfn._xlws.FILTER(
            INDIRECT("'"&amp;E$1&amp;"'!A2:E1000"), (INDIRECT("'"&amp;E$1&amp;"'!B2:B1000")=$B33) * (INDIRECT("'"&amp;E$1&amp;"'!C2:C1000")=$C33)
        ),
        5,
        FALSE
    )
)</f>
        <v>Enviado</v>
      </c>
      <c r="F33" s="10"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21" t="s">
        <v>28</v>
      </c>
      <c r="B34" s="30" t="s">
        <v>64</v>
      </c>
      <c r="C34" s="13" t="s">
        <v>42</v>
      </c>
      <c r="D34" s="10"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10"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10"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row>
    <row r="35" spans="1:6">
      <c r="A35" s="21" t="s">
        <v>28</v>
      </c>
      <c r="B35" s="30" t="s">
        <v>65</v>
      </c>
      <c r="C35" s="13" t="s">
        <v>42</v>
      </c>
      <c r="D35" s="10"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10"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10"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21" t="s">
        <v>28</v>
      </c>
      <c r="B36" s="30" t="s">
        <v>66</v>
      </c>
      <c r="C36" s="13" t="s">
        <v>42</v>
      </c>
      <c r="D36" s="10"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10" t="str">
        <f t="array" aca="1" ref="E36" ca="1">IF(
    VLOOKUP(
        $A36,
        _xlfn._xlws.FILTER(
            INDIRECT("'"&amp;E$1&amp;"'!A2:E1000"), (INDIRECT("'"&amp;E$1&amp;"'!B2:B1000")=$B36) * (INDIRECT("'"&amp;E$1&amp;"'!C2:C1000")=$C36)
        ),
        5,
        FALSE
    )=0,
    "",
    VLOOKUP(
        $A36,
        _xlfn._xlws.FILTER(
            INDIRECT("'"&amp;E$1&amp;"'!A2:E1000"), (INDIRECT("'"&amp;E$1&amp;"'!B2:B1000")=$B36) * (INDIRECT("'"&amp;E$1&amp;"'!C2:C1000")=$C36)
        ),
        5,
        FALSE
    )
)</f>
        <v>Duplicado</v>
      </c>
      <c r="F36" s="10"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21" t="s">
        <v>28</v>
      </c>
      <c r="B37" s="30" t="s">
        <v>67</v>
      </c>
      <c r="C37" s="13" t="s">
        <v>42</v>
      </c>
      <c r="D37" s="10"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10"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10"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21" t="s">
        <v>28</v>
      </c>
      <c r="B38" s="30" t="s">
        <v>68</v>
      </c>
      <c r="C38" s="13" t="s">
        <v>42</v>
      </c>
      <c r="D38" s="10" t="str">
        <f t="array" aca="1" ref="D38" ca="1">IF(
    VLOOKUP(
        $A38,
        _xlfn._xlws.FILTER(
            INDIRECT("'"&amp;D$1&amp;"'!A2:E1000"), (INDIRECT("'"&amp;D$1&amp;"'!B2:B1000")=$B38) * (INDIRECT("'"&amp;D$1&amp;"'!C2:C1000")=$C38)
        ),
        5,
        FALSE
    )=0,
    "",
    VLOOKUP(
        $A38,
        _xlfn._xlws.FILTER(
            INDIRECT("'"&amp;D$1&amp;"'!A2:E1000"), (INDIRECT("'"&amp;D$1&amp;"'!B2:B1000")=$B38) * (INDIRECT("'"&amp;D$1&amp;"'!C2:C1000")=$C38)
        ),
        5,
        FALSE
    )
)</f>
        <v>Enviado</v>
      </c>
      <c r="E38" s="10"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10"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39" spans="1:6">
      <c r="A39" s="21" t="s">
        <v>28</v>
      </c>
      <c r="B39" s="30" t="s">
        <v>69</v>
      </c>
      <c r="C39" s="13" t="s">
        <v>42</v>
      </c>
      <c r="D39" s="10" t="str">
        <f t="array" aca="1" ref="D39" ca="1">IF(
    VLOOKUP(
        $A39,
        _xlfn._xlws.FILTER(
            INDIRECT("'"&amp;D$1&amp;"'!A2:E1000"), (INDIRECT("'"&amp;D$1&amp;"'!B2:B1000")=$B39) * (INDIRECT("'"&amp;D$1&amp;"'!C2:C1000")=$C39)
        ),
        5,
        FALSE
    )=0,
    "",
    VLOOKUP(
        $A39,
        _xlfn._xlws.FILTER(
            INDIRECT("'"&amp;D$1&amp;"'!A2:E1000"), (INDIRECT("'"&amp;D$1&amp;"'!B2:B1000")=$B39) * (INDIRECT("'"&amp;D$1&amp;"'!C2:C1000")=$C39)
        ),
        5,
        FALSE
    )
)</f>
        <v>Enviado</v>
      </c>
      <c r="E39" s="10" t="str">
        <f t="array" aca="1" ref="E39" ca="1">IF(
    VLOOKUP(
        $A39,
        _xlfn._xlws.FILTER(
            INDIRECT("'"&amp;E$1&amp;"'!A2:E1000"), (INDIRECT("'"&amp;E$1&amp;"'!B2:B1000")=$B39) * (INDIRECT("'"&amp;E$1&amp;"'!C2:C1000")=$C39)
        ),
        5,
        FALSE
    )=0,
    "",
    VLOOKUP(
        $A39,
        _xlfn._xlws.FILTER(
            INDIRECT("'"&amp;E$1&amp;"'!A2:E1000"), (INDIRECT("'"&amp;E$1&amp;"'!B2:B1000")=$B39) * (INDIRECT("'"&amp;E$1&amp;"'!C2:C1000")=$C39)
        ),
        5,
        FALSE
    )
)</f>
        <v>Enviado</v>
      </c>
      <c r="F39" s="10" t="str">
        <f t="array" aca="1" ref="F39" ca="1">IF(
    VLOOKUP(
        $A39,
        _xlfn._xlws.FILTER(
            INDIRECT("'"&amp;F$1&amp;"'!A2:E1000"), (INDIRECT("'"&amp;F$1&amp;"'!B2:B1000")=$B39) * (INDIRECT("'"&amp;F$1&amp;"'!C2:C1000")=$C39)
        ),
        5,
        FALSE
    )=0,
    "",
    VLOOKUP(
        $A39,
        _xlfn._xlws.FILTER(
            INDIRECT("'"&amp;F$1&amp;"'!A2:E1000"), (INDIRECT("'"&amp;F$1&amp;"'!B2:B1000")=$B39) * (INDIRECT("'"&amp;F$1&amp;"'!C2:C1000")=$C39)
        ),
        5,
        FALSE
    )
)</f>
        <v>Enviado</v>
      </c>
    </row>
    <row r="40" spans="1:6">
      <c r="A40" s="21" t="s">
        <v>28</v>
      </c>
      <c r="B40" s="30" t="s">
        <v>70</v>
      </c>
      <c r="C40" s="13" t="s">
        <v>42</v>
      </c>
      <c r="D40" s="10" t="str">
        <f t="array" aca="1" ref="D40" ca="1">IF(
    VLOOKUP(
        $A40,
        _xlfn._xlws.FILTER(
            INDIRECT("'"&amp;D$1&amp;"'!A2:E1000"), (INDIRECT("'"&amp;D$1&amp;"'!B2:B1000")=$B40) * (INDIRECT("'"&amp;D$1&amp;"'!C2:C1000")=$C40)
        ),
        5,
        FALSE
    )=0,
    "",
    VLOOKUP(
        $A40,
        _xlfn._xlws.FILTER(
            INDIRECT("'"&amp;D$1&amp;"'!A2:E1000"), (INDIRECT("'"&amp;D$1&amp;"'!B2:B1000")=$B40) * (INDIRECT("'"&amp;D$1&amp;"'!C2:C1000")=$C40)
        ),
        5,
        FALSE
    )
)</f>
        <v>Enviado</v>
      </c>
      <c r="E40" s="10"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10" t="str">
        <f t="array" aca="1" ref="F40" ca="1">IF(
    VLOOKUP(
        $A40,
        _xlfn._xlws.FILTER(
            INDIRECT("'"&amp;F$1&amp;"'!A2:E1000"), (INDIRECT("'"&amp;F$1&amp;"'!B2:B1000")=$B40) * (INDIRECT("'"&amp;F$1&amp;"'!C2:C1000")=$C40)
        ),
        5,
        FALSE
    )=0,
    "",
    VLOOKUP(
        $A40,
        _xlfn._xlws.FILTER(
            INDIRECT("'"&amp;F$1&amp;"'!A2:E1000"), (INDIRECT("'"&amp;F$1&amp;"'!B2:B1000")=$B40) * (INDIRECT("'"&amp;F$1&amp;"'!C2:C1000")=$C40)
        ),
        5,
        FALSE
    )
)</f>
        <v>Enviado</v>
      </c>
    </row>
    <row r="42" spans="1:6" ht="15.75" customHeight="1">
      <c r="A42" s="39" t="s">
        <v>30</v>
      </c>
      <c r="B42" s="9" t="s">
        <v>39</v>
      </c>
      <c r="C42" s="9" t="s">
        <v>40</v>
      </c>
      <c r="D42" s="9" t="s">
        <v>36</v>
      </c>
      <c r="E42" s="9" t="s">
        <v>37</v>
      </c>
      <c r="F42" s="9" t="s">
        <v>38</v>
      </c>
    </row>
    <row r="43" spans="1:6">
      <c r="A43" s="18" t="s">
        <v>29</v>
      </c>
      <c r="B43" s="30" t="s">
        <v>71</v>
      </c>
      <c r="C43" s="13" t="s">
        <v>42</v>
      </c>
      <c r="D43" s="10"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10"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10"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row>
    <row r="44" spans="1:6">
      <c r="A44" s="18" t="s">
        <v>29</v>
      </c>
      <c r="B44" s="30" t="s">
        <v>72</v>
      </c>
      <c r="C44" s="13" t="s">
        <v>42</v>
      </c>
      <c r="D44" s="10"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10" t="str">
        <f t="array" aca="1" ref="E44" ca="1">IF(
    VLOOKUP(
        $A44,
        _xlfn._xlws.FILTER(
            INDIRECT("'"&amp;E$1&amp;"'!A2:E1000"), (INDIRECT("'"&amp;E$1&amp;"'!B2:B1000")=$B44) * (INDIRECT("'"&amp;E$1&amp;"'!C2:C1000")=$C44)
        ),
        5,
        FALSE
    )=0,
    "",
    VLOOKUP(
        $A44,
        _xlfn._xlws.FILTER(
            INDIRECT("'"&amp;E$1&amp;"'!A2:E1000"), (INDIRECT("'"&amp;E$1&amp;"'!B2:B1000")=$B44) * (INDIRECT("'"&amp;E$1&amp;"'!C2:C1000")=$C44)
        ),
        5,
        FALSE
    )
)</f>
        <v>Enviado</v>
      </c>
      <c r="F44" s="10"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row>
    <row r="45" spans="1:6">
      <c r="A45" s="18" t="s">
        <v>29</v>
      </c>
      <c r="B45" s="30" t="s">
        <v>73</v>
      </c>
      <c r="C45" s="13" t="s">
        <v>42</v>
      </c>
      <c r="D45" s="10"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10"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10"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row>
    <row r="46" spans="1:6">
      <c r="A46" s="18" t="s">
        <v>29</v>
      </c>
      <c r="B46" s="30" t="s">
        <v>74</v>
      </c>
      <c r="C46" s="13" t="s">
        <v>42</v>
      </c>
      <c r="D46" s="10" t="str">
        <f t="array" aca="1" ref="D46" ca="1">IF(
    VLOOKUP(
        $A46,
        _xlfn._xlws.FILTER(
            INDIRECT("'"&amp;D$1&amp;"'!A2:E1000"), (INDIRECT("'"&amp;D$1&amp;"'!B2:B1000")=$B46) * (INDIRECT("'"&amp;D$1&amp;"'!C2:C1000")=$C46)
        ),
        5,
        FALSE
    )=0,
    "",
    VLOOKUP(
        $A46,
        _xlfn._xlws.FILTER(
            INDIRECT("'"&amp;D$1&amp;"'!A2:E1000"), (INDIRECT("'"&amp;D$1&amp;"'!B2:B1000")=$B46) * (INDIRECT("'"&amp;D$1&amp;"'!C2:C1000")=$C46)
        ),
        5,
        FALSE
    )
)</f>
        <v>Enviado</v>
      </c>
      <c r="E46" s="10"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10"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row>
    <row r="47" spans="1:6">
      <c r="A47" s="18" t="s">
        <v>29</v>
      </c>
      <c r="B47" s="30" t="s">
        <v>75</v>
      </c>
      <c r="C47" s="13" t="s">
        <v>42</v>
      </c>
      <c r="D47" s="10"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10"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10"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row>
    <row r="48" spans="1:6">
      <c r="A48" s="18" t="s">
        <v>29</v>
      </c>
      <c r="B48" s="30" t="s">
        <v>76</v>
      </c>
      <c r="C48" s="13" t="s">
        <v>42</v>
      </c>
      <c r="D48" s="10" t="str">
        <f t="array" aca="1" ref="D48" ca="1">IF(
    VLOOKUP(
        $A48,
        _xlfn._xlws.FILTER(
            INDIRECT("'"&amp;D$1&amp;"'!A2:E1000"), (INDIRECT("'"&amp;D$1&amp;"'!B2:B1000")=$B48) * (INDIRECT("'"&amp;D$1&amp;"'!C2:C1000")=$C48)
        ),
        5,
        FALSE
    )=0,
    "",
    VLOOKUP(
        $A48,
        _xlfn._xlws.FILTER(
            INDIRECT("'"&amp;D$1&amp;"'!A2:E1000"), (INDIRECT("'"&amp;D$1&amp;"'!B2:B1000")=$B48) * (INDIRECT("'"&amp;D$1&amp;"'!C2:C1000")=$C48)
        ),
        5,
        FALSE
    )
)</f>
        <v>Enviado</v>
      </c>
      <c r="E48" s="10" t="str">
        <f t="array" aca="1" ref="E48" ca="1">IF(
    VLOOKUP(
        $A48,
        _xlfn._xlws.FILTER(
            INDIRECT("'"&amp;E$1&amp;"'!A2:E1000"), (INDIRECT("'"&amp;E$1&amp;"'!B2:B1000")=$B48) * (INDIRECT("'"&amp;E$1&amp;"'!C2:C1000")=$C48)
        ),
        5,
        FALSE
    )=0,
    "",
    VLOOKUP(
        $A48,
        _xlfn._xlws.FILTER(
            INDIRECT("'"&amp;E$1&amp;"'!A2:E1000"), (INDIRECT("'"&amp;E$1&amp;"'!B2:B1000")=$B48) * (INDIRECT("'"&amp;E$1&amp;"'!C2:C1000")=$C48)
        ),
        5,
        FALSE
    )
)</f>
        <v>Enviado</v>
      </c>
      <c r="F48" s="10" t="str">
        <f t="array" aca="1" ref="F48" ca="1">IF(
    VLOOKUP(
        $A48,
        _xlfn._xlws.FILTER(
            INDIRECT("'"&amp;F$1&amp;"'!A2:E1000"), (INDIRECT("'"&amp;F$1&amp;"'!B2:B1000")=$B48) * (INDIRECT("'"&amp;F$1&amp;"'!C2:C1000")=$C48)
        ),
        5,
        FALSE
    )=0,
    "",
    VLOOKUP(
        $A48,
        _xlfn._xlws.FILTER(
            INDIRECT("'"&amp;F$1&amp;"'!A2:E1000"), (INDIRECT("'"&amp;F$1&amp;"'!B2:B1000")=$B48) * (INDIRECT("'"&amp;F$1&amp;"'!C2:C1000")=$C48)
        ),
        5,
        FALSE
    )
)</f>
        <v>Enviado</v>
      </c>
    </row>
    <row r="49" spans="1:6">
      <c r="A49" s="18" t="s">
        <v>29</v>
      </c>
      <c r="B49" s="30" t="s">
        <v>77</v>
      </c>
      <c r="C49" s="13" t="s">
        <v>42</v>
      </c>
      <c r="D49" s="10" t="str">
        <f t="array" aca="1" ref="D49" ca="1">IF(
    VLOOKUP(
        $A49,
        _xlfn._xlws.FILTER(
            INDIRECT("'"&amp;D$1&amp;"'!A2:E1000"), (INDIRECT("'"&amp;D$1&amp;"'!B2:B1000")=$B49) * (INDIRECT("'"&amp;D$1&amp;"'!C2:C1000")=$C49)
        ),
        5,
        FALSE
    )=0,
    "",
    VLOOKUP(
        $A49,
        _xlfn._xlws.FILTER(
            INDIRECT("'"&amp;D$1&amp;"'!A2:E1000"), (INDIRECT("'"&amp;D$1&amp;"'!B2:B1000")=$B49) * (INDIRECT("'"&amp;D$1&amp;"'!C2:C1000")=$C49)
        ),
        5,
        FALSE
    )
)</f>
        <v>Enviado</v>
      </c>
      <c r="E49" s="10" t="str">
        <f t="array" aca="1" ref="E49" ca="1">IF(
    VLOOKUP(
        $A49,
        _xlfn._xlws.FILTER(
            INDIRECT("'"&amp;E$1&amp;"'!A2:E1000"), (INDIRECT("'"&amp;E$1&amp;"'!B2:B1000")=$B49) * (INDIRECT("'"&amp;E$1&amp;"'!C2:C1000")=$C49)
        ),
        5,
        FALSE
    )=0,
    "",
    VLOOKUP(
        $A49,
        _xlfn._xlws.FILTER(
            INDIRECT("'"&amp;E$1&amp;"'!A2:E1000"), (INDIRECT("'"&amp;E$1&amp;"'!B2:B1000")=$B49) * (INDIRECT("'"&amp;E$1&amp;"'!C2:C1000")=$C49)
        ),
        5,
        FALSE
    )
)</f>
        <v>Enviado</v>
      </c>
      <c r="F49" s="10" t="str">
        <f t="array" aca="1" ref="F49" ca="1">IF(
    VLOOKUP(
        $A49,
        _xlfn._xlws.FILTER(
            INDIRECT("'"&amp;F$1&amp;"'!A2:E1000"), (INDIRECT("'"&amp;F$1&amp;"'!B2:B1000")=$B49) * (INDIRECT("'"&amp;F$1&amp;"'!C2:C1000")=$C49)
        ),
        5,
        FALSE
    )=0,
    "",
    VLOOKUP(
        $A49,
        _xlfn._xlws.FILTER(
            INDIRECT("'"&amp;F$1&amp;"'!A2:E1000"), (INDIRECT("'"&amp;F$1&amp;"'!B2:B1000")=$B49) * (INDIRECT("'"&amp;F$1&amp;"'!C2:C1000")=$C49)
        ),
        5,
        FALSE
    )
)</f>
        <v>Enviado</v>
      </c>
    </row>
    <row r="50" spans="1:6">
      <c r="A50" s="18" t="s">
        <v>29</v>
      </c>
      <c r="B50" s="30" t="s">
        <v>78</v>
      </c>
      <c r="C50" s="13" t="s">
        <v>42</v>
      </c>
      <c r="D50" s="10" t="str">
        <f t="array" aca="1" ref="D50" ca="1">IF(
    VLOOKUP(
        $A50,
        _xlfn._xlws.FILTER(
            INDIRECT("'"&amp;D$1&amp;"'!A2:E1000"), (INDIRECT("'"&amp;D$1&amp;"'!B2:B1000")=$B50) * (INDIRECT("'"&amp;D$1&amp;"'!C2:C1000")=$C50)
        ),
        5,
        FALSE
    )=0,
    "",
    VLOOKUP(
        $A50,
        _xlfn._xlws.FILTER(
            INDIRECT("'"&amp;D$1&amp;"'!A2:E1000"), (INDIRECT("'"&amp;D$1&amp;"'!B2:B1000")=$B50) * (INDIRECT("'"&amp;D$1&amp;"'!C2:C1000")=$C50)
        ),
        5,
        FALSE
    )
)</f>
        <v>Enviado</v>
      </c>
      <c r="E50" s="10" t="str">
        <f t="array" aca="1" ref="E50" ca="1">IF(
    VLOOKUP(
        $A50,
        _xlfn._xlws.FILTER(
            INDIRECT("'"&amp;E$1&amp;"'!A2:E1000"), (INDIRECT("'"&amp;E$1&amp;"'!B2:B1000")=$B50) * (INDIRECT("'"&amp;E$1&amp;"'!C2:C1000")=$C50)
        ),
        5,
        FALSE
    )=0,
    "",
    VLOOKUP(
        $A50,
        _xlfn._xlws.FILTER(
            INDIRECT("'"&amp;E$1&amp;"'!A2:E1000"), (INDIRECT("'"&amp;E$1&amp;"'!B2:B1000")=$B50) * (INDIRECT("'"&amp;E$1&amp;"'!C2:C1000")=$C50)
        ),
        5,
        FALSE
    )
)</f>
        <v>Enviado</v>
      </c>
      <c r="F50" s="10" t="str">
        <f t="array" aca="1" ref="F50" ca="1">IF(
    VLOOKUP(
        $A50,
        _xlfn._xlws.FILTER(
            INDIRECT("'"&amp;F$1&amp;"'!A2:E1000"), (INDIRECT("'"&amp;F$1&amp;"'!B2:B1000")=$B50) * (INDIRECT("'"&amp;F$1&amp;"'!C2:C1000")=$C50)
        ),
        5,
        FALSE
    )=0,
    "",
    VLOOKUP(
        $A50,
        _xlfn._xlws.FILTER(
            INDIRECT("'"&amp;F$1&amp;"'!A2:E1000"), (INDIRECT("'"&amp;F$1&amp;"'!B2:B1000")=$B50) * (INDIRECT("'"&amp;F$1&amp;"'!C2:C1000")=$C50)
        ),
        5,
        FALSE
    )
)</f>
        <v>Enviado</v>
      </c>
    </row>
    <row r="52" spans="1:6" ht="15.75" customHeight="1">
      <c r="A52" s="40" t="s">
        <v>32</v>
      </c>
      <c r="B52" s="9" t="s">
        <v>39</v>
      </c>
      <c r="C52" s="9" t="s">
        <v>40</v>
      </c>
      <c r="D52" s="9" t="s">
        <v>36</v>
      </c>
      <c r="E52" s="9" t="s">
        <v>37</v>
      </c>
      <c r="F52" s="9" t="s">
        <v>38</v>
      </c>
    </row>
    <row r="53" spans="1:6">
      <c r="A53" s="16" t="s">
        <v>31</v>
      </c>
      <c r="B53" s="13" t="s">
        <v>79</v>
      </c>
      <c r="C53" s="13" t="s">
        <v>42</v>
      </c>
      <c r="D53" s="10"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10"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10" t="str">
        <f t="array" aca="1" ref="F53" ca="1">IF(
    VLOOKUP(
        $A53,
        _xlfn._xlws.FILTER(
            INDIRECT("'"&amp;F$1&amp;"'!A2:E1000"), (INDIRECT("'"&amp;F$1&amp;"'!B2:B1000")=$B53) * (INDIRECT("'"&amp;F$1&amp;"'!C2:C1000")=$C53)
        ),
        5,
        FALSE
    )=0,
    "",
    VLOOKUP(
        $A53,
        _xlfn._xlws.FILTER(
            INDIRECT("'"&amp;F$1&amp;"'!A2:E1000"), (INDIRECT("'"&amp;F$1&amp;"'!B2:B1000")=$B53) * (INDIRECT("'"&amp;F$1&amp;"'!C2:C1000")=$C53)
        ),
        5,
        FALSE
    )
)</f>
        <v>Enviado</v>
      </c>
    </row>
    <row r="54" spans="1:6">
      <c r="A54" s="16" t="s">
        <v>31</v>
      </c>
      <c r="B54" s="13" t="s">
        <v>80</v>
      </c>
      <c r="C54" s="13" t="s">
        <v>42</v>
      </c>
      <c r="D54" s="10" t="str">
        <f t="array" aca="1" ref="D54" ca="1">IF(
    VLOOKUP(
        $A54,
        _xlfn._xlws.FILTER(
            INDIRECT("'"&amp;D$1&amp;"'!A2:E1000"), (INDIRECT("'"&amp;D$1&amp;"'!B2:B1000")=$B54) * (INDIRECT("'"&amp;D$1&amp;"'!C2:C1000")=$C54)
        ),
        5,
        FALSE
    )=0,
    "",
    VLOOKUP(
        $A54,
        _xlfn._xlws.FILTER(
            INDIRECT("'"&amp;D$1&amp;"'!A2:E1000"), (INDIRECT("'"&amp;D$1&amp;"'!B2:B1000")=$B54) * (INDIRECT("'"&amp;D$1&amp;"'!C2:C1000")=$C54)
        ),
        5,
        FALSE
    )
)</f>
        <v>Enviado</v>
      </c>
      <c r="E54" s="10" t="str">
        <f t="array" aca="1" ref="E54" ca="1">IF(
    VLOOKUP(
        $A54,
        _xlfn._xlws.FILTER(
            INDIRECT("'"&amp;E$1&amp;"'!A2:E1000"), (INDIRECT("'"&amp;E$1&amp;"'!B2:B1000")=$B54) * (INDIRECT("'"&amp;E$1&amp;"'!C2:C1000")=$C54)
        ),
        5,
        FALSE
    )=0,
    "",
    VLOOKUP(
        $A54,
        _xlfn._xlws.FILTER(
            INDIRECT("'"&amp;E$1&amp;"'!A2:E1000"), (INDIRECT("'"&amp;E$1&amp;"'!B2:B1000")=$B54) * (INDIRECT("'"&amp;E$1&amp;"'!C2:C1000")=$C54)
        ),
        5,
        FALSE
    )
)</f>
        <v>Enviado</v>
      </c>
      <c r="F54" s="10" t="str">
        <f t="array" aca="1" ref="F54" ca="1">IF(
    VLOOKUP(
        $A54,
        _xlfn._xlws.FILTER(
            INDIRECT("'"&amp;F$1&amp;"'!A2:E1000"), (INDIRECT("'"&amp;F$1&amp;"'!B2:B1000")=$B54) * (INDIRECT("'"&amp;F$1&amp;"'!C2:C1000")=$C54)
        ),
        5,
        FALSE
    )=0,
    "",
    VLOOKUP(
        $A54,
        _xlfn._xlws.FILTER(
            INDIRECT("'"&amp;F$1&amp;"'!A2:E1000"), (INDIRECT("'"&amp;F$1&amp;"'!B2:B1000")=$B54) * (INDIRECT("'"&amp;F$1&amp;"'!C2:C1000")=$C54)
        ),
        5,
        FALSE
    )
)</f>
        <v>Enviado</v>
      </c>
    </row>
    <row r="55" spans="1:6">
      <c r="A55" s="16" t="s">
        <v>31</v>
      </c>
      <c r="B55" s="13" t="s">
        <v>81</v>
      </c>
      <c r="C55" s="13" t="s">
        <v>42</v>
      </c>
      <c r="D55" s="10"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10" t="str">
        <f t="array" aca="1" ref="E55" ca="1">IF(
    VLOOKUP(
        $A55,
        _xlfn._xlws.FILTER(
            INDIRECT("'"&amp;E$1&amp;"'!A2:E1000"), (INDIRECT("'"&amp;E$1&amp;"'!B2:B1000")=$B55) * (INDIRECT("'"&amp;E$1&amp;"'!C2:C1000")=$C55)
        ),
        5,
        FALSE
    )=0,
    "",
    VLOOKUP(
        $A55,
        _xlfn._xlws.FILTER(
            INDIRECT("'"&amp;E$1&amp;"'!A2:E1000"), (INDIRECT("'"&amp;E$1&amp;"'!B2:B1000")=$B55) * (INDIRECT("'"&amp;E$1&amp;"'!C2:C1000")=$C55)
        ),
        5,
        FALSE
    )
)</f>
        <v>Enviado</v>
      </c>
      <c r="F55" s="10" t="str">
        <f t="array" aca="1" ref="F55" ca="1">IF(
    VLOOKUP(
        $A55,
        _xlfn._xlws.FILTER(
            INDIRECT("'"&amp;F$1&amp;"'!A2:E1000"), (INDIRECT("'"&amp;F$1&amp;"'!B2:B1000")=$B55) * (INDIRECT("'"&amp;F$1&amp;"'!C2:C1000")=$C55)
        ),
        5,
        FALSE
    )=0,
    "",
    VLOOKUP(
        $A55,
        _xlfn._xlws.FILTER(
            INDIRECT("'"&amp;F$1&amp;"'!A2:E1000"), (INDIRECT("'"&amp;F$1&amp;"'!B2:B1000")=$B55) * (INDIRECT("'"&amp;F$1&amp;"'!C2:C1000")=$C55)
        ),
        5,
        FALSE
    )
)</f>
        <v>Enviado</v>
      </c>
    </row>
    <row r="56" spans="1:6">
      <c r="A56" s="16" t="s">
        <v>31</v>
      </c>
      <c r="B56" s="13" t="s">
        <v>82</v>
      </c>
      <c r="C56" s="13" t="s">
        <v>42</v>
      </c>
      <c r="D56" s="10" t="str">
        <f t="array" aca="1" ref="D56" ca="1">IF(
    VLOOKUP(
        $A56,
        _xlfn._xlws.FILTER(
            INDIRECT("'"&amp;D$1&amp;"'!A2:E1000"), (INDIRECT("'"&amp;D$1&amp;"'!B2:B1000")=$B56) * (INDIRECT("'"&amp;D$1&amp;"'!C2:C1000")=$C56)
        ),
        5,
        FALSE
    )=0,
    "",
    VLOOKUP(
        $A56,
        _xlfn._xlws.FILTER(
            INDIRECT("'"&amp;D$1&amp;"'!A2:E1000"), (INDIRECT("'"&amp;D$1&amp;"'!B2:B1000")=$B56) * (INDIRECT("'"&amp;D$1&amp;"'!C2:C1000")=$C56)
        ),
        5,
        FALSE
    )
)</f>
        <v>Enviado</v>
      </c>
      <c r="E56" s="10" t="str">
        <f t="array" aca="1" ref="E56" ca="1">IF(
    VLOOKUP(
        $A56,
        _xlfn._xlws.FILTER(
            INDIRECT("'"&amp;E$1&amp;"'!A2:E1000"), (INDIRECT("'"&amp;E$1&amp;"'!B2:B1000")=$B56) * (INDIRECT("'"&amp;E$1&amp;"'!C2:C1000")=$C56)
        ),
        5,
        FALSE
    )=0,
    "",
    VLOOKUP(
        $A56,
        _xlfn._xlws.FILTER(
            INDIRECT("'"&amp;E$1&amp;"'!A2:E1000"), (INDIRECT("'"&amp;E$1&amp;"'!B2:B1000")=$B56) * (INDIRECT("'"&amp;E$1&amp;"'!C2:C1000")=$C56)
        ),
        5,
        FALSE
    )
)</f>
        <v>Enviado</v>
      </c>
      <c r="F56" s="10" t="str">
        <f t="array" aca="1" ref="F56" ca="1">IF(
    VLOOKUP(
        $A56,
        _xlfn._xlws.FILTER(
            INDIRECT("'"&amp;F$1&amp;"'!A2:E1000"), (INDIRECT("'"&amp;F$1&amp;"'!B2:B1000")=$B56) * (INDIRECT("'"&amp;F$1&amp;"'!C2:C1000")=$C56)
        ),
        5,
        FALSE
    )=0,
    "",
    VLOOKUP(
        $A56,
        _xlfn._xlws.FILTER(
            INDIRECT("'"&amp;F$1&amp;"'!A2:E1000"), (INDIRECT("'"&amp;F$1&amp;"'!B2:B1000")=$B56) * (INDIRECT("'"&amp;F$1&amp;"'!C2:C1000")=$C56)
        ),
        5,
        FALSE
    )
)</f>
        <v>Enviado</v>
      </c>
    </row>
    <row r="57" spans="1:6">
      <c r="A57" s="16" t="s">
        <v>31</v>
      </c>
      <c r="B57" s="13" t="s">
        <v>83</v>
      </c>
      <c r="C57" s="13" t="s">
        <v>42</v>
      </c>
      <c r="D57" s="10" t="str">
        <f t="array" aca="1" ref="D57" ca="1">IF(
    VLOOKUP(
        $A57,
        _xlfn._xlws.FILTER(
            INDIRECT("'"&amp;D$1&amp;"'!A2:E1000"), (INDIRECT("'"&amp;D$1&amp;"'!B2:B1000")=$B57) * (INDIRECT("'"&amp;D$1&amp;"'!C2:C1000")=$C57)
        ),
        5,
        FALSE
    )=0,
    "",
    VLOOKUP(
        $A57,
        _xlfn._xlws.FILTER(
            INDIRECT("'"&amp;D$1&amp;"'!A2:E1000"), (INDIRECT("'"&amp;D$1&amp;"'!B2:B1000")=$B57) * (INDIRECT("'"&amp;D$1&amp;"'!C2:C1000")=$C57)
        ),
        5,
        FALSE
    )
)</f>
        <v>Enviado</v>
      </c>
      <c r="E57" s="10" t="str">
        <f t="array" aca="1" ref="E57" ca="1">IF(
    VLOOKUP(
        $A57,
        _xlfn._xlws.FILTER(
            INDIRECT("'"&amp;E$1&amp;"'!A2:E1000"), (INDIRECT("'"&amp;E$1&amp;"'!B2:B1000")=$B57) * (INDIRECT("'"&amp;E$1&amp;"'!C2:C1000")=$C57)
        ),
        5,
        FALSE
    )=0,
    "",
    VLOOKUP(
        $A57,
        _xlfn._xlws.FILTER(
            INDIRECT("'"&amp;E$1&amp;"'!A2:E1000"), (INDIRECT("'"&amp;E$1&amp;"'!B2:B1000")=$B57) * (INDIRECT("'"&amp;E$1&amp;"'!C2:C1000")=$C57)
        ),
        5,
        FALSE
    )
)</f>
        <v>Enviado</v>
      </c>
      <c r="F57" s="10" t="str">
        <f t="array" aca="1" ref="F57" ca="1">IF(
    VLOOKUP(
        $A57,
        _xlfn._xlws.FILTER(
            INDIRECT("'"&amp;F$1&amp;"'!A2:E1000"), (INDIRECT("'"&amp;F$1&amp;"'!B2:B1000")=$B57) * (INDIRECT("'"&amp;F$1&amp;"'!C2:C1000")=$C57)
        ),
        5,
        FALSE
    )=0,
    "",
    VLOOKUP(
        $A57,
        _xlfn._xlws.FILTER(
            INDIRECT("'"&amp;F$1&amp;"'!A2:E1000"), (INDIRECT("'"&amp;F$1&amp;"'!B2:B1000")=$B57) * (INDIRECT("'"&amp;F$1&amp;"'!C2:C1000")=$C57)
        ),
        5,
        FALSE
    )
)</f>
        <v>Enviado</v>
      </c>
    </row>
    <row r="58" spans="1:6">
      <c r="A58" s="16" t="s">
        <v>31</v>
      </c>
      <c r="B58" s="13" t="s">
        <v>84</v>
      </c>
      <c r="C58" s="13" t="s">
        <v>42</v>
      </c>
      <c r="D58" s="10" t="str">
        <f t="array" aca="1" ref="D58" ca="1">IF(
    VLOOKUP(
        $A58,
        _xlfn._xlws.FILTER(
            INDIRECT("'"&amp;D$1&amp;"'!A2:E1000"), (INDIRECT("'"&amp;D$1&amp;"'!B2:B1000")=$B58) * (INDIRECT("'"&amp;D$1&amp;"'!C2:C1000")=$C58)
        ),
        5,
        FALSE
    )=0,
    "",
    VLOOKUP(
        $A58,
        _xlfn._xlws.FILTER(
            INDIRECT("'"&amp;D$1&amp;"'!A2:E1000"), (INDIRECT("'"&amp;D$1&amp;"'!B2:B1000")=$B58) * (INDIRECT("'"&amp;D$1&amp;"'!C2:C1000")=$C58)
        ),
        5,
        FALSE
    )
)</f>
        <v>Enviado</v>
      </c>
      <c r="E58" s="10" t="str">
        <f t="array" aca="1" ref="E58" ca="1">IF(
    VLOOKUP(
        $A58,
        _xlfn._xlws.FILTER(
            INDIRECT("'"&amp;E$1&amp;"'!A2:E1000"), (INDIRECT("'"&amp;E$1&amp;"'!B2:B1000")=$B58) * (INDIRECT("'"&amp;E$1&amp;"'!C2:C1000")=$C58)
        ),
        5,
        FALSE
    )=0,
    "",
    VLOOKUP(
        $A58,
        _xlfn._xlws.FILTER(
            INDIRECT("'"&amp;E$1&amp;"'!A2:E1000"), (INDIRECT("'"&amp;E$1&amp;"'!B2:B1000")=$B58) * (INDIRECT("'"&amp;E$1&amp;"'!C2:C1000")=$C58)
        ),
        5,
        FALSE
    )
)</f>
        <v>Enviado</v>
      </c>
      <c r="F58" s="10" t="str">
        <f t="array" aca="1" ref="F58" ca="1">IF(
    VLOOKUP(
        $A58,
        _xlfn._xlws.FILTER(
            INDIRECT("'"&amp;F$1&amp;"'!A2:E1000"), (INDIRECT("'"&amp;F$1&amp;"'!B2:B1000")=$B58) * (INDIRECT("'"&amp;F$1&amp;"'!C2:C1000")=$C58)
        ),
        5,
        FALSE
    )=0,
    "",
    VLOOKUP(
        $A58,
        _xlfn._xlws.FILTER(
            INDIRECT("'"&amp;F$1&amp;"'!A2:E1000"), (INDIRECT("'"&amp;F$1&amp;"'!B2:B1000")=$B58) * (INDIRECT("'"&amp;F$1&amp;"'!C2:C1000")=$C58)
        ),
        5,
        FALSE
    )
)</f>
        <v>Enviado</v>
      </c>
    </row>
    <row r="59" spans="1:6">
      <c r="A59" s="16" t="s">
        <v>31</v>
      </c>
      <c r="B59" s="13" t="s">
        <v>85</v>
      </c>
      <c r="C59" s="13" t="s">
        <v>42</v>
      </c>
      <c r="D59" s="10" t="str">
        <f t="array" aca="1" ref="D59" ca="1">IF(
    VLOOKUP(
        $A59,
        _xlfn._xlws.FILTER(
            INDIRECT("'"&amp;D$1&amp;"'!A2:E1000"), (INDIRECT("'"&amp;D$1&amp;"'!B2:B1000")=$B59) * (INDIRECT("'"&amp;D$1&amp;"'!C2:C1000")=$C59)
        ),
        5,
        FALSE
    )=0,
    "",
    VLOOKUP(
        $A59,
        _xlfn._xlws.FILTER(
            INDIRECT("'"&amp;D$1&amp;"'!A2:E1000"), (INDIRECT("'"&amp;D$1&amp;"'!B2:B1000")=$B59) * (INDIRECT("'"&amp;D$1&amp;"'!C2:C1000")=$C59)
        ),
        5,
        FALSE
    )
)</f>
        <v>Enviado</v>
      </c>
      <c r="E59" s="10" t="str">
        <f t="array" aca="1" ref="E59" ca="1">IF(
    VLOOKUP(
        $A59,
        _xlfn._xlws.FILTER(
            INDIRECT("'"&amp;E$1&amp;"'!A2:E1000"), (INDIRECT("'"&amp;E$1&amp;"'!B2:B1000")=$B59) * (INDIRECT("'"&amp;E$1&amp;"'!C2:C1000")=$C59)
        ),
        5,
        FALSE
    )=0,
    "",
    VLOOKUP(
        $A59,
        _xlfn._xlws.FILTER(
            INDIRECT("'"&amp;E$1&amp;"'!A2:E1000"), (INDIRECT("'"&amp;E$1&amp;"'!B2:B1000")=$B59) * (INDIRECT("'"&amp;E$1&amp;"'!C2:C1000")=$C59)
        ),
        5,
        FALSE
    )
)</f>
        <v>Enviado</v>
      </c>
      <c r="F59" s="10" t="str">
        <f t="array" aca="1" ref="F59" ca="1">IF(
    VLOOKUP(
        $A59,
        _xlfn._xlws.FILTER(
            INDIRECT("'"&amp;F$1&amp;"'!A2:E1000"), (INDIRECT("'"&amp;F$1&amp;"'!B2:B1000")=$B59) * (INDIRECT("'"&amp;F$1&amp;"'!C2:C1000")=$C59)
        ),
        5,
        FALSE
    )=0,
    "",
    VLOOKUP(
        $A59,
        _xlfn._xlws.FILTER(
            INDIRECT("'"&amp;F$1&amp;"'!A2:E1000"), (INDIRECT("'"&amp;F$1&amp;"'!B2:B1000")=$B59) * (INDIRECT("'"&amp;F$1&amp;"'!C2:C1000")=$C59)
        ),
        5,
        FALSE
    )
)</f>
        <v>Enviado</v>
      </c>
    </row>
    <row r="60" spans="1:6">
      <c r="A60" s="16" t="s">
        <v>31</v>
      </c>
      <c r="B60" s="13" t="s">
        <v>86</v>
      </c>
      <c r="C60" s="13" t="s">
        <v>42</v>
      </c>
      <c r="D60" s="10" t="str">
        <f t="array" aca="1" ref="D60" ca="1">IF(
    VLOOKUP(
        $A60,
        _xlfn._xlws.FILTER(
            INDIRECT("'"&amp;D$1&amp;"'!A2:E1000"), (INDIRECT("'"&amp;D$1&amp;"'!B2:B1000")=$B60) * (INDIRECT("'"&amp;D$1&amp;"'!C2:C1000")=$C60)
        ),
        5,
        FALSE
    )=0,
    "",
    VLOOKUP(
        $A60,
        _xlfn._xlws.FILTER(
            INDIRECT("'"&amp;D$1&amp;"'!A2:E1000"), (INDIRECT("'"&amp;D$1&amp;"'!B2:B1000")=$B60) * (INDIRECT("'"&amp;D$1&amp;"'!C2:C1000")=$C60)
        ),
        5,
        FALSE
    )
)</f>
        <v>Enviado</v>
      </c>
      <c r="E60" s="10" t="str">
        <f t="array" aca="1" ref="E60" ca="1">IF(
    VLOOKUP(
        $A60,
        _xlfn._xlws.FILTER(
            INDIRECT("'"&amp;E$1&amp;"'!A2:E1000"), (INDIRECT("'"&amp;E$1&amp;"'!B2:B1000")=$B60) * (INDIRECT("'"&amp;E$1&amp;"'!C2:C1000")=$C60)
        ),
        5,
        FALSE
    )=0,
    "",
    VLOOKUP(
        $A60,
        _xlfn._xlws.FILTER(
            INDIRECT("'"&amp;E$1&amp;"'!A2:E1000"), (INDIRECT("'"&amp;E$1&amp;"'!B2:B1000")=$B60) * (INDIRECT("'"&amp;E$1&amp;"'!C2:C1000")=$C60)
        ),
        5,
        FALSE
    )
)</f>
        <v>Enviado</v>
      </c>
      <c r="F60" s="10" t="str">
        <f t="array" aca="1" ref="F60" ca="1">IF(
    VLOOKUP(
        $A60,
        _xlfn._xlws.FILTER(
            INDIRECT("'"&amp;F$1&amp;"'!A2:E1000"), (INDIRECT("'"&amp;F$1&amp;"'!B2:B1000")=$B60) * (INDIRECT("'"&amp;F$1&amp;"'!C2:C1000")=$C60)
        ),
        5,
        FALSE
    )=0,
    "",
    VLOOKUP(
        $A60,
        _xlfn._xlws.FILTER(
            INDIRECT("'"&amp;F$1&amp;"'!A2:E1000"), (INDIRECT("'"&amp;F$1&amp;"'!B2:B1000")=$B60) * (INDIRECT("'"&amp;F$1&amp;"'!C2:C1000")=$C60)
        ),
        5,
        FALSE
    )
)</f>
        <v>Enviado</v>
      </c>
    </row>
    <row r="62" spans="1:6" ht="15.75" customHeight="1">
      <c r="A62" s="12" t="s">
        <v>34</v>
      </c>
      <c r="B62" s="9" t="s">
        <v>39</v>
      </c>
      <c r="C62" s="9" t="s">
        <v>40</v>
      </c>
      <c r="D62" s="9" t="s">
        <v>36</v>
      </c>
      <c r="E62" s="9" t="s">
        <v>37</v>
      </c>
      <c r="F62" s="9" t="s">
        <v>38</v>
      </c>
    </row>
    <row r="63" spans="1:6">
      <c r="A63" s="32" t="s">
        <v>33</v>
      </c>
      <c r="B63" s="13" t="s">
        <v>87</v>
      </c>
      <c r="C63" s="13" t="s">
        <v>42</v>
      </c>
      <c r="D63" s="10" t="str">
        <f t="array" aca="1" ref="D63" ca="1">IF(
    VLOOKUP(
        $A63,
        _xlfn._xlws.FILTER(
            INDIRECT("'"&amp;D$1&amp;"'!A2:E1000"), (INDIRECT("'"&amp;D$1&amp;"'!B2:B1000")=$B63) * (INDIRECT("'"&amp;D$1&amp;"'!C2:C1000")=$C63)
        ),
        5,
        FALSE
    )=0,
    "",
    VLOOKUP(
        $A63,
        _xlfn._xlws.FILTER(
            INDIRECT("'"&amp;D$1&amp;"'!A2:E1000"), (INDIRECT("'"&amp;D$1&amp;"'!B2:B1000")=$B63) * (INDIRECT("'"&amp;D$1&amp;"'!C2:C1000")=$C63)
        ),
        5,
        FALSE
    )
)</f>
        <v>Enviado</v>
      </c>
      <c r="E63" s="10" t="str">
        <f t="array" aca="1" ref="E63" ca="1">IF(
    VLOOKUP(
        $A63,
        _xlfn._xlws.FILTER(
            INDIRECT("'"&amp;E$1&amp;"'!A2:E1000"), (INDIRECT("'"&amp;E$1&amp;"'!B2:B1000")=$B63) * (INDIRECT("'"&amp;E$1&amp;"'!C2:C1000")=$C63)
        ),
        5,
        FALSE
    )=0,
    "",
    VLOOKUP(
        $A63,
        _xlfn._xlws.FILTER(
            INDIRECT("'"&amp;E$1&amp;"'!A2:E1000"), (INDIRECT("'"&amp;E$1&amp;"'!B2:B1000")=$B63) * (INDIRECT("'"&amp;E$1&amp;"'!C2:C1000")=$C63)
        ),
        5,
        FALSE
    )
)</f>
        <v>Enviado</v>
      </c>
      <c r="F63" s="10" t="str">
        <f t="array" aca="1" ref="F63" ca="1">IF(
    VLOOKUP(
        $A63,
        _xlfn._xlws.FILTER(
            INDIRECT("'"&amp;F$1&amp;"'!A2:E1000"), (INDIRECT("'"&amp;F$1&amp;"'!B2:B1000")=$B63) * (INDIRECT("'"&amp;F$1&amp;"'!C2:C1000")=$C63)
        ),
        5,
        FALSE
    )=0,
    "",
    VLOOKUP(
        $A63,
        _xlfn._xlws.FILTER(
            INDIRECT("'"&amp;F$1&amp;"'!A2:E1000"), (INDIRECT("'"&amp;F$1&amp;"'!B2:B1000")=$B63) * (INDIRECT("'"&amp;F$1&amp;"'!C2:C1000")=$C63)
        ),
        5,
        FALSE
    )
)</f>
        <v>Enviado</v>
      </c>
    </row>
    <row r="64" spans="1:6">
      <c r="A64" s="32" t="s">
        <v>33</v>
      </c>
      <c r="B64" s="13" t="s">
        <v>88</v>
      </c>
      <c r="C64" s="13" t="s">
        <v>42</v>
      </c>
      <c r="D64" s="10" t="str">
        <f t="array" aca="1" ref="D64" ca="1">IF(
    VLOOKUP(
        $A64,
        _xlfn._xlws.FILTER(
            INDIRECT("'"&amp;D$1&amp;"'!A2:E1000"), (INDIRECT("'"&amp;D$1&amp;"'!B2:B1000")=$B64) * (INDIRECT("'"&amp;D$1&amp;"'!C2:C1000")=$C64)
        ),
        5,
        FALSE
    )=0,
    "",
    VLOOKUP(
        $A64,
        _xlfn._xlws.FILTER(
            INDIRECT("'"&amp;D$1&amp;"'!A2:E1000"), (INDIRECT("'"&amp;D$1&amp;"'!B2:B1000")=$B64) * (INDIRECT("'"&amp;D$1&amp;"'!C2:C1000")=$C64)
        ),
        5,
        FALSE
    )
)</f>
        <v>Enviado</v>
      </c>
      <c r="E64" s="10" t="str">
        <f t="array" aca="1" ref="E64" ca="1">IF(
    VLOOKUP(
        $A64,
        _xlfn._xlws.FILTER(
            INDIRECT("'"&amp;E$1&amp;"'!A2:E1000"), (INDIRECT("'"&amp;E$1&amp;"'!B2:B1000")=$B64) * (INDIRECT("'"&amp;E$1&amp;"'!C2:C1000")=$C64)
        ),
        5,
        FALSE
    )=0,
    "",
    VLOOKUP(
        $A64,
        _xlfn._xlws.FILTER(
            INDIRECT("'"&amp;E$1&amp;"'!A2:E1000"), (INDIRECT("'"&amp;E$1&amp;"'!B2:B1000")=$B64) * (INDIRECT("'"&amp;E$1&amp;"'!C2:C1000")=$C64)
        ),
        5,
        FALSE
    )
)</f>
        <v>Enviado</v>
      </c>
      <c r="F64" s="10" t="str">
        <f t="array" aca="1" ref="F64" ca="1">IF(
    VLOOKUP(
        $A64,
        _xlfn._xlws.FILTER(
            INDIRECT("'"&amp;F$1&amp;"'!A2:E1000"), (INDIRECT("'"&amp;F$1&amp;"'!B2:B1000")=$B64) * (INDIRECT("'"&amp;F$1&amp;"'!C2:C1000")=$C64)
        ),
        5,
        FALSE
    )=0,
    "",
    VLOOKUP(
        $A64,
        _xlfn._xlws.FILTER(
            INDIRECT("'"&amp;F$1&amp;"'!A2:E1000"), (INDIRECT("'"&amp;F$1&amp;"'!B2:B1000")=$B64) * (INDIRECT("'"&amp;F$1&amp;"'!C2:C1000")=$C64)
        ),
        5,
        FALSE
    )
)</f>
        <v>Enviado</v>
      </c>
    </row>
    <row r="65" spans="1:6">
      <c r="A65" s="32" t="s">
        <v>33</v>
      </c>
      <c r="B65" s="13" t="s">
        <v>89</v>
      </c>
      <c r="C65" s="13" t="s">
        <v>42</v>
      </c>
      <c r="D65" s="10" t="str">
        <f t="array" aca="1" ref="D65" ca="1">IF(
    VLOOKUP(
        $A65,
        _xlfn._xlws.FILTER(
            INDIRECT("'"&amp;D$1&amp;"'!A2:E1000"), (INDIRECT("'"&amp;D$1&amp;"'!B2:B1000")=$B65) * (INDIRECT("'"&amp;D$1&amp;"'!C2:C1000")=$C65)
        ),
        5,
        FALSE
    )=0,
    "",
    VLOOKUP(
        $A65,
        _xlfn._xlws.FILTER(
            INDIRECT("'"&amp;D$1&amp;"'!A2:E1000"), (INDIRECT("'"&amp;D$1&amp;"'!B2:B1000")=$B65) * (INDIRECT("'"&amp;D$1&amp;"'!C2:C1000")=$C65)
        ),
        5,
        FALSE
    )
)</f>
        <v>Enviado</v>
      </c>
      <c r="E65" s="10" t="str">
        <f t="array" aca="1" ref="E65" ca="1">IF(
    VLOOKUP(
        $A65,
        _xlfn._xlws.FILTER(
            INDIRECT("'"&amp;E$1&amp;"'!A2:E1000"), (INDIRECT("'"&amp;E$1&amp;"'!B2:B1000")=$B65) * (INDIRECT("'"&amp;E$1&amp;"'!C2:C1000")=$C65)
        ),
        5,
        FALSE
    )=0,
    "",
    VLOOKUP(
        $A65,
        _xlfn._xlws.FILTER(
            INDIRECT("'"&amp;E$1&amp;"'!A2:E1000"), (INDIRECT("'"&amp;E$1&amp;"'!B2:B1000")=$B65) * (INDIRECT("'"&amp;E$1&amp;"'!C2:C1000")=$C65)
        ),
        5,
        FALSE
    )
)</f>
        <v>Enviado</v>
      </c>
      <c r="F65" s="10" t="str">
        <f t="array" aca="1" ref="F65" ca="1">IF(
    VLOOKUP(
        $A65,
        _xlfn._xlws.FILTER(
            INDIRECT("'"&amp;F$1&amp;"'!A2:E1000"), (INDIRECT("'"&amp;F$1&amp;"'!B2:B1000")=$B65) * (INDIRECT("'"&amp;F$1&amp;"'!C2:C1000")=$C65)
        ),
        5,
        FALSE
    )=0,
    "",
    VLOOKUP(
        $A65,
        _xlfn._xlws.FILTER(
            INDIRECT("'"&amp;F$1&amp;"'!A2:E1000"), (INDIRECT("'"&amp;F$1&amp;"'!B2:B1000")=$B65) * (INDIRECT("'"&amp;F$1&amp;"'!C2:C1000")=$C65)
        ),
        5,
        FALSE
    )
)</f>
        <v>Enviado</v>
      </c>
    </row>
    <row r="66" spans="1:6">
      <c r="A66" s="32" t="s">
        <v>33</v>
      </c>
      <c r="B66" s="13" t="s">
        <v>90</v>
      </c>
      <c r="C66" s="13" t="s">
        <v>42</v>
      </c>
      <c r="D66" s="10" t="str">
        <f t="array" aca="1" ref="D66" ca="1">IF(
    VLOOKUP(
        $A66,
        _xlfn._xlws.FILTER(
            INDIRECT("'"&amp;D$1&amp;"'!A2:E1000"), (INDIRECT("'"&amp;D$1&amp;"'!B2:B1000")=$B66) * (INDIRECT("'"&amp;D$1&amp;"'!C2:C1000")=$C66)
        ),
        5,
        FALSE
    )=0,
    "",
    VLOOKUP(
        $A66,
        _xlfn._xlws.FILTER(
            INDIRECT("'"&amp;D$1&amp;"'!A2:E1000"), (INDIRECT("'"&amp;D$1&amp;"'!B2:B1000")=$B66) * (INDIRECT("'"&amp;D$1&amp;"'!C2:C1000")=$C66)
        ),
        5,
        FALSE
    )
)</f>
        <v>Enviado</v>
      </c>
      <c r="E66" s="10" t="str">
        <f t="array" aca="1" ref="E66" ca="1">IF(
    VLOOKUP(
        $A66,
        _xlfn._xlws.FILTER(
            INDIRECT("'"&amp;E$1&amp;"'!A2:E1000"), (INDIRECT("'"&amp;E$1&amp;"'!B2:B1000")=$B66) * (INDIRECT("'"&amp;E$1&amp;"'!C2:C1000")=$C66)
        ),
        5,
        FALSE
    )=0,
    "",
    VLOOKUP(
        $A66,
        _xlfn._xlws.FILTER(
            INDIRECT("'"&amp;E$1&amp;"'!A2:E1000"), (INDIRECT("'"&amp;E$1&amp;"'!B2:B1000")=$B66) * (INDIRECT("'"&amp;E$1&amp;"'!C2:C1000")=$C66)
        ),
        5,
        FALSE
    )
)</f>
        <v>Enviado</v>
      </c>
      <c r="F66" s="10" t="str">
        <f t="array" aca="1" ref="F66" ca="1">IF(
    VLOOKUP(
        $A66,
        _xlfn._xlws.FILTER(
            INDIRECT("'"&amp;F$1&amp;"'!A2:E1000"), (INDIRECT("'"&amp;F$1&amp;"'!B2:B1000")=$B66) * (INDIRECT("'"&amp;F$1&amp;"'!C2:C1000")=$C66)
        ),
        5,
        FALSE
    )=0,
    "",
    VLOOKUP(
        $A66,
        _xlfn._xlws.FILTER(
            INDIRECT("'"&amp;F$1&amp;"'!A2:E1000"), (INDIRECT("'"&amp;F$1&amp;"'!B2:B1000")=$B66) * (INDIRECT("'"&amp;F$1&amp;"'!C2:C1000")=$C66)
        ),
        5,
        FALSE
    )
)</f>
        <v>Enviado</v>
      </c>
    </row>
    <row r="67" spans="1:6">
      <c r="A67" s="32" t="s">
        <v>33</v>
      </c>
      <c r="B67" s="13" t="s">
        <v>91</v>
      </c>
      <c r="C67" s="13" t="s">
        <v>42</v>
      </c>
      <c r="D67" s="10" t="str">
        <f t="array" aca="1" ref="D67" ca="1">IF(
    VLOOKUP(
        $A67,
        _xlfn._xlws.FILTER(
            INDIRECT("'"&amp;D$1&amp;"'!A2:E1000"), (INDIRECT("'"&amp;D$1&amp;"'!B2:B1000")=$B67) * (INDIRECT("'"&amp;D$1&amp;"'!C2:C1000")=$C67)
        ),
        5,
        FALSE
    )=0,
    "",
    VLOOKUP(
        $A67,
        _xlfn._xlws.FILTER(
            INDIRECT("'"&amp;D$1&amp;"'!A2:E1000"), (INDIRECT("'"&amp;D$1&amp;"'!B2:B1000")=$B67) * (INDIRECT("'"&amp;D$1&amp;"'!C2:C1000")=$C67)
        ),
        5,
        FALSE
    )
)</f>
        <v>Enviado</v>
      </c>
      <c r="E67" s="10" t="str">
        <f t="array" aca="1" ref="E67" ca="1">IF(
    VLOOKUP(
        $A67,
        _xlfn._xlws.FILTER(
            INDIRECT("'"&amp;E$1&amp;"'!A2:E1000"), (INDIRECT("'"&amp;E$1&amp;"'!B2:B1000")=$B67) * (INDIRECT("'"&amp;E$1&amp;"'!C2:C1000")=$C67)
        ),
        5,
        FALSE
    )=0,
    "",
    VLOOKUP(
        $A67,
        _xlfn._xlws.FILTER(
            INDIRECT("'"&amp;E$1&amp;"'!A2:E1000"), (INDIRECT("'"&amp;E$1&amp;"'!B2:B1000")=$B67) * (INDIRECT("'"&amp;E$1&amp;"'!C2:C1000")=$C67)
        ),
        5,
        FALSE
    )
)</f>
        <v>Enviado</v>
      </c>
      <c r="F67" s="10" t="str">
        <f t="array" aca="1" ref="F67" ca="1">IF(
    VLOOKUP(
        $A67,
        _xlfn._xlws.FILTER(
            INDIRECT("'"&amp;F$1&amp;"'!A2:E1000"), (INDIRECT("'"&amp;F$1&amp;"'!B2:B1000")=$B67) * (INDIRECT("'"&amp;F$1&amp;"'!C2:C1000")=$C67)
        ),
        5,
        FALSE
    )=0,
    "",
    VLOOKUP(
        $A67,
        _xlfn._xlws.FILTER(
            INDIRECT("'"&amp;F$1&amp;"'!A2:E1000"), (INDIRECT("'"&amp;F$1&amp;"'!B2:B1000")=$B67) * (INDIRECT("'"&amp;F$1&amp;"'!C2:C1000")=$C67)
        ),
        5,
        FALSE
    )
)</f>
        <v>Enviado</v>
      </c>
    </row>
    <row r="68" spans="1:6">
      <c r="A68" s="32" t="s">
        <v>33</v>
      </c>
      <c r="B68" s="13" t="s">
        <v>92</v>
      </c>
      <c r="C68" s="13" t="s">
        <v>42</v>
      </c>
      <c r="D68" s="10" t="str">
        <f t="array" aca="1" ref="D68" ca="1">IF(
    VLOOKUP(
        $A68,
        _xlfn._xlws.FILTER(
            INDIRECT("'"&amp;D$1&amp;"'!A2:E1000"), (INDIRECT("'"&amp;D$1&amp;"'!B2:B1000")=$B68) * (INDIRECT("'"&amp;D$1&amp;"'!C2:C1000")=$C68)
        ),
        5,
        FALSE
    )=0,
    "",
    VLOOKUP(
        $A68,
        _xlfn._xlws.FILTER(
            INDIRECT("'"&amp;D$1&amp;"'!A2:E1000"), (INDIRECT("'"&amp;D$1&amp;"'!B2:B1000")=$B68) * (INDIRECT("'"&amp;D$1&amp;"'!C2:C1000")=$C68)
        ),
        5,
        FALSE
    )
)</f>
        <v>Enviado</v>
      </c>
      <c r="E68" s="10" t="str">
        <f t="array" aca="1" ref="E68" ca="1">IF(
    VLOOKUP(
        $A68,
        _xlfn._xlws.FILTER(
            INDIRECT("'"&amp;E$1&amp;"'!A2:E1000"), (INDIRECT("'"&amp;E$1&amp;"'!B2:B1000")=$B68) * (INDIRECT("'"&amp;E$1&amp;"'!C2:C1000")=$C68)
        ),
        5,
        FALSE
    )=0,
    "",
    VLOOKUP(
        $A68,
        _xlfn._xlws.FILTER(
            INDIRECT("'"&amp;E$1&amp;"'!A2:E1000"), (INDIRECT("'"&amp;E$1&amp;"'!B2:B1000")=$B68) * (INDIRECT("'"&amp;E$1&amp;"'!C2:C1000")=$C68)
        ),
        5,
        FALSE
    )
)</f>
        <v>Enviado</v>
      </c>
      <c r="F68" s="10" t="str">
        <f t="array" aca="1" ref="F68" ca="1">IF(
    VLOOKUP(
        $A68,
        _xlfn._xlws.FILTER(
            INDIRECT("'"&amp;F$1&amp;"'!A2:E1000"), (INDIRECT("'"&amp;F$1&amp;"'!B2:B1000")=$B68) * (INDIRECT("'"&amp;F$1&amp;"'!C2:C1000")=$C68)
        ),
        5,
        FALSE
    )=0,
    "",
    VLOOKUP(
        $A68,
        _xlfn._xlws.FILTER(
            INDIRECT("'"&amp;F$1&amp;"'!A2:E1000"), (INDIRECT("'"&amp;F$1&amp;"'!B2:B1000")=$B68) * (INDIRECT("'"&amp;F$1&amp;"'!C2:C1000")=$C68)
        ),
        5,
        FALSE
    )
)</f>
        <v>Enviado</v>
      </c>
    </row>
    <row r="69" spans="1:6">
      <c r="A69" s="32" t="s">
        <v>33</v>
      </c>
      <c r="B69" s="13" t="s">
        <v>93</v>
      </c>
      <c r="C69" s="13" t="s">
        <v>42</v>
      </c>
      <c r="D69" s="10" t="str">
        <f t="array" aca="1" ref="D69" ca="1">IF(
    VLOOKUP(
        $A69,
        _xlfn._xlws.FILTER(
            INDIRECT("'"&amp;D$1&amp;"'!A2:E1000"), (INDIRECT("'"&amp;D$1&amp;"'!B2:B1000")=$B69) * (INDIRECT("'"&amp;D$1&amp;"'!C2:C1000")=$C69)
        ),
        5,
        FALSE
    )=0,
    "",
    VLOOKUP(
        $A69,
        _xlfn._xlws.FILTER(
            INDIRECT("'"&amp;D$1&amp;"'!A2:E1000"), (INDIRECT("'"&amp;D$1&amp;"'!B2:B1000")=$B69) * (INDIRECT("'"&amp;D$1&amp;"'!C2:C1000")=$C69)
        ),
        5,
        FALSE
    )
)</f>
        <v>Enviado</v>
      </c>
      <c r="E69" s="10" t="str">
        <f t="array" aca="1" ref="E69" ca="1">IF(
    VLOOKUP(
        $A69,
        _xlfn._xlws.FILTER(
            INDIRECT("'"&amp;E$1&amp;"'!A2:E1000"), (INDIRECT("'"&amp;E$1&amp;"'!B2:B1000")=$B69) * (INDIRECT("'"&amp;E$1&amp;"'!C2:C1000")=$C69)
        ),
        5,
        FALSE
    )=0,
    "",
    VLOOKUP(
        $A69,
        _xlfn._xlws.FILTER(
            INDIRECT("'"&amp;E$1&amp;"'!A2:E1000"), (INDIRECT("'"&amp;E$1&amp;"'!B2:B1000")=$B69) * (INDIRECT("'"&amp;E$1&amp;"'!C2:C1000")=$C69)
        ),
        5,
        FALSE
    )
)</f>
        <v>Enviado</v>
      </c>
      <c r="F69" s="10" t="str">
        <f t="array" aca="1" ref="F69" ca="1">IF(
    VLOOKUP(
        $A69,
        _xlfn._xlws.FILTER(
            INDIRECT("'"&amp;F$1&amp;"'!A2:E1000"), (INDIRECT("'"&amp;F$1&amp;"'!B2:B1000")=$B69) * (INDIRECT("'"&amp;F$1&amp;"'!C2:C1000")=$C69)
        ),
        5,
        FALSE
    )=0,
    "",
    VLOOKUP(
        $A69,
        _xlfn._xlws.FILTER(
            INDIRECT("'"&amp;F$1&amp;"'!A2:E1000"), (INDIRECT("'"&amp;F$1&amp;"'!B2:B1000")=$B69) * (INDIRECT("'"&amp;F$1&amp;"'!C2:C1000")=$C69)
        ),
        5,
        FALSE
    )
)</f>
        <v>Enviado</v>
      </c>
    </row>
    <row r="70" spans="1:6">
      <c r="A70" s="32" t="s">
        <v>33</v>
      </c>
      <c r="B70" s="13" t="s">
        <v>94</v>
      </c>
      <c r="C70" s="13" t="s">
        <v>42</v>
      </c>
      <c r="D70" s="10"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10"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10" t="str">
        <f t="array" aca="1" ref="F70" ca="1">IF(
    VLOOKUP(
        $A70,
        _xlfn._xlws.FILTER(
            INDIRECT("'"&amp;F$1&amp;"'!A2:E1000"), (INDIRECT("'"&amp;F$1&amp;"'!B2:B1000")=$B70) * (INDIRECT("'"&amp;F$1&amp;"'!C2:C1000")=$C70)
        ),
        5,
        FALSE
    )=0,
    "",
    VLOOKUP(
        $A70,
        _xlfn._xlws.FILTER(
            INDIRECT("'"&amp;F$1&amp;"'!A2:E1000"), (INDIRECT("'"&amp;F$1&amp;"'!B2:B1000")=$B70) * (INDIRECT("'"&amp;F$1&amp;"'!C2:C1000")=$C70)
        ),
        5,
        FALSE
    )
)</f>
        <v>Enviado</v>
      </c>
    </row>
  </sheetData>
  <conditionalFormatting sqref="D15">
    <cfRule type="containsText" dxfId="98" priority="77" operator="containsText" text="Atrasado">
      <formula>NOT(ISERROR(SEARCH("Atrasado",D15)))</formula>
    </cfRule>
  </conditionalFormatting>
  <conditionalFormatting sqref="D2:F14">
    <cfRule type="cellIs" dxfId="97" priority="73" operator="equal">
      <formula>"Duplicado"</formula>
    </cfRule>
    <cfRule type="cellIs" dxfId="96" priority="74" operator="equal">
      <formula>"Sem Técnico"</formula>
    </cfRule>
    <cfRule type="cellIs" dxfId="95" priority="75" operator="equal">
      <formula>"Atrasado"</formula>
    </cfRule>
    <cfRule type="cellIs" dxfId="94" priority="76" operator="equal">
      <formula>"Enviado"</formula>
    </cfRule>
  </conditionalFormatting>
  <conditionalFormatting sqref="E2:E14">
    <cfRule type="cellIs" dxfId="93" priority="69" operator="equal">
      <formula>"Duplicado"</formula>
    </cfRule>
    <cfRule type="cellIs" dxfId="92" priority="70" operator="equal">
      <formula>"Sem Técnico"</formula>
    </cfRule>
    <cfRule type="cellIs" dxfId="91" priority="71" operator="equal">
      <formula>"Atrasado"</formula>
    </cfRule>
    <cfRule type="cellIs" dxfId="90" priority="72" operator="equal">
      <formula>"Enviado"</formula>
    </cfRule>
  </conditionalFormatting>
  <conditionalFormatting sqref="F2:F14">
    <cfRule type="cellIs" dxfId="89" priority="65" operator="equal">
      <formula>"Duplicado"</formula>
    </cfRule>
    <cfRule type="cellIs" dxfId="88" priority="66" operator="equal">
      <formula>"Sem Técnico"</formula>
    </cfRule>
    <cfRule type="cellIs" dxfId="87" priority="67" operator="equal">
      <formula>"Atrasado"</formula>
    </cfRule>
    <cfRule type="cellIs" dxfId="86" priority="68" operator="equal">
      <formula>"Enviado"</formula>
    </cfRule>
  </conditionalFormatting>
  <conditionalFormatting sqref="D17:F25">
    <cfRule type="cellIs" dxfId="85" priority="61" operator="equal">
      <formula>"Duplicado"</formula>
    </cfRule>
    <cfRule type="cellIs" dxfId="84" priority="62" operator="equal">
      <formula>"Sem Técnico"</formula>
    </cfRule>
    <cfRule type="cellIs" dxfId="83" priority="63" operator="equal">
      <formula>"Atrasado"</formula>
    </cfRule>
    <cfRule type="cellIs" dxfId="82" priority="64" operator="equal">
      <formula>"Enviado"</formula>
    </cfRule>
  </conditionalFormatting>
  <conditionalFormatting sqref="D28:F30">
    <cfRule type="cellIs" dxfId="81" priority="57" operator="equal">
      <formula>"Duplicado"</formula>
    </cfRule>
    <cfRule type="cellIs" dxfId="80" priority="58" operator="equal">
      <formula>"Sem Técnico"</formula>
    </cfRule>
    <cfRule type="cellIs" dxfId="79" priority="59" operator="equal">
      <formula>"Atrasado"</formula>
    </cfRule>
    <cfRule type="cellIs" dxfId="78" priority="60" operator="equal">
      <formula>"Enviado"</formula>
    </cfRule>
  </conditionalFormatting>
  <conditionalFormatting sqref="D33:F40">
    <cfRule type="cellIs" dxfId="77" priority="45" operator="equal">
      <formula>"Duplicado"</formula>
    </cfRule>
    <cfRule type="cellIs" dxfId="76" priority="46" operator="equal">
      <formula>"Sem Técnico"</formula>
    </cfRule>
    <cfRule type="cellIs" dxfId="75" priority="47" operator="equal">
      <formula>"Atrasado"</formula>
    </cfRule>
    <cfRule type="cellIs" dxfId="74" priority="48" operator="equal">
      <formula>"Enviado"</formula>
    </cfRule>
  </conditionalFormatting>
  <conditionalFormatting sqref="E33:E40">
    <cfRule type="cellIs" dxfId="73" priority="41" operator="equal">
      <formula>"Duplicado"</formula>
    </cfRule>
    <cfRule type="cellIs" dxfId="72" priority="42" operator="equal">
      <formula>"Sem Técnico"</formula>
    </cfRule>
    <cfRule type="cellIs" dxfId="71" priority="43" operator="equal">
      <formula>"Atrasado"</formula>
    </cfRule>
    <cfRule type="cellIs" dxfId="70" priority="44" operator="equal">
      <formula>"Enviado"</formula>
    </cfRule>
  </conditionalFormatting>
  <conditionalFormatting sqref="F33:F40">
    <cfRule type="cellIs" dxfId="69" priority="37" operator="equal">
      <formula>"Duplicado"</formula>
    </cfRule>
    <cfRule type="cellIs" dxfId="68" priority="38" operator="equal">
      <formula>"Sem Técnico"</formula>
    </cfRule>
    <cfRule type="cellIs" dxfId="67" priority="39" operator="equal">
      <formula>"Atrasado"</formula>
    </cfRule>
    <cfRule type="cellIs" dxfId="66" priority="40" operator="equal">
      <formula>"Enviado"</formula>
    </cfRule>
  </conditionalFormatting>
  <conditionalFormatting sqref="D43:F50">
    <cfRule type="cellIs" dxfId="65" priority="33" operator="equal">
      <formula>"Duplicado"</formula>
    </cfRule>
    <cfRule type="cellIs" dxfId="64" priority="34" operator="equal">
      <formula>"Sem Técnico"</formula>
    </cfRule>
    <cfRule type="cellIs" dxfId="63" priority="35" operator="equal">
      <formula>"Atrasado"</formula>
    </cfRule>
    <cfRule type="cellIs" dxfId="62" priority="36" operator="equal">
      <formula>"Enviado"</formula>
    </cfRule>
  </conditionalFormatting>
  <conditionalFormatting sqref="E43:E50">
    <cfRule type="cellIs" dxfId="61" priority="29" operator="equal">
      <formula>"Duplicado"</formula>
    </cfRule>
    <cfRule type="cellIs" dxfId="60" priority="30" operator="equal">
      <formula>"Sem Técnico"</formula>
    </cfRule>
    <cfRule type="cellIs" dxfId="59" priority="31" operator="equal">
      <formula>"Atrasado"</formula>
    </cfRule>
    <cfRule type="cellIs" dxfId="58" priority="32" operator="equal">
      <formula>"Enviado"</formula>
    </cfRule>
  </conditionalFormatting>
  <conditionalFormatting sqref="F43:F50">
    <cfRule type="cellIs" dxfId="57" priority="25" operator="equal">
      <formula>"Duplicado"</formula>
    </cfRule>
    <cfRule type="cellIs" dxfId="56" priority="26" operator="equal">
      <formula>"Sem Técnico"</formula>
    </cfRule>
    <cfRule type="cellIs" dxfId="55" priority="27" operator="equal">
      <formula>"Atrasado"</formula>
    </cfRule>
    <cfRule type="cellIs" dxfId="54" priority="28" operator="equal">
      <formula>"Enviado"</formula>
    </cfRule>
  </conditionalFormatting>
  <conditionalFormatting sqref="D53:F60">
    <cfRule type="cellIs" dxfId="53" priority="21" operator="equal">
      <formula>"Duplicado"</formula>
    </cfRule>
    <cfRule type="cellIs" dxfId="52" priority="22" operator="equal">
      <formula>"Sem Técnico"</formula>
    </cfRule>
    <cfRule type="cellIs" dxfId="51" priority="23" operator="equal">
      <formula>"Atrasado"</formula>
    </cfRule>
    <cfRule type="cellIs" dxfId="50" priority="24" operator="equal">
      <formula>"Enviado"</formula>
    </cfRule>
  </conditionalFormatting>
  <conditionalFormatting sqref="E53:E60">
    <cfRule type="cellIs" dxfId="49" priority="17" operator="equal">
      <formula>"Duplicado"</formula>
    </cfRule>
    <cfRule type="cellIs" dxfId="48" priority="18" operator="equal">
      <formula>"Sem Técnico"</formula>
    </cfRule>
    <cfRule type="cellIs" dxfId="47" priority="19" operator="equal">
      <formula>"Atrasado"</formula>
    </cfRule>
    <cfRule type="cellIs" dxfId="46" priority="20" operator="equal">
      <formula>"Enviado"</formula>
    </cfRule>
  </conditionalFormatting>
  <conditionalFormatting sqref="F53:F60">
    <cfRule type="cellIs" dxfId="45" priority="13" operator="equal">
      <formula>"Duplicado"</formula>
    </cfRule>
    <cfRule type="cellIs" dxfId="44" priority="14" operator="equal">
      <formula>"Sem Técnico"</formula>
    </cfRule>
    <cfRule type="cellIs" dxfId="43" priority="15" operator="equal">
      <formula>"Atrasado"</formula>
    </cfRule>
    <cfRule type="cellIs" dxfId="42" priority="16" operator="equal">
      <formula>"Enviado"</formula>
    </cfRule>
  </conditionalFormatting>
  <conditionalFormatting sqref="D63:F70">
    <cfRule type="cellIs" dxfId="41" priority="9" operator="equal">
      <formula>"Duplicado"</formula>
    </cfRule>
    <cfRule type="cellIs" dxfId="40" priority="10" operator="equal">
      <formula>"Sem Técnico"</formula>
    </cfRule>
    <cfRule type="cellIs" dxfId="39" priority="11" operator="equal">
      <formula>"Atrasado"</formula>
    </cfRule>
    <cfRule type="cellIs" dxfId="38" priority="12" operator="equal">
      <formula>"Enviado"</formula>
    </cfRule>
  </conditionalFormatting>
  <conditionalFormatting sqref="E63:E70">
    <cfRule type="cellIs" dxfId="37" priority="5" operator="equal">
      <formula>"Duplicado"</formula>
    </cfRule>
    <cfRule type="cellIs" dxfId="36" priority="6" operator="equal">
      <formula>"Sem Técnico"</formula>
    </cfRule>
    <cfRule type="cellIs" dxfId="35" priority="7" operator="equal">
      <formula>"Atrasado"</formula>
    </cfRule>
    <cfRule type="cellIs" dxfId="34" priority="8" operator="equal">
      <formula>"Enviado"</formula>
    </cfRule>
  </conditionalFormatting>
  <conditionalFormatting sqref="F63:F70">
    <cfRule type="cellIs" dxfId="33" priority="1" operator="equal">
      <formula>"Duplicado"</formula>
    </cfRule>
    <cfRule type="cellIs" dxfId="32" priority="2" operator="equal">
      <formula>"Sem Técnico"</formula>
    </cfRule>
    <cfRule type="cellIs" dxfId="31" priority="3" operator="equal">
      <formula>"Atrasado"</formula>
    </cfRule>
    <cfRule type="cellIs" dxfId="30" priority="4"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8" customWidth="1"/>
    <col min="5" max="5" width="13" customWidth="1"/>
    <col min="6" max="6" width="18" customWidth="1"/>
    <col min="7" max="7" width="27" customWidth="1"/>
    <col min="8" max="8" width="151" customWidth="1"/>
    <col min="9" max="9" width="34" customWidth="1"/>
    <col min="10" max="10" width="25" customWidth="1"/>
    <col min="11" max="11" width="60" customWidth="1"/>
  </cols>
  <sheetData>
    <row r="1" spans="1:11">
      <c r="A1" s="11" t="s">
        <v>8</v>
      </c>
      <c r="B1" s="11" t="s">
        <v>95</v>
      </c>
      <c r="C1" s="11" t="s">
        <v>40</v>
      </c>
      <c r="D1" s="11" t="s">
        <v>96</v>
      </c>
      <c r="E1" s="11" t="s">
        <v>97</v>
      </c>
      <c r="F1" s="11" t="s">
        <v>98</v>
      </c>
      <c r="G1" s="11" t="s">
        <v>99</v>
      </c>
      <c r="H1" s="11" t="s">
        <v>100</v>
      </c>
      <c r="I1" s="11" t="s">
        <v>101</v>
      </c>
      <c r="J1" s="11" t="s">
        <v>102</v>
      </c>
      <c r="K1" s="11" t="s">
        <v>103</v>
      </c>
    </row>
    <row r="2" spans="1:11">
      <c r="A2" s="12" t="s">
        <v>33</v>
      </c>
      <c r="B2" s="13" t="s">
        <v>87</v>
      </c>
      <c r="C2" s="13" t="s">
        <v>42</v>
      </c>
      <c r="D2" s="13" t="s">
        <v>104</v>
      </c>
      <c r="E2" s="14" t="s">
        <v>105</v>
      </c>
      <c r="F2" s="13" t="s">
        <v>106</v>
      </c>
      <c r="G2" s="15" t="s">
        <v>107</v>
      </c>
      <c r="H2" s="13" t="s">
        <v>108</v>
      </c>
      <c r="I2" s="13" t="s">
        <v>109</v>
      </c>
      <c r="J2" s="13" t="s">
        <v>107</v>
      </c>
      <c r="K2" s="13" t="s">
        <v>110</v>
      </c>
    </row>
    <row r="3" spans="1:11">
      <c r="A3" s="12" t="s">
        <v>33</v>
      </c>
      <c r="B3" s="13" t="s">
        <v>88</v>
      </c>
      <c r="C3" s="13" t="s">
        <v>42</v>
      </c>
      <c r="D3" s="13" t="s">
        <v>111</v>
      </c>
      <c r="E3" s="14" t="s">
        <v>105</v>
      </c>
      <c r="F3" s="13" t="s">
        <v>112</v>
      </c>
      <c r="G3" s="15" t="s">
        <v>107</v>
      </c>
      <c r="H3" s="13"/>
      <c r="I3" s="13"/>
      <c r="J3" s="13" t="s">
        <v>107</v>
      </c>
      <c r="K3" s="13" t="s">
        <v>113</v>
      </c>
    </row>
    <row r="4" spans="1:11">
      <c r="A4" s="16" t="s">
        <v>31</v>
      </c>
      <c r="B4" s="13" t="s">
        <v>79</v>
      </c>
      <c r="C4" s="13" t="s">
        <v>42</v>
      </c>
      <c r="D4" s="13" t="s">
        <v>114</v>
      </c>
      <c r="E4" s="14" t="s">
        <v>105</v>
      </c>
      <c r="F4" s="13" t="s">
        <v>115</v>
      </c>
      <c r="G4" s="15" t="s">
        <v>107</v>
      </c>
      <c r="H4" s="13"/>
      <c r="I4" s="13"/>
      <c r="J4" s="13" t="s">
        <v>116</v>
      </c>
      <c r="K4" s="13"/>
    </row>
    <row r="5" spans="1:11">
      <c r="A5" s="12" t="s">
        <v>33</v>
      </c>
      <c r="B5" s="13" t="s">
        <v>89</v>
      </c>
      <c r="C5" s="13" t="s">
        <v>42</v>
      </c>
      <c r="D5" s="13" t="s">
        <v>117</v>
      </c>
      <c r="E5" s="14" t="s">
        <v>105</v>
      </c>
      <c r="F5" s="13" t="s">
        <v>118</v>
      </c>
      <c r="G5" s="15" t="s">
        <v>107</v>
      </c>
      <c r="H5" s="13" t="s">
        <v>119</v>
      </c>
      <c r="I5" s="13"/>
      <c r="J5" s="13" t="s">
        <v>116</v>
      </c>
      <c r="K5" s="13"/>
    </row>
    <row r="6" spans="1:11">
      <c r="A6" s="17" t="s">
        <v>21</v>
      </c>
      <c r="B6" s="13" t="s">
        <v>54</v>
      </c>
      <c r="C6" s="13" t="s">
        <v>42</v>
      </c>
      <c r="D6" s="13" t="s">
        <v>120</v>
      </c>
      <c r="E6" s="14" t="s">
        <v>105</v>
      </c>
      <c r="F6" s="13" t="s">
        <v>118</v>
      </c>
      <c r="G6" s="15" t="s">
        <v>107</v>
      </c>
      <c r="H6" s="13"/>
      <c r="I6" s="13"/>
      <c r="J6" s="13" t="s">
        <v>116</v>
      </c>
      <c r="K6" s="13"/>
    </row>
    <row r="7" spans="1:11">
      <c r="A7" s="16" t="s">
        <v>31</v>
      </c>
      <c r="B7" s="13" t="s">
        <v>80</v>
      </c>
      <c r="C7" s="13" t="s">
        <v>42</v>
      </c>
      <c r="D7" s="13" t="s">
        <v>121</v>
      </c>
      <c r="E7" s="14" t="s">
        <v>105</v>
      </c>
      <c r="F7" s="13" t="s">
        <v>115</v>
      </c>
      <c r="G7" s="15" t="s">
        <v>107</v>
      </c>
      <c r="H7" s="13" t="s">
        <v>122</v>
      </c>
      <c r="I7" s="13" t="s">
        <v>123</v>
      </c>
      <c r="J7" s="13" t="s">
        <v>107</v>
      </c>
      <c r="K7" s="13" t="s">
        <v>124</v>
      </c>
    </row>
    <row r="8" spans="1:11">
      <c r="A8" s="18" t="s">
        <v>29</v>
      </c>
      <c r="B8" s="13" t="s">
        <v>71</v>
      </c>
      <c r="C8" s="13" t="s">
        <v>42</v>
      </c>
      <c r="D8" s="13" t="s">
        <v>125</v>
      </c>
      <c r="E8" s="14" t="s">
        <v>105</v>
      </c>
      <c r="F8" s="13" t="s">
        <v>115</v>
      </c>
      <c r="G8" s="15" t="s">
        <v>107</v>
      </c>
      <c r="H8" s="13"/>
      <c r="I8" s="13"/>
      <c r="J8" s="13" t="s">
        <v>116</v>
      </c>
      <c r="K8" s="13"/>
    </row>
    <row r="9" spans="1:11">
      <c r="A9" s="19" t="s">
        <v>25</v>
      </c>
      <c r="B9" s="13" t="s">
        <v>60</v>
      </c>
      <c r="C9" s="13" t="s">
        <v>42</v>
      </c>
      <c r="D9" s="13" t="s">
        <v>126</v>
      </c>
      <c r="E9" s="14" t="s">
        <v>105</v>
      </c>
      <c r="F9" s="13" t="s">
        <v>127</v>
      </c>
      <c r="G9" s="15" t="s">
        <v>107</v>
      </c>
      <c r="H9" s="13" t="s">
        <v>128</v>
      </c>
      <c r="I9" s="13" t="s">
        <v>129</v>
      </c>
      <c r="J9" s="13" t="s">
        <v>107</v>
      </c>
      <c r="K9" s="13" t="s">
        <v>130</v>
      </c>
    </row>
    <row r="10" spans="1:11">
      <c r="A10" s="20" t="s">
        <v>17</v>
      </c>
      <c r="B10" s="13" t="s">
        <v>41</v>
      </c>
      <c r="C10" s="13" t="s">
        <v>42</v>
      </c>
      <c r="D10" s="13" t="s">
        <v>131</v>
      </c>
      <c r="E10" s="14" t="s">
        <v>105</v>
      </c>
      <c r="F10" s="13" t="s">
        <v>127</v>
      </c>
      <c r="G10" s="15" t="s">
        <v>107</v>
      </c>
      <c r="H10" s="13"/>
      <c r="I10" s="13"/>
      <c r="J10" s="13" t="s">
        <v>116</v>
      </c>
      <c r="K10" s="13"/>
    </row>
    <row r="11" spans="1:11">
      <c r="A11" s="20" t="s">
        <v>17</v>
      </c>
      <c r="B11" s="13" t="s">
        <v>41</v>
      </c>
      <c r="C11" s="13" t="s">
        <v>43</v>
      </c>
      <c r="D11" s="13" t="s">
        <v>131</v>
      </c>
      <c r="E11" s="14" t="s">
        <v>105</v>
      </c>
      <c r="F11" s="13" t="s">
        <v>127</v>
      </c>
      <c r="G11" s="15" t="s">
        <v>107</v>
      </c>
      <c r="H11" s="13"/>
      <c r="I11" s="13"/>
      <c r="J11" s="13" t="s">
        <v>116</v>
      </c>
      <c r="K11" s="13"/>
    </row>
    <row r="12" spans="1:11">
      <c r="A12" s="20" t="s">
        <v>17</v>
      </c>
      <c r="B12" s="13" t="s">
        <v>41</v>
      </c>
      <c r="C12" s="13" t="s">
        <v>44</v>
      </c>
      <c r="D12" s="13" t="s">
        <v>131</v>
      </c>
      <c r="E12" s="14" t="s">
        <v>105</v>
      </c>
      <c r="F12" s="13" t="s">
        <v>127</v>
      </c>
      <c r="G12" s="15" t="s">
        <v>107</v>
      </c>
      <c r="H12" s="13"/>
      <c r="I12" s="13"/>
      <c r="J12" s="13" t="s">
        <v>116</v>
      </c>
      <c r="K12" s="13"/>
    </row>
    <row r="13" spans="1:11">
      <c r="A13" s="20" t="s">
        <v>17</v>
      </c>
      <c r="B13" s="13" t="s">
        <v>41</v>
      </c>
      <c r="C13" s="13" t="s">
        <v>45</v>
      </c>
      <c r="D13" s="13" t="s">
        <v>131</v>
      </c>
      <c r="E13" s="14" t="s">
        <v>105</v>
      </c>
      <c r="F13" s="13" t="s">
        <v>127</v>
      </c>
      <c r="G13" s="15" t="s">
        <v>107</v>
      </c>
      <c r="H13" s="13"/>
      <c r="I13" s="13"/>
      <c r="J13" s="13" t="s">
        <v>116</v>
      </c>
      <c r="K13" s="13"/>
    </row>
    <row r="14" spans="1:11">
      <c r="A14" s="20" t="s">
        <v>17</v>
      </c>
      <c r="B14" s="13" t="s">
        <v>41</v>
      </c>
      <c r="C14" s="13" t="s">
        <v>46</v>
      </c>
      <c r="D14" s="13" t="s">
        <v>131</v>
      </c>
      <c r="E14" s="14" t="s">
        <v>105</v>
      </c>
      <c r="F14" s="13" t="s">
        <v>127</v>
      </c>
      <c r="G14" s="15" t="s">
        <v>107</v>
      </c>
      <c r="H14" s="13"/>
      <c r="I14" s="13"/>
      <c r="J14" s="13" t="s">
        <v>116</v>
      </c>
      <c r="K14" s="13"/>
    </row>
    <row r="15" spans="1:11">
      <c r="A15" s="20" t="s">
        <v>17</v>
      </c>
      <c r="B15" s="13" t="s">
        <v>47</v>
      </c>
      <c r="C15" s="13" t="s">
        <v>42</v>
      </c>
      <c r="D15" s="13" t="s">
        <v>132</v>
      </c>
      <c r="E15" s="14" t="s">
        <v>105</v>
      </c>
      <c r="F15" s="13" t="s">
        <v>115</v>
      </c>
      <c r="G15" s="15" t="s">
        <v>107</v>
      </c>
      <c r="H15" s="13"/>
      <c r="I15" s="13"/>
      <c r="J15" s="13" t="s">
        <v>116</v>
      </c>
      <c r="K15" s="13"/>
    </row>
    <row r="16" spans="1:11">
      <c r="A16" s="17" t="s">
        <v>21</v>
      </c>
      <c r="B16" s="13" t="s">
        <v>55</v>
      </c>
      <c r="C16" s="13" t="s">
        <v>42</v>
      </c>
      <c r="D16" s="13" t="s">
        <v>133</v>
      </c>
      <c r="E16" s="14" t="s">
        <v>105</v>
      </c>
      <c r="F16" s="13" t="s">
        <v>115</v>
      </c>
      <c r="G16" s="15" t="s">
        <v>107</v>
      </c>
      <c r="H16" s="13"/>
      <c r="I16" s="13"/>
      <c r="J16" s="13" t="s">
        <v>116</v>
      </c>
      <c r="K16" s="13"/>
    </row>
    <row r="17" spans="1:11">
      <c r="A17" s="20" t="s">
        <v>17</v>
      </c>
      <c r="B17" s="13" t="s">
        <v>48</v>
      </c>
      <c r="C17" s="13" t="s">
        <v>42</v>
      </c>
      <c r="D17" s="13" t="s">
        <v>134</v>
      </c>
      <c r="E17" s="14" t="s">
        <v>105</v>
      </c>
      <c r="F17" s="13" t="s">
        <v>135</v>
      </c>
      <c r="G17" s="15" t="s">
        <v>107</v>
      </c>
      <c r="H17" s="13"/>
      <c r="I17" s="13"/>
      <c r="J17" s="13" t="s">
        <v>116</v>
      </c>
      <c r="K17" s="13"/>
    </row>
    <row r="18" spans="1:11">
      <c r="A18" s="12" t="s">
        <v>33</v>
      </c>
      <c r="B18" s="13" t="s">
        <v>90</v>
      </c>
      <c r="C18" s="13" t="s">
        <v>42</v>
      </c>
      <c r="D18" s="13" t="s">
        <v>136</v>
      </c>
      <c r="E18" s="14" t="s">
        <v>105</v>
      </c>
      <c r="F18" s="13" t="s">
        <v>137</v>
      </c>
      <c r="G18" s="15" t="s">
        <v>107</v>
      </c>
      <c r="H18" s="13"/>
      <c r="I18" s="13"/>
      <c r="J18" s="13" t="s">
        <v>116</v>
      </c>
      <c r="K18" s="13"/>
    </row>
    <row r="19" spans="1:11">
      <c r="A19" s="21" t="s">
        <v>28</v>
      </c>
      <c r="B19" s="13" t="s">
        <v>63</v>
      </c>
      <c r="C19" s="13" t="s">
        <v>42</v>
      </c>
      <c r="D19" s="13" t="s">
        <v>138</v>
      </c>
      <c r="E19" s="14" t="s">
        <v>105</v>
      </c>
      <c r="F19" s="13" t="s">
        <v>139</v>
      </c>
      <c r="G19" s="22" t="s">
        <v>116</v>
      </c>
      <c r="H19" s="13"/>
      <c r="I19" s="13"/>
      <c r="J19" s="13" t="s">
        <v>116</v>
      </c>
      <c r="K19" s="13"/>
    </row>
    <row r="20" spans="1:11">
      <c r="A20" s="12" t="s">
        <v>33</v>
      </c>
      <c r="B20" s="13" t="s">
        <v>91</v>
      </c>
      <c r="C20" s="13" t="s">
        <v>42</v>
      </c>
      <c r="D20" s="13" t="s">
        <v>140</v>
      </c>
      <c r="E20" s="14" t="s">
        <v>105</v>
      </c>
      <c r="F20" s="13" t="s">
        <v>118</v>
      </c>
      <c r="G20" s="15" t="s">
        <v>107</v>
      </c>
      <c r="H20" s="13"/>
      <c r="I20" s="13"/>
      <c r="J20" s="13" t="s">
        <v>116</v>
      </c>
      <c r="K20" s="13"/>
    </row>
    <row r="21" spans="1:11">
      <c r="A21" s="17" t="s">
        <v>21</v>
      </c>
      <c r="B21" s="13" t="s">
        <v>56</v>
      </c>
      <c r="C21" s="13" t="s">
        <v>42</v>
      </c>
      <c r="D21" s="13" t="s">
        <v>141</v>
      </c>
      <c r="E21" s="14" t="s">
        <v>105</v>
      </c>
      <c r="F21" s="13" t="s">
        <v>142</v>
      </c>
      <c r="G21" s="15" t="s">
        <v>107</v>
      </c>
      <c r="H21" s="13"/>
      <c r="I21" s="13"/>
      <c r="J21" s="13" t="s">
        <v>116</v>
      </c>
      <c r="K21" s="13"/>
    </row>
    <row r="22" spans="1:11">
      <c r="A22" s="17" t="s">
        <v>21</v>
      </c>
      <c r="B22" s="13" t="s">
        <v>21</v>
      </c>
      <c r="C22" s="13" t="s">
        <v>42</v>
      </c>
      <c r="D22" s="13" t="s">
        <v>143</v>
      </c>
      <c r="E22" s="14" t="s">
        <v>105</v>
      </c>
      <c r="F22" s="13" t="s">
        <v>144</v>
      </c>
      <c r="G22" s="15" t="s">
        <v>107</v>
      </c>
      <c r="H22" s="13"/>
      <c r="I22" s="13"/>
      <c r="J22" s="13" t="s">
        <v>116</v>
      </c>
      <c r="K22" s="13"/>
    </row>
    <row r="23" spans="1:11">
      <c r="A23" s="17" t="s">
        <v>21</v>
      </c>
      <c r="B23" s="13" t="s">
        <v>21</v>
      </c>
      <c r="C23" s="13" t="s">
        <v>43</v>
      </c>
      <c r="D23" s="13" t="s">
        <v>143</v>
      </c>
      <c r="E23" s="14" t="s">
        <v>105</v>
      </c>
      <c r="F23" s="13" t="s">
        <v>144</v>
      </c>
      <c r="G23" s="15" t="s">
        <v>107</v>
      </c>
      <c r="H23" s="13"/>
      <c r="I23" s="13"/>
      <c r="J23" s="13" t="s">
        <v>116</v>
      </c>
      <c r="K23" s="13"/>
    </row>
    <row r="24" spans="1:11">
      <c r="A24" s="17" t="s">
        <v>21</v>
      </c>
      <c r="B24" s="13" t="s">
        <v>21</v>
      </c>
      <c r="C24" s="13" t="s">
        <v>44</v>
      </c>
      <c r="D24" s="13" t="s">
        <v>143</v>
      </c>
      <c r="E24" s="14" t="s">
        <v>105</v>
      </c>
      <c r="F24" s="13" t="s">
        <v>144</v>
      </c>
      <c r="G24" s="15" t="s">
        <v>107</v>
      </c>
      <c r="H24" s="13"/>
      <c r="I24" s="13"/>
      <c r="J24" s="13" t="s">
        <v>116</v>
      </c>
      <c r="K24" s="13"/>
    </row>
    <row r="25" spans="1:11">
      <c r="A25" s="21" t="s">
        <v>28</v>
      </c>
      <c r="B25" s="13" t="s">
        <v>64</v>
      </c>
      <c r="C25" s="13" t="s">
        <v>42</v>
      </c>
      <c r="D25" s="13" t="s">
        <v>145</v>
      </c>
      <c r="E25" s="14" t="s">
        <v>105</v>
      </c>
      <c r="F25" s="13" t="s">
        <v>146</v>
      </c>
      <c r="G25" s="15" t="s">
        <v>107</v>
      </c>
      <c r="H25" s="13"/>
      <c r="I25" s="13"/>
      <c r="J25" s="13" t="s">
        <v>116</v>
      </c>
      <c r="K25" s="13"/>
    </row>
    <row r="26" spans="1:11">
      <c r="A26" s="18" t="s">
        <v>29</v>
      </c>
      <c r="B26" s="13" t="s">
        <v>72</v>
      </c>
      <c r="C26" s="13" t="s">
        <v>42</v>
      </c>
      <c r="D26" s="13" t="s">
        <v>147</v>
      </c>
      <c r="E26" s="14" t="s">
        <v>105</v>
      </c>
      <c r="F26" s="13" t="s">
        <v>115</v>
      </c>
      <c r="G26" s="15" t="s">
        <v>107</v>
      </c>
      <c r="H26" s="13"/>
      <c r="I26" s="13"/>
      <c r="J26" s="13" t="s">
        <v>116</v>
      </c>
      <c r="K26" s="13"/>
    </row>
    <row r="27" spans="1:11">
      <c r="A27" s="18" t="s">
        <v>29</v>
      </c>
      <c r="B27" s="13" t="s">
        <v>73</v>
      </c>
      <c r="C27" s="13" t="s">
        <v>42</v>
      </c>
      <c r="D27" s="13" t="s">
        <v>148</v>
      </c>
      <c r="E27" s="14" t="s">
        <v>105</v>
      </c>
      <c r="F27" s="13" t="s">
        <v>149</v>
      </c>
      <c r="G27" s="15" t="s">
        <v>107</v>
      </c>
      <c r="H27" s="13"/>
      <c r="I27" s="13"/>
      <c r="J27" s="13" t="s">
        <v>116</v>
      </c>
      <c r="K27" s="13"/>
    </row>
    <row r="28" spans="1:11">
      <c r="A28" s="18" t="s">
        <v>29</v>
      </c>
      <c r="B28" s="13" t="s">
        <v>74</v>
      </c>
      <c r="C28" s="13" t="s">
        <v>42</v>
      </c>
      <c r="D28" s="13" t="s">
        <v>150</v>
      </c>
      <c r="E28" s="14" t="s">
        <v>105</v>
      </c>
      <c r="F28" s="13" t="s">
        <v>151</v>
      </c>
      <c r="G28" s="15" t="s">
        <v>107</v>
      </c>
      <c r="H28" s="13"/>
      <c r="I28" s="13"/>
      <c r="J28" s="13" t="s">
        <v>116</v>
      </c>
      <c r="K28" s="13"/>
    </row>
    <row r="29" spans="1:11">
      <c r="A29" s="16" t="s">
        <v>31</v>
      </c>
      <c r="B29" s="13" t="s">
        <v>81</v>
      </c>
      <c r="C29" s="13" t="s">
        <v>42</v>
      </c>
      <c r="D29" s="13" t="s">
        <v>152</v>
      </c>
      <c r="E29" s="14" t="s">
        <v>105</v>
      </c>
      <c r="F29" s="13" t="s">
        <v>118</v>
      </c>
      <c r="G29" s="15" t="s">
        <v>107</v>
      </c>
      <c r="H29" s="13" t="s">
        <v>153</v>
      </c>
      <c r="I29" s="13"/>
      <c r="J29" s="13" t="s">
        <v>116</v>
      </c>
      <c r="K29" s="13"/>
    </row>
    <row r="30" spans="1:11">
      <c r="A30" s="16" t="s">
        <v>31</v>
      </c>
      <c r="B30" s="13" t="s">
        <v>82</v>
      </c>
      <c r="C30" s="13" t="s">
        <v>42</v>
      </c>
      <c r="D30" s="13" t="s">
        <v>154</v>
      </c>
      <c r="E30" s="14" t="s">
        <v>105</v>
      </c>
      <c r="F30" s="13" t="s">
        <v>118</v>
      </c>
      <c r="G30" s="15" t="s">
        <v>107</v>
      </c>
      <c r="H30" s="13"/>
      <c r="I30" s="13"/>
      <c r="J30" s="13" t="s">
        <v>116</v>
      </c>
      <c r="K30" s="13"/>
    </row>
    <row r="31" spans="1:11">
      <c r="A31" s="20" t="s">
        <v>17</v>
      </c>
      <c r="B31" s="13" t="s">
        <v>49</v>
      </c>
      <c r="C31" s="13" t="s">
        <v>42</v>
      </c>
      <c r="D31" s="13" t="s">
        <v>155</v>
      </c>
      <c r="E31" s="14" t="s">
        <v>105</v>
      </c>
      <c r="F31" s="13" t="s">
        <v>156</v>
      </c>
      <c r="G31" s="15" t="s">
        <v>107</v>
      </c>
      <c r="H31" s="13"/>
      <c r="I31" s="13"/>
      <c r="J31" s="13" t="s">
        <v>116</v>
      </c>
      <c r="K31" s="13"/>
    </row>
    <row r="32" spans="1:11">
      <c r="A32" s="21" t="s">
        <v>28</v>
      </c>
      <c r="B32" s="13" t="s">
        <v>65</v>
      </c>
      <c r="C32" s="13" t="s">
        <v>42</v>
      </c>
      <c r="D32" s="13" t="s">
        <v>157</v>
      </c>
      <c r="E32" s="14" t="s">
        <v>105</v>
      </c>
      <c r="F32" s="13" t="s">
        <v>137</v>
      </c>
      <c r="G32" s="15" t="s">
        <v>107</v>
      </c>
      <c r="H32" s="13"/>
      <c r="I32" s="13"/>
      <c r="J32" s="13" t="s">
        <v>116</v>
      </c>
      <c r="K32" s="13"/>
    </row>
    <row r="33" spans="1:11">
      <c r="A33" s="16" t="s">
        <v>31</v>
      </c>
      <c r="B33" s="13" t="s">
        <v>83</v>
      </c>
      <c r="C33" s="13" t="s">
        <v>42</v>
      </c>
      <c r="D33" s="13" t="s">
        <v>158</v>
      </c>
      <c r="E33" s="14" t="s">
        <v>105</v>
      </c>
      <c r="F33" s="13" t="s">
        <v>118</v>
      </c>
      <c r="G33" s="15" t="s">
        <v>107</v>
      </c>
      <c r="H33" s="13" t="s">
        <v>159</v>
      </c>
      <c r="I33" s="13" t="s">
        <v>160</v>
      </c>
      <c r="J33" s="13" t="s">
        <v>107</v>
      </c>
      <c r="K33" s="13" t="s">
        <v>161</v>
      </c>
    </row>
    <row r="34" spans="1:11">
      <c r="A34" s="16" t="s">
        <v>31</v>
      </c>
      <c r="B34" s="13" t="s">
        <v>84</v>
      </c>
      <c r="C34" s="13" t="s">
        <v>42</v>
      </c>
      <c r="D34" s="13" t="s">
        <v>162</v>
      </c>
      <c r="E34" s="14" t="s">
        <v>105</v>
      </c>
      <c r="F34" s="13" t="s">
        <v>163</v>
      </c>
      <c r="G34" s="15" t="s">
        <v>107</v>
      </c>
      <c r="H34" s="13" t="s">
        <v>164</v>
      </c>
      <c r="I34" s="13" t="s">
        <v>165</v>
      </c>
      <c r="J34" s="13" t="s">
        <v>107</v>
      </c>
      <c r="K34" s="13" t="s">
        <v>166</v>
      </c>
    </row>
    <row r="35" spans="1:11">
      <c r="A35" s="17" t="s">
        <v>21</v>
      </c>
      <c r="B35" s="13" t="s">
        <v>57</v>
      </c>
      <c r="C35" s="13" t="s">
        <v>42</v>
      </c>
      <c r="D35" s="13" t="s">
        <v>167</v>
      </c>
      <c r="E35" s="14" t="s">
        <v>105</v>
      </c>
      <c r="F35" s="13" t="s">
        <v>142</v>
      </c>
      <c r="G35" s="15" t="s">
        <v>107</v>
      </c>
      <c r="H35" s="13"/>
      <c r="I35" s="13"/>
      <c r="J35" s="13" t="s">
        <v>116</v>
      </c>
      <c r="K35" s="13"/>
    </row>
    <row r="36" spans="1:11">
      <c r="A36" s="19" t="s">
        <v>25</v>
      </c>
      <c r="B36" s="13" t="s">
        <v>61</v>
      </c>
      <c r="C36" s="13" t="s">
        <v>42</v>
      </c>
      <c r="D36" s="13" t="s">
        <v>168</v>
      </c>
      <c r="E36" s="14" t="s">
        <v>105</v>
      </c>
      <c r="F36" s="13" t="s">
        <v>118</v>
      </c>
      <c r="G36" s="15" t="s">
        <v>107</v>
      </c>
      <c r="H36" s="13"/>
      <c r="I36" s="13"/>
      <c r="J36" s="13" t="s">
        <v>116</v>
      </c>
      <c r="K36" s="13"/>
    </row>
    <row r="37" spans="1:11">
      <c r="A37" s="19" t="s">
        <v>25</v>
      </c>
      <c r="B37" s="13" t="s">
        <v>62</v>
      </c>
      <c r="C37" s="13" t="s">
        <v>42</v>
      </c>
      <c r="D37" s="13" t="s">
        <v>169</v>
      </c>
      <c r="E37" s="14" t="s">
        <v>105</v>
      </c>
      <c r="F37" s="13" t="s">
        <v>115</v>
      </c>
      <c r="G37" s="15" t="s">
        <v>107</v>
      </c>
      <c r="H37" s="13"/>
      <c r="I37" s="13"/>
      <c r="J37" s="13" t="s">
        <v>116</v>
      </c>
      <c r="K37" s="13"/>
    </row>
    <row r="38" spans="1:11">
      <c r="A38" s="18" t="s">
        <v>29</v>
      </c>
      <c r="B38" s="13" t="s">
        <v>75</v>
      </c>
      <c r="C38" s="13" t="s">
        <v>42</v>
      </c>
      <c r="D38" s="13" t="s">
        <v>170</v>
      </c>
      <c r="E38" s="14" t="s">
        <v>105</v>
      </c>
      <c r="F38" s="13" t="s">
        <v>171</v>
      </c>
      <c r="G38" s="15" t="s">
        <v>107</v>
      </c>
      <c r="H38" s="13"/>
      <c r="I38" s="13"/>
      <c r="J38" s="13" t="s">
        <v>116</v>
      </c>
      <c r="K38" s="13"/>
    </row>
    <row r="39" spans="1:11">
      <c r="A39" s="21" t="s">
        <v>28</v>
      </c>
      <c r="B39" s="13" t="s">
        <v>66</v>
      </c>
      <c r="C39" s="13" t="s">
        <v>42</v>
      </c>
      <c r="D39" s="13" t="s">
        <v>172</v>
      </c>
      <c r="E39" s="14" t="s">
        <v>105</v>
      </c>
      <c r="F39" s="13" t="s">
        <v>127</v>
      </c>
      <c r="G39" s="15" t="s">
        <v>107</v>
      </c>
      <c r="H39" s="13" t="s">
        <v>173</v>
      </c>
      <c r="I39" s="13" t="s">
        <v>174</v>
      </c>
      <c r="J39" s="13" t="s">
        <v>107</v>
      </c>
      <c r="K39" s="13" t="s">
        <v>175</v>
      </c>
    </row>
    <row r="40" spans="1:11">
      <c r="A40" s="12" t="s">
        <v>33</v>
      </c>
      <c r="B40" s="13" t="s">
        <v>92</v>
      </c>
      <c r="C40" s="13" t="s">
        <v>42</v>
      </c>
      <c r="D40" s="13" t="s">
        <v>176</v>
      </c>
      <c r="E40" s="14" t="s">
        <v>105</v>
      </c>
      <c r="F40" s="13" t="s">
        <v>177</v>
      </c>
      <c r="G40" s="15" t="s">
        <v>107</v>
      </c>
      <c r="H40" s="13"/>
      <c r="I40" s="13"/>
      <c r="J40" s="13" t="s">
        <v>116</v>
      </c>
      <c r="K40" s="13"/>
    </row>
    <row r="41" spans="1:11">
      <c r="A41" s="16" t="s">
        <v>31</v>
      </c>
      <c r="B41" s="13" t="s">
        <v>85</v>
      </c>
      <c r="C41" s="13" t="s">
        <v>42</v>
      </c>
      <c r="D41" s="13" t="s">
        <v>178</v>
      </c>
      <c r="E41" s="14" t="s">
        <v>105</v>
      </c>
      <c r="F41" s="13" t="s">
        <v>151</v>
      </c>
      <c r="G41" s="15" t="s">
        <v>107</v>
      </c>
      <c r="H41" s="13"/>
      <c r="I41" s="13"/>
      <c r="J41" s="13" t="s">
        <v>116</v>
      </c>
      <c r="K41" s="13"/>
    </row>
    <row r="42" spans="1:11">
      <c r="A42" s="21" t="s">
        <v>28</v>
      </c>
      <c r="B42" s="13" t="s">
        <v>67</v>
      </c>
      <c r="C42" s="13" t="s">
        <v>42</v>
      </c>
      <c r="D42" s="13" t="s">
        <v>179</v>
      </c>
      <c r="E42" s="14" t="s">
        <v>105</v>
      </c>
      <c r="F42" s="13" t="s">
        <v>137</v>
      </c>
      <c r="G42" s="15" t="s">
        <v>107</v>
      </c>
      <c r="H42" s="13"/>
      <c r="I42" s="13"/>
      <c r="J42" s="13" t="s">
        <v>116</v>
      </c>
      <c r="K42" s="13"/>
    </row>
    <row r="43" spans="1:11">
      <c r="A43" s="17" t="s">
        <v>21</v>
      </c>
      <c r="B43" s="13" t="s">
        <v>58</v>
      </c>
      <c r="C43" s="13" t="s">
        <v>42</v>
      </c>
      <c r="D43" s="13" t="s">
        <v>180</v>
      </c>
      <c r="E43" s="14" t="s">
        <v>105</v>
      </c>
      <c r="F43" s="13" t="s">
        <v>142</v>
      </c>
      <c r="G43" s="15" t="s">
        <v>107</v>
      </c>
      <c r="H43" s="13"/>
      <c r="I43" s="13"/>
      <c r="J43" s="13" t="s">
        <v>116</v>
      </c>
      <c r="K43" s="13"/>
    </row>
    <row r="44" spans="1:11">
      <c r="A44" s="21" t="s">
        <v>28</v>
      </c>
      <c r="B44" s="13" t="s">
        <v>68</v>
      </c>
      <c r="C44" s="13" t="s">
        <v>42</v>
      </c>
      <c r="D44" s="13" t="s">
        <v>181</v>
      </c>
      <c r="E44" s="14" t="s">
        <v>105</v>
      </c>
      <c r="F44" s="13" t="s">
        <v>151</v>
      </c>
      <c r="G44" s="15" t="s">
        <v>107</v>
      </c>
      <c r="H44" s="13"/>
      <c r="I44" s="13"/>
      <c r="J44" s="13" t="s">
        <v>116</v>
      </c>
      <c r="K44" s="13"/>
    </row>
    <row r="45" spans="1:11">
      <c r="A45" s="18" t="s">
        <v>29</v>
      </c>
      <c r="B45" s="13" t="s">
        <v>76</v>
      </c>
      <c r="C45" s="13" t="s">
        <v>42</v>
      </c>
      <c r="D45" s="13" t="s">
        <v>182</v>
      </c>
      <c r="E45" s="14" t="s">
        <v>105</v>
      </c>
      <c r="F45" s="13" t="s">
        <v>115</v>
      </c>
      <c r="G45" s="15" t="s">
        <v>107</v>
      </c>
      <c r="H45" s="13"/>
      <c r="I45" s="13"/>
      <c r="J45" s="13" t="s">
        <v>116</v>
      </c>
      <c r="K45" s="13"/>
    </row>
    <row r="46" spans="1:11">
      <c r="A46" s="20" t="s">
        <v>17</v>
      </c>
      <c r="B46" s="13" t="s">
        <v>50</v>
      </c>
      <c r="C46" s="13" t="s">
        <v>42</v>
      </c>
      <c r="D46" s="13" t="s">
        <v>183</v>
      </c>
      <c r="E46" s="14" t="s">
        <v>105</v>
      </c>
      <c r="F46" s="13" t="s">
        <v>184</v>
      </c>
      <c r="G46" s="15" t="s">
        <v>107</v>
      </c>
      <c r="H46" s="13"/>
      <c r="I46" s="13"/>
      <c r="J46" s="13" t="s">
        <v>116</v>
      </c>
      <c r="K46" s="13"/>
    </row>
    <row r="47" spans="1:11">
      <c r="A47" s="20" t="s">
        <v>17</v>
      </c>
      <c r="B47" s="13" t="s">
        <v>50</v>
      </c>
      <c r="C47" s="13" t="s">
        <v>43</v>
      </c>
      <c r="D47" s="13" t="s">
        <v>183</v>
      </c>
      <c r="E47" s="14" t="s">
        <v>105</v>
      </c>
      <c r="F47" s="13" t="s">
        <v>184</v>
      </c>
      <c r="G47" s="15" t="s">
        <v>107</v>
      </c>
      <c r="H47" s="13"/>
      <c r="I47" s="13"/>
      <c r="J47" s="13" t="s">
        <v>116</v>
      </c>
      <c r="K47" s="13"/>
    </row>
    <row r="48" spans="1:11">
      <c r="A48" s="20" t="s">
        <v>17</v>
      </c>
      <c r="B48" s="13" t="s">
        <v>51</v>
      </c>
      <c r="C48" s="13" t="s">
        <v>42</v>
      </c>
      <c r="D48" s="13" t="s">
        <v>185</v>
      </c>
      <c r="E48" s="14" t="s">
        <v>105</v>
      </c>
      <c r="F48" s="13" t="s">
        <v>115</v>
      </c>
      <c r="G48" s="15" t="s">
        <v>107</v>
      </c>
      <c r="H48" s="13" t="s">
        <v>186</v>
      </c>
      <c r="I48" s="13" t="s">
        <v>187</v>
      </c>
      <c r="J48" s="13" t="s">
        <v>107</v>
      </c>
      <c r="K48" s="13" t="s">
        <v>188</v>
      </c>
    </row>
    <row r="49" spans="1:11">
      <c r="A49" s="17" t="s">
        <v>21</v>
      </c>
      <c r="B49" s="13" t="s">
        <v>59</v>
      </c>
      <c r="C49" s="13" t="s">
        <v>42</v>
      </c>
      <c r="D49" s="13" t="s">
        <v>189</v>
      </c>
      <c r="E49" s="14" t="s">
        <v>105</v>
      </c>
      <c r="F49" s="13" t="s">
        <v>190</v>
      </c>
      <c r="G49" s="15" t="s">
        <v>107</v>
      </c>
      <c r="H49" s="13"/>
      <c r="I49" s="13"/>
      <c r="J49" s="13" t="s">
        <v>116</v>
      </c>
      <c r="K49" s="13"/>
    </row>
    <row r="50" spans="1:11">
      <c r="A50" s="21" t="s">
        <v>28</v>
      </c>
      <c r="B50" s="13" t="s">
        <v>69</v>
      </c>
      <c r="C50" s="13" t="s">
        <v>42</v>
      </c>
      <c r="D50" s="13" t="s">
        <v>191</v>
      </c>
      <c r="E50" s="14" t="s">
        <v>105</v>
      </c>
      <c r="F50" s="13" t="s">
        <v>115</v>
      </c>
      <c r="G50" s="15" t="s">
        <v>107</v>
      </c>
      <c r="H50" s="13" t="s">
        <v>192</v>
      </c>
      <c r="I50" s="13" t="s">
        <v>193</v>
      </c>
      <c r="J50" s="13" t="s">
        <v>107</v>
      </c>
      <c r="K50" s="13" t="s">
        <v>194</v>
      </c>
    </row>
    <row r="51" spans="1:11">
      <c r="A51" s="18" t="s">
        <v>29</v>
      </c>
      <c r="B51" s="13" t="s">
        <v>77</v>
      </c>
      <c r="C51" s="13" t="s">
        <v>42</v>
      </c>
      <c r="D51" s="13" t="s">
        <v>195</v>
      </c>
      <c r="E51" s="14" t="s">
        <v>105</v>
      </c>
      <c r="F51" s="13" t="s">
        <v>115</v>
      </c>
      <c r="G51" s="15" t="s">
        <v>107</v>
      </c>
      <c r="H51" s="13"/>
      <c r="I51" s="13"/>
      <c r="J51" s="13" t="s">
        <v>116</v>
      </c>
      <c r="K51" s="13"/>
    </row>
    <row r="52" spans="1:11">
      <c r="A52" s="12" t="s">
        <v>33</v>
      </c>
      <c r="B52" s="13" t="s">
        <v>93</v>
      </c>
      <c r="C52" s="13" t="s">
        <v>42</v>
      </c>
      <c r="D52" s="13" t="s">
        <v>196</v>
      </c>
      <c r="E52" s="14" t="s">
        <v>105</v>
      </c>
      <c r="F52" s="13" t="s">
        <v>142</v>
      </c>
      <c r="G52" s="15" t="s">
        <v>107</v>
      </c>
      <c r="H52" s="13"/>
      <c r="I52" s="13"/>
      <c r="J52" s="13" t="s">
        <v>116</v>
      </c>
      <c r="K52" s="13"/>
    </row>
    <row r="53" spans="1:11">
      <c r="A53" s="18" t="s">
        <v>29</v>
      </c>
      <c r="B53" s="13" t="s">
        <v>78</v>
      </c>
      <c r="C53" s="13" t="s">
        <v>42</v>
      </c>
      <c r="D53" s="13" t="s">
        <v>197</v>
      </c>
      <c r="E53" s="14" t="s">
        <v>105</v>
      </c>
      <c r="F53" s="13" t="s">
        <v>135</v>
      </c>
      <c r="G53" s="15" t="s">
        <v>107</v>
      </c>
      <c r="H53" s="13"/>
      <c r="I53" s="13"/>
      <c r="J53" s="13" t="s">
        <v>116</v>
      </c>
      <c r="K53" s="13"/>
    </row>
    <row r="54" spans="1:11">
      <c r="A54" s="21" t="s">
        <v>28</v>
      </c>
      <c r="B54" s="13" t="s">
        <v>70</v>
      </c>
      <c r="C54" s="13" t="s">
        <v>42</v>
      </c>
      <c r="D54" s="13"/>
      <c r="E54" s="14" t="s">
        <v>105</v>
      </c>
      <c r="F54" s="13" t="s">
        <v>139</v>
      </c>
      <c r="G54" s="22" t="s">
        <v>116</v>
      </c>
      <c r="H54" s="13"/>
      <c r="I54" s="13"/>
      <c r="J54" s="13" t="s">
        <v>116</v>
      </c>
      <c r="K54" s="13"/>
    </row>
    <row r="55" spans="1:11">
      <c r="A55" s="12" t="s">
        <v>33</v>
      </c>
      <c r="B55" s="13" t="s">
        <v>94</v>
      </c>
      <c r="C55" s="13" t="s">
        <v>42</v>
      </c>
      <c r="D55" s="13" t="s">
        <v>198</v>
      </c>
      <c r="E55" s="14" t="s">
        <v>105</v>
      </c>
      <c r="F55" s="13" t="s">
        <v>199</v>
      </c>
      <c r="G55" s="15" t="s">
        <v>107</v>
      </c>
      <c r="H55" s="13"/>
      <c r="I55" s="13" t="s">
        <v>200</v>
      </c>
      <c r="J55" s="13" t="s">
        <v>107</v>
      </c>
      <c r="K55" s="13" t="s">
        <v>201</v>
      </c>
    </row>
    <row r="56" spans="1:11">
      <c r="A56" s="16" t="s">
        <v>31</v>
      </c>
      <c r="B56" s="13" t="s">
        <v>86</v>
      </c>
      <c r="C56" s="13" t="s">
        <v>42</v>
      </c>
      <c r="D56" s="13" t="s">
        <v>202</v>
      </c>
      <c r="E56" s="14" t="s">
        <v>105</v>
      </c>
      <c r="F56" s="13" t="s">
        <v>203</v>
      </c>
      <c r="G56" s="15" t="s">
        <v>107</v>
      </c>
      <c r="H56" s="13"/>
      <c r="I56" s="13"/>
      <c r="J56" s="13" t="s">
        <v>116</v>
      </c>
      <c r="K56" s="13"/>
    </row>
    <row r="57" spans="1:11">
      <c r="A57" s="20" t="s">
        <v>17</v>
      </c>
      <c r="B57" s="13" t="s">
        <v>52</v>
      </c>
      <c r="C57" s="13" t="s">
        <v>42</v>
      </c>
      <c r="D57" s="13" t="s">
        <v>204</v>
      </c>
      <c r="E57" s="14" t="s">
        <v>105</v>
      </c>
      <c r="F57" s="13" t="s">
        <v>205</v>
      </c>
      <c r="G57" s="15" t="s">
        <v>107</v>
      </c>
      <c r="H57" s="13"/>
      <c r="I57" s="13"/>
      <c r="J57" s="13" t="s">
        <v>116</v>
      </c>
      <c r="K57" s="13"/>
    </row>
    <row r="58" spans="1:11">
      <c r="A58" s="20" t="s">
        <v>17</v>
      </c>
      <c r="B58" s="13" t="s">
        <v>53</v>
      </c>
      <c r="C58" s="13" t="s">
        <v>42</v>
      </c>
      <c r="D58" s="13" t="s">
        <v>206</v>
      </c>
      <c r="E58" s="14" t="s">
        <v>105</v>
      </c>
      <c r="F58" s="13" t="s">
        <v>115</v>
      </c>
      <c r="G58" s="15" t="s">
        <v>107</v>
      </c>
      <c r="H58" s="13" t="s">
        <v>207</v>
      </c>
      <c r="I58" s="13" t="s">
        <v>208</v>
      </c>
      <c r="J58" s="13" t="s">
        <v>107</v>
      </c>
      <c r="K58" s="13" t="s">
        <v>209</v>
      </c>
    </row>
  </sheetData>
  <autoFilter ref="A1:G1" xr:uid="{00000000-0009-0000-0000-000002000000}"/>
  <conditionalFormatting sqref="G2:G58">
    <cfRule type="cellIs" dxfId="29" priority="1" stopIfTrue="1" operator="equal">
      <formula>"Sim"</formula>
    </cfRule>
    <cfRule type="cellIs" dxfId="28" priority="3" stopIfTrue="1" operator="equal">
      <formula>"Não"</formula>
    </cfRule>
  </conditionalFormatting>
  <conditionalFormatting sqref="J2:J58">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58">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16" customWidth="1"/>
    <col min="6" max="6" width="39" customWidth="1"/>
    <col min="7" max="7" width="27" customWidth="1"/>
    <col min="8" max="8" width="80" customWidth="1"/>
    <col min="9" max="9" width="34" customWidth="1"/>
    <col min="10" max="10" width="25" customWidth="1"/>
    <col min="11" max="11" width="31" customWidth="1"/>
  </cols>
  <sheetData>
    <row r="1" spans="1:11">
      <c r="A1" s="11" t="s">
        <v>8</v>
      </c>
      <c r="B1" s="11" t="s">
        <v>95</v>
      </c>
      <c r="C1" s="11" t="s">
        <v>40</v>
      </c>
      <c r="D1" s="11" t="s">
        <v>96</v>
      </c>
      <c r="E1" s="11" t="s">
        <v>97</v>
      </c>
      <c r="F1" s="11" t="s">
        <v>98</v>
      </c>
      <c r="G1" s="11" t="s">
        <v>99</v>
      </c>
      <c r="H1" s="11" t="s">
        <v>100</v>
      </c>
      <c r="I1" s="11" t="s">
        <v>101</v>
      </c>
      <c r="J1" s="11" t="s">
        <v>102</v>
      </c>
      <c r="K1" s="11" t="s">
        <v>103</v>
      </c>
    </row>
    <row r="2" spans="1:11">
      <c r="A2" s="12" t="s">
        <v>33</v>
      </c>
      <c r="B2" s="13" t="s">
        <v>87</v>
      </c>
      <c r="C2" s="13" t="s">
        <v>42</v>
      </c>
      <c r="D2" s="13" t="str">
        <f>IFERROR(IF(INDEX('Form 1 - Município'!D2:D500, MATCH(B2&amp;C2, INDEX('Form 1 - Município'!B2:B500&amp;'Form 1 - Município'!C2:C500, 0), 0))="", "", INDEX('Form 1 - Município'!D2:D500, MATCH(B2&amp;C2, INDEX('Form 1 - Município'!B2:B500&amp;'Form 1 - Município'!C2:C500, 0), 0))), "")</f>
        <v>Marcia do Nascimento</v>
      </c>
      <c r="E2" s="14" t="s">
        <v>105</v>
      </c>
      <c r="F2" s="13" t="s">
        <v>210</v>
      </c>
      <c r="G2" s="22" t="s">
        <v>116</v>
      </c>
      <c r="H2" s="13" t="s">
        <v>211</v>
      </c>
      <c r="I2" s="13" t="s">
        <v>212</v>
      </c>
      <c r="J2" s="13" t="s">
        <v>107</v>
      </c>
      <c r="K2" s="13" t="s">
        <v>213</v>
      </c>
    </row>
    <row r="3" spans="1:11">
      <c r="A3" s="12" t="s">
        <v>33</v>
      </c>
      <c r="B3" s="13" t="s">
        <v>88</v>
      </c>
      <c r="C3" s="13" t="s">
        <v>42</v>
      </c>
      <c r="D3" s="13" t="str">
        <f>IFERROR(IF(INDEX('Form 1 - Município'!D2:D500, MATCH(B3&amp;C3, INDEX('Form 1 - Município'!B2:B500&amp;'Form 1 - Município'!C2:C500, 0), 0))="", "", INDEX('Form 1 - Município'!D2:D500, MATCH(B3&amp;C3, INDEX('Form 1 - Município'!B2:B500&amp;'Form 1 - Município'!C2:C500, 0), 0))), "")</f>
        <v>Marcia Regina Willers</v>
      </c>
      <c r="E3" s="14" t="s">
        <v>105</v>
      </c>
      <c r="F3" s="13" t="s">
        <v>112</v>
      </c>
      <c r="G3" s="15" t="s">
        <v>107</v>
      </c>
      <c r="H3" s="13"/>
      <c r="I3" s="13"/>
      <c r="J3" s="13" t="s">
        <v>116</v>
      </c>
      <c r="K3" s="13"/>
    </row>
    <row r="4" spans="1:11">
      <c r="A4" s="16" t="s">
        <v>31</v>
      </c>
      <c r="B4" s="13" t="s">
        <v>79</v>
      </c>
      <c r="C4" s="13" t="s">
        <v>42</v>
      </c>
      <c r="D4" s="13" t="str">
        <f>IFERROR(IF(INDEX('Form 1 - Município'!D2:D500, MATCH(B4&amp;C4, INDEX('Form 1 - Município'!B2:B500&amp;'Form 1 - Município'!C2:C500, 0), 0))="", "", INDEX('Form 1 - Município'!D2:D500, MATCH(B4&amp;C4, INDEX('Form 1 - Município'!B2:B500&amp;'Form 1 - Município'!C2:C500, 0), 0))), "")</f>
        <v>Claudete Rodrigues Scarpelini</v>
      </c>
      <c r="E4" s="14" t="s">
        <v>105</v>
      </c>
      <c r="F4" s="13" t="s">
        <v>137</v>
      </c>
      <c r="G4" s="15" t="s">
        <v>107</v>
      </c>
      <c r="H4" s="13"/>
      <c r="I4" s="13"/>
      <c r="J4" s="13" t="s">
        <v>116</v>
      </c>
      <c r="K4" s="13"/>
    </row>
    <row r="5" spans="1:11">
      <c r="A5" s="12" t="s">
        <v>33</v>
      </c>
      <c r="B5" s="13" t="s">
        <v>89</v>
      </c>
      <c r="C5" s="13" t="s">
        <v>42</v>
      </c>
      <c r="D5" s="13" t="str">
        <f>IFERROR(IF(INDEX('Form 1 - Município'!D2:D500, MATCH(B5&amp;C5, INDEX('Form 1 - Município'!B2:B500&amp;'Form 1 - Município'!C2:C500, 0), 0))="", "", INDEX('Form 1 - Município'!D2:D500, MATCH(B5&amp;C5, INDEX('Form 1 - Município'!B2:B500&amp;'Form 1 - Município'!C2:C500, 0), 0))), "")</f>
        <v>Vagner Perseti Alves</v>
      </c>
      <c r="E5" s="14" t="s">
        <v>105</v>
      </c>
      <c r="F5" s="13" t="s">
        <v>137</v>
      </c>
      <c r="G5" s="15" t="s">
        <v>107</v>
      </c>
      <c r="H5" s="13" t="s">
        <v>214</v>
      </c>
      <c r="I5" s="13" t="s">
        <v>215</v>
      </c>
      <c r="J5" s="13" t="s">
        <v>107</v>
      </c>
      <c r="K5" s="13" t="s">
        <v>216</v>
      </c>
    </row>
    <row r="6" spans="1:11">
      <c r="A6" s="17" t="s">
        <v>21</v>
      </c>
      <c r="B6" s="13" t="s">
        <v>54</v>
      </c>
      <c r="C6" s="13" t="s">
        <v>42</v>
      </c>
      <c r="D6" s="13" t="str">
        <f>IFERROR(IF(INDEX('Form 1 - Município'!D2:D500, MATCH(B6&amp;C6, INDEX('Form 1 - Município'!B2:B500&amp;'Form 1 - Município'!C2:C500, 0), 0))="", "", INDEX('Form 1 - Município'!D2:D500, MATCH(B6&amp;C6, INDEX('Form 1 - Município'!B2:B500&amp;'Form 1 - Município'!C2:C500, 0), 0))), "")</f>
        <v>Tania Grespan</v>
      </c>
      <c r="E6" s="14" t="s">
        <v>105</v>
      </c>
      <c r="F6" s="13" t="s">
        <v>217</v>
      </c>
      <c r="G6" s="15" t="s">
        <v>107</v>
      </c>
      <c r="H6" s="13"/>
      <c r="I6" s="13"/>
      <c r="J6" s="13" t="s">
        <v>116</v>
      </c>
      <c r="K6" s="13"/>
    </row>
    <row r="7" spans="1:11">
      <c r="A7" s="16" t="s">
        <v>31</v>
      </c>
      <c r="B7" s="13" t="s">
        <v>80</v>
      </c>
      <c r="C7" s="13" t="s">
        <v>42</v>
      </c>
      <c r="D7" s="13" t="str">
        <f>IFERROR(IF(INDEX('Form 1 - Município'!D2:D500, MATCH(B7&amp;C7, INDEX('Form 1 - Município'!B2:B500&amp;'Form 1 - Município'!C2:C500, 0), 0))="", "", INDEX('Form 1 - Município'!D2:D500, MATCH(B7&amp;C7, INDEX('Form 1 - Município'!B2:B500&amp;'Form 1 - Município'!C2:C500, 0), 0))), "")</f>
        <v>Daniele de Souza Lima Mei</v>
      </c>
      <c r="E7" s="14" t="s">
        <v>105</v>
      </c>
      <c r="F7" s="13" t="s">
        <v>115</v>
      </c>
      <c r="G7" s="15" t="s">
        <v>107</v>
      </c>
      <c r="H7" s="13"/>
      <c r="I7" s="13"/>
      <c r="J7" s="13" t="s">
        <v>116</v>
      </c>
      <c r="K7" s="13"/>
    </row>
    <row r="8" spans="1:11">
      <c r="A8" s="18" t="s">
        <v>29</v>
      </c>
      <c r="B8" s="13" t="s">
        <v>71</v>
      </c>
      <c r="C8" s="13" t="s">
        <v>42</v>
      </c>
      <c r="D8" s="13" t="str">
        <f>IFERROR(IF(INDEX('Form 1 - Município'!D2:D500, MATCH(B8&amp;C8, INDEX('Form 1 - Município'!B2:B500&amp;'Form 1 - Município'!C2:C500, 0), 0))="", "", INDEX('Form 1 - Município'!D2:D500, MATCH(B8&amp;C8, INDEX('Form 1 - Município'!B2:B500&amp;'Form 1 - Município'!C2:C500, 0), 0))), "")</f>
        <v xml:space="preserve">Eunice Fernandes Gonzaga </v>
      </c>
      <c r="E8" s="14" t="s">
        <v>105</v>
      </c>
      <c r="F8" s="13" t="s">
        <v>217</v>
      </c>
      <c r="G8" s="15" t="s">
        <v>107</v>
      </c>
      <c r="H8" s="13"/>
      <c r="I8" s="13"/>
      <c r="J8" s="13" t="s">
        <v>116</v>
      </c>
      <c r="K8" s="13"/>
    </row>
    <row r="9" spans="1:11">
      <c r="A9" s="19" t="s">
        <v>25</v>
      </c>
      <c r="B9" s="13" t="s">
        <v>60</v>
      </c>
      <c r="C9" s="13" t="s">
        <v>42</v>
      </c>
      <c r="D9" s="13" t="str">
        <f>IFERROR(IF(INDEX('Form 1 - Município'!D2:D500, MATCH(B9&amp;C9, INDEX('Form 1 - Município'!B2:B500&amp;'Form 1 - Município'!C2:C500, 0), 0))="", "", INDEX('Form 1 - Município'!D2:D500, MATCH(B9&amp;C9, INDEX('Form 1 - Município'!B2:B500&amp;'Form 1 - Município'!C2:C500, 0), 0))), "")</f>
        <v>Rafaelly Custódio</v>
      </c>
      <c r="E9" s="14" t="s">
        <v>105</v>
      </c>
      <c r="F9" s="13" t="s">
        <v>127</v>
      </c>
      <c r="G9" s="15" t="s">
        <v>107</v>
      </c>
      <c r="H9" s="13"/>
      <c r="I9" s="13"/>
      <c r="J9" s="13" t="s">
        <v>116</v>
      </c>
      <c r="K9" s="13"/>
    </row>
    <row r="10" spans="1:11">
      <c r="A10" s="20" t="s">
        <v>17</v>
      </c>
      <c r="B10" s="13" t="s">
        <v>41</v>
      </c>
      <c r="C10" s="13" t="s">
        <v>42</v>
      </c>
      <c r="D10" s="13" t="str">
        <f>IFERROR(IF(INDEX('Form 1 - Município'!D2:D500, MATCH(B10&amp;C10, INDEX('Form 1 - Município'!B2:B500&amp;'Form 1 - Município'!C2:C500, 0), 0))="", "", INDEX('Form 1 - Município'!D2:D500, MATCH(B10&amp;C10, INDEX('Form 1 - Município'!B2:B500&amp;'Form 1 - Município'!C2:C500, 0), 0))), "")</f>
        <v>Hayana dos Santos Jaines</v>
      </c>
      <c r="E10" s="14" t="s">
        <v>105</v>
      </c>
      <c r="F10" s="13" t="s">
        <v>156</v>
      </c>
      <c r="G10" s="15" t="s">
        <v>107</v>
      </c>
      <c r="H10" s="13"/>
      <c r="I10" s="13"/>
      <c r="J10" s="13" t="s">
        <v>116</v>
      </c>
      <c r="K10" s="13"/>
    </row>
    <row r="11" spans="1:11">
      <c r="A11" s="20" t="s">
        <v>17</v>
      </c>
      <c r="B11" s="13" t="s">
        <v>41</v>
      </c>
      <c r="C11" s="13" t="s">
        <v>43</v>
      </c>
      <c r="D11" s="13" t="str">
        <f>IFERROR(IF(INDEX('Form 1 - Município'!D2:D500, MATCH(B11&amp;C11, INDEX('Form 1 - Município'!B2:B500&amp;'Form 1 - Município'!C2:C500, 0), 0))="", "", INDEX('Form 1 - Município'!D2:D500, MATCH(B11&amp;C11, INDEX('Form 1 - Município'!B2:B500&amp;'Form 1 - Município'!C2:C500, 0), 0))), "")</f>
        <v>Hayana dos Santos Jaines</v>
      </c>
      <c r="E11" s="14" t="s">
        <v>105</v>
      </c>
      <c r="F11" s="13" t="s">
        <v>127</v>
      </c>
      <c r="G11" s="15" t="s">
        <v>107</v>
      </c>
      <c r="H11" s="13"/>
      <c r="I11" s="13"/>
      <c r="J11" s="13" t="s">
        <v>116</v>
      </c>
      <c r="K11" s="13"/>
    </row>
    <row r="12" spans="1:11">
      <c r="A12" s="20" t="s">
        <v>17</v>
      </c>
      <c r="B12" s="13" t="s">
        <v>41</v>
      </c>
      <c r="C12" s="13" t="s">
        <v>44</v>
      </c>
      <c r="D12" s="13" t="str">
        <f>IFERROR(IF(INDEX('Form 1 - Município'!D2:D500, MATCH(B12&amp;C12, INDEX('Form 1 - Município'!B2:B500&amp;'Form 1 - Município'!C2:C500, 0), 0))="", "", INDEX('Form 1 - Município'!D2:D500, MATCH(B12&amp;C12, INDEX('Form 1 - Município'!B2:B500&amp;'Form 1 - Município'!C2:C500, 0), 0))), "")</f>
        <v>Hayana dos Santos Jaines</v>
      </c>
      <c r="E12" s="14" t="s">
        <v>105</v>
      </c>
      <c r="F12" s="13" t="s">
        <v>127</v>
      </c>
      <c r="G12" s="15" t="s">
        <v>107</v>
      </c>
      <c r="H12" s="13"/>
      <c r="I12" s="13"/>
      <c r="J12" s="13" t="s">
        <v>116</v>
      </c>
      <c r="K12" s="13"/>
    </row>
    <row r="13" spans="1:11">
      <c r="A13" s="20" t="s">
        <v>17</v>
      </c>
      <c r="B13" s="13" t="s">
        <v>41</v>
      </c>
      <c r="C13" s="13" t="s">
        <v>45</v>
      </c>
      <c r="D13" s="13" t="str">
        <f>IFERROR(IF(INDEX('Form 1 - Município'!D2:D500, MATCH(B13&amp;C13, INDEX('Form 1 - Município'!B2:B500&amp;'Form 1 - Município'!C2:C500, 0), 0))="", "", INDEX('Form 1 - Município'!D2:D500, MATCH(B13&amp;C13, INDEX('Form 1 - Município'!B2:B500&amp;'Form 1 - Município'!C2:C500, 0), 0))), "")</f>
        <v>Hayana dos Santos Jaines</v>
      </c>
      <c r="E13" s="14" t="s">
        <v>105</v>
      </c>
      <c r="F13" s="13" t="s">
        <v>203</v>
      </c>
      <c r="G13" s="15" t="s">
        <v>107</v>
      </c>
      <c r="H13" s="13"/>
      <c r="I13" s="13"/>
      <c r="J13" s="13" t="s">
        <v>116</v>
      </c>
      <c r="K13" s="13"/>
    </row>
    <row r="14" spans="1:11">
      <c r="A14" s="20" t="s">
        <v>17</v>
      </c>
      <c r="B14" s="13" t="s">
        <v>41</v>
      </c>
      <c r="C14" s="13" t="s">
        <v>46</v>
      </c>
      <c r="D14" s="13" t="str">
        <f>IFERROR(IF(INDEX('Form 1 - Município'!D2:D500, MATCH(B14&amp;C14, INDEX('Form 1 - Município'!B2:B500&amp;'Form 1 - Município'!C2:C500, 0), 0))="", "", INDEX('Form 1 - Município'!D2:D500, MATCH(B14&amp;C14, INDEX('Form 1 - Município'!B2:B500&amp;'Form 1 - Município'!C2:C500, 0), 0))), "")</f>
        <v>Hayana dos Santos Jaines</v>
      </c>
      <c r="E14" s="14" t="s">
        <v>105</v>
      </c>
      <c r="F14" s="13" t="s">
        <v>203</v>
      </c>
      <c r="G14" s="15" t="s">
        <v>107</v>
      </c>
      <c r="H14" s="13"/>
      <c r="I14" s="13"/>
      <c r="J14" s="13" t="s">
        <v>116</v>
      </c>
      <c r="K14" s="13"/>
    </row>
    <row r="15" spans="1:11">
      <c r="A15" s="20" t="s">
        <v>17</v>
      </c>
      <c r="B15" s="13" t="s">
        <v>47</v>
      </c>
      <c r="C15" s="13" t="s">
        <v>42</v>
      </c>
      <c r="D15" s="13" t="str">
        <f>IFERROR(IF(INDEX('Form 1 - Município'!D2:D500, MATCH(B15&amp;C15, INDEX('Form 1 - Município'!B2:B500&amp;'Form 1 - Município'!C2:C500, 0), 0))="", "", INDEX('Form 1 - Município'!D2:D500, MATCH(B15&amp;C15, INDEX('Form 1 - Município'!B2:B500&amp;'Form 1 - Município'!C2:C500, 0), 0))), "")</f>
        <v>Evellyn Renata Bereza Bueno</v>
      </c>
      <c r="E15" s="14" t="s">
        <v>105</v>
      </c>
      <c r="F15" s="13" t="s">
        <v>115</v>
      </c>
      <c r="G15" s="15" t="s">
        <v>107</v>
      </c>
      <c r="H15" s="13"/>
      <c r="I15" s="13"/>
      <c r="J15" s="13" t="s">
        <v>116</v>
      </c>
      <c r="K15" s="13"/>
    </row>
    <row r="16" spans="1:11">
      <c r="A16" s="17" t="s">
        <v>21</v>
      </c>
      <c r="B16" s="13" t="s">
        <v>55</v>
      </c>
      <c r="C16" s="13" t="s">
        <v>42</v>
      </c>
      <c r="D16" s="13" t="str">
        <f>IFERROR(IF(INDEX('Form 1 - Município'!D2:D500, MATCH(B16&amp;C16, INDEX('Form 1 - Município'!B2:B500&amp;'Form 1 - Município'!C2:C500, 0), 0))="", "", INDEX('Form 1 - Município'!D2:D500, MATCH(B16&amp;C16, INDEX('Form 1 - Município'!B2:B500&amp;'Form 1 - Município'!C2:C500, 0), 0))), "")</f>
        <v>Anandra da Silva</v>
      </c>
      <c r="E16" s="14" t="s">
        <v>105</v>
      </c>
      <c r="F16" s="13" t="s">
        <v>137</v>
      </c>
      <c r="G16" s="15" t="s">
        <v>107</v>
      </c>
      <c r="H16" s="13"/>
      <c r="I16" s="13"/>
      <c r="J16" s="13" t="s">
        <v>116</v>
      </c>
      <c r="K16" s="13"/>
    </row>
    <row r="17" spans="1:11">
      <c r="A17" s="20" t="s">
        <v>17</v>
      </c>
      <c r="B17" s="13" t="s">
        <v>48</v>
      </c>
      <c r="C17" s="13" t="s">
        <v>42</v>
      </c>
      <c r="D17" s="13" t="str">
        <f>IFERROR(IF(INDEX('Form 1 - Município'!D2:D500, MATCH(B17&amp;C17, INDEX('Form 1 - Município'!B2:B500&amp;'Form 1 - Município'!C2:C500, 0), 0))="", "", INDEX('Form 1 - Município'!D2:D500, MATCH(B17&amp;C17, INDEX('Form 1 - Município'!B2:B500&amp;'Form 1 - Município'!C2:C500, 0), 0))), "")</f>
        <v>Carlos Jorge de Oliveira Fernandes Moreira </v>
      </c>
      <c r="E17" s="14" t="s">
        <v>105</v>
      </c>
      <c r="F17" s="13" t="s">
        <v>142</v>
      </c>
      <c r="G17" s="15" t="s">
        <v>107</v>
      </c>
      <c r="H17" s="13"/>
      <c r="I17" s="13"/>
      <c r="J17" s="13" t="s">
        <v>116</v>
      </c>
      <c r="K17" s="13"/>
    </row>
    <row r="18" spans="1:11">
      <c r="A18" s="12" t="s">
        <v>33</v>
      </c>
      <c r="B18" s="13" t="s">
        <v>90</v>
      </c>
      <c r="C18" s="13" t="s">
        <v>42</v>
      </c>
      <c r="D18" s="13" t="str">
        <f>IFERROR(IF(INDEX('Form 1 - Município'!D2:D500, MATCH(B18&amp;C18, INDEX('Form 1 - Município'!B2:B500&amp;'Form 1 - Município'!C2:C500, 0), 0))="", "", INDEX('Form 1 - Município'!D2:D500, MATCH(B18&amp;C18, INDEX('Form 1 - Município'!B2:B500&amp;'Form 1 - Município'!C2:C500, 0), 0))), "")</f>
        <v>Jéssica da Silva Bortolozzo</v>
      </c>
      <c r="E18" s="14" t="s">
        <v>105</v>
      </c>
      <c r="F18" s="13" t="s">
        <v>137</v>
      </c>
      <c r="G18" s="15" t="s">
        <v>107</v>
      </c>
      <c r="H18" s="13" t="s">
        <v>218</v>
      </c>
      <c r="I18" s="13"/>
      <c r="J18" s="13" t="s">
        <v>116</v>
      </c>
      <c r="K18" s="13"/>
    </row>
    <row r="19" spans="1:11">
      <c r="A19" s="21" t="s">
        <v>28</v>
      </c>
      <c r="B19" s="13" t="s">
        <v>63</v>
      </c>
      <c r="C19" s="13" t="s">
        <v>42</v>
      </c>
      <c r="D19" s="13" t="str">
        <f>IFERROR(IF(INDEX('Form 1 - Município'!D2:D500, MATCH(B19&amp;C19, INDEX('Form 1 - Município'!B2:B500&amp;'Form 1 - Município'!C2:C500, 0), 0))="", "", INDEX('Form 1 - Município'!D2:D500, MATCH(B19&amp;C19, INDEX('Form 1 - Município'!B2:B500&amp;'Form 1 - Município'!C2:C500, 0), 0))), "")</f>
        <v>Tássia Castelli</v>
      </c>
      <c r="E19" s="14" t="s">
        <v>105</v>
      </c>
      <c r="F19" s="13" t="s">
        <v>219</v>
      </c>
      <c r="G19" s="22" t="s">
        <v>116</v>
      </c>
      <c r="H19" s="13"/>
      <c r="I19" s="13"/>
      <c r="J19" s="13" t="s">
        <v>116</v>
      </c>
      <c r="K19" s="13"/>
    </row>
    <row r="20" spans="1:11">
      <c r="A20" s="12" t="s">
        <v>33</v>
      </c>
      <c r="B20" s="13" t="s">
        <v>91</v>
      </c>
      <c r="C20" s="13" t="s">
        <v>42</v>
      </c>
      <c r="D20" s="13" t="str">
        <f>IFERROR(IF(INDEX('Form 1 - Município'!D2:D500, MATCH(B20&amp;C20, INDEX('Form 1 - Município'!B2:B500&amp;'Form 1 - Município'!C2:C500, 0), 0))="", "", INDEX('Form 1 - Município'!D2:D500, MATCH(B20&amp;C20, INDEX('Form 1 - Município'!B2:B500&amp;'Form 1 - Município'!C2:C500, 0), 0))), "")</f>
        <v>Bianca Monteiro</v>
      </c>
      <c r="E20" s="14" t="s">
        <v>105</v>
      </c>
      <c r="F20" s="13" t="s">
        <v>118</v>
      </c>
      <c r="G20" s="15" t="s">
        <v>107</v>
      </c>
      <c r="H20" s="13"/>
      <c r="I20" s="13"/>
      <c r="J20" s="13" t="s">
        <v>116</v>
      </c>
      <c r="K20" s="13"/>
    </row>
    <row r="21" spans="1:11">
      <c r="A21" s="17" t="s">
        <v>21</v>
      </c>
      <c r="B21" s="13" t="s">
        <v>56</v>
      </c>
      <c r="C21" s="13" t="s">
        <v>42</v>
      </c>
      <c r="D21" s="13" t="str">
        <f>IFERROR(IF(INDEX('Form 1 - Município'!D2:D500, MATCH(B21&amp;C21, INDEX('Form 1 - Município'!B2:B500&amp;'Form 1 - Município'!C2:C500, 0), 0))="", "", INDEX('Form 1 - Município'!D2:D500, MATCH(B21&amp;C21, INDEX('Form 1 - Município'!B2:B500&amp;'Form 1 - Município'!C2:C500, 0), 0))), "")</f>
        <v>Augusto Cesar Nunes</v>
      </c>
      <c r="E21" s="23" t="s">
        <v>5</v>
      </c>
      <c r="F21" s="13" t="s">
        <v>220</v>
      </c>
      <c r="G21" s="22" t="s">
        <v>116</v>
      </c>
      <c r="H21" s="13" t="s">
        <v>221</v>
      </c>
      <c r="I21" s="13"/>
      <c r="J21" s="13" t="s">
        <v>116</v>
      </c>
      <c r="K21" s="13"/>
    </row>
    <row r="22" spans="1:11">
      <c r="A22" s="17" t="s">
        <v>21</v>
      </c>
      <c r="B22" s="13" t="s">
        <v>21</v>
      </c>
      <c r="C22" s="13" t="s">
        <v>42</v>
      </c>
      <c r="D22" s="13" t="str">
        <f>IFERROR(IF(INDEX('Form 1 - Município'!D2:D500, MATCH(B22&amp;C22, INDEX('Form 1 - Município'!B2:B500&amp;'Form 1 - Município'!C2:C500, 0), 0))="", "", INDEX('Form 1 - Município'!D2:D500, MATCH(B22&amp;C22, INDEX('Form 1 - Município'!B2:B500&amp;'Form 1 - Município'!C2:C500, 0), 0))), "")</f>
        <v>Amanda Cristina Beal Acosta</v>
      </c>
      <c r="E22" s="23" t="s">
        <v>5</v>
      </c>
      <c r="F22" s="13" t="s">
        <v>222</v>
      </c>
      <c r="G22" s="22" t="s">
        <v>116</v>
      </c>
      <c r="H22" s="13"/>
      <c r="I22" s="13"/>
      <c r="J22" s="13" t="s">
        <v>116</v>
      </c>
      <c r="K22" s="13"/>
    </row>
    <row r="23" spans="1:11">
      <c r="A23" s="17" t="s">
        <v>21</v>
      </c>
      <c r="B23" s="13" t="s">
        <v>21</v>
      </c>
      <c r="C23" s="13" t="s">
        <v>43</v>
      </c>
      <c r="D23" s="13" t="str">
        <f>IFERROR(IF(INDEX('Form 1 - Município'!D2:D500, MATCH(B23&amp;C23, INDEX('Form 1 - Município'!B2:B500&amp;'Form 1 - Município'!C2:C500, 0), 0))="", "", INDEX('Form 1 - Município'!D2:D500, MATCH(B23&amp;C23, INDEX('Form 1 - Município'!B2:B500&amp;'Form 1 - Município'!C2:C500, 0), 0))), "")</f>
        <v>Amanda Cristina Beal Acosta</v>
      </c>
      <c r="E23" s="14" t="s">
        <v>105</v>
      </c>
      <c r="F23" s="13" t="s">
        <v>223</v>
      </c>
      <c r="G23" s="15" t="s">
        <v>107</v>
      </c>
      <c r="H23" s="13"/>
      <c r="I23" s="13"/>
      <c r="J23" s="13" t="s">
        <v>116</v>
      </c>
      <c r="K23" s="13"/>
    </row>
    <row r="24" spans="1:11">
      <c r="A24" s="17" t="s">
        <v>21</v>
      </c>
      <c r="B24" s="13" t="s">
        <v>21</v>
      </c>
      <c r="C24" s="13" t="s">
        <v>44</v>
      </c>
      <c r="D24" s="13" t="str">
        <f>IFERROR(IF(INDEX('Form 1 - Município'!D2:D500, MATCH(B24&amp;C24, INDEX('Form 1 - Município'!B2:B500&amp;'Form 1 - Município'!C2:C500, 0), 0))="", "", INDEX('Form 1 - Município'!D2:D500, MATCH(B24&amp;C24, INDEX('Form 1 - Município'!B2:B500&amp;'Form 1 - Município'!C2:C500, 0), 0))), "")</f>
        <v>Amanda Cristina Beal Acosta</v>
      </c>
      <c r="E24" s="14" t="s">
        <v>105</v>
      </c>
      <c r="F24" s="13" t="s">
        <v>224</v>
      </c>
      <c r="G24" s="15" t="s">
        <v>107</v>
      </c>
      <c r="H24" s="13"/>
      <c r="I24" s="13"/>
      <c r="J24" s="13" t="s">
        <v>116</v>
      </c>
      <c r="K24" s="13"/>
    </row>
    <row r="25" spans="1:11">
      <c r="A25" s="21" t="s">
        <v>28</v>
      </c>
      <c r="B25" s="13" t="s">
        <v>64</v>
      </c>
      <c r="C25" s="13" t="s">
        <v>42</v>
      </c>
      <c r="D25" s="13" t="str">
        <f>IFERROR(IF(INDEX('Form 1 - Município'!D2:D500, MATCH(B25&amp;C25, INDEX('Form 1 - Município'!B2:B500&amp;'Form 1 - Município'!C2:C500, 0), 0))="", "", INDEX('Form 1 - Município'!D2:D500, MATCH(B25&amp;C25, INDEX('Form 1 - Município'!B2:B500&amp;'Form 1 - Município'!C2:C500, 0), 0))), "")</f>
        <v>Marcos Alexandre Cordeiro Esmocoviski</v>
      </c>
      <c r="E25" s="14" t="s">
        <v>105</v>
      </c>
      <c r="F25" s="13" t="s">
        <v>135</v>
      </c>
      <c r="G25" s="15" t="s">
        <v>107</v>
      </c>
      <c r="H25" s="13" t="s">
        <v>225</v>
      </c>
      <c r="I25" s="13" t="s">
        <v>226</v>
      </c>
      <c r="J25" s="13" t="s">
        <v>107</v>
      </c>
      <c r="K25" s="13" t="s">
        <v>227</v>
      </c>
    </row>
    <row r="26" spans="1:11">
      <c r="A26" s="18" t="s">
        <v>29</v>
      </c>
      <c r="B26" s="13" t="s">
        <v>72</v>
      </c>
      <c r="C26" s="13" t="s">
        <v>42</v>
      </c>
      <c r="D26" s="13" t="str">
        <f>IFERROR(IF(INDEX('Form 1 - Município'!D2:D500, MATCH(B26&amp;C26, INDEX('Form 1 - Município'!B2:B500&amp;'Form 1 - Município'!C2:C500, 0), 0))="", "", INDEX('Form 1 - Município'!D2:D500, MATCH(B26&amp;C26, INDEX('Form 1 - Município'!B2:B500&amp;'Form 1 - Município'!C2:C500, 0), 0))), "")</f>
        <v>Rodrigo Lima</v>
      </c>
      <c r="E26" s="14" t="s">
        <v>105</v>
      </c>
      <c r="F26" s="13" t="s">
        <v>177</v>
      </c>
      <c r="G26" s="15" t="s">
        <v>107</v>
      </c>
      <c r="H26" s="13"/>
      <c r="I26" s="13"/>
      <c r="J26" s="13" t="s">
        <v>116</v>
      </c>
      <c r="K26" s="13"/>
    </row>
    <row r="27" spans="1:11">
      <c r="A27" s="18" t="s">
        <v>29</v>
      </c>
      <c r="B27" s="13" t="s">
        <v>73</v>
      </c>
      <c r="C27" s="13" t="s">
        <v>42</v>
      </c>
      <c r="D27" s="13" t="str">
        <f>IFERROR(IF(INDEX('Form 1 - Município'!D2:D500, MATCH(B27&amp;C27, INDEX('Form 1 - Município'!B2:B500&amp;'Form 1 - Município'!C2:C500, 0), 0))="", "", INDEX('Form 1 - Município'!D2:D500, MATCH(B27&amp;C27, INDEX('Form 1 - Município'!B2:B500&amp;'Form 1 - Município'!C2:C500, 0), 0))), "")</f>
        <v>Savana Lemes Rodrigues</v>
      </c>
      <c r="E27" s="14" t="s">
        <v>105</v>
      </c>
      <c r="F27" s="13" t="s">
        <v>156</v>
      </c>
      <c r="G27" s="15" t="s">
        <v>107</v>
      </c>
      <c r="H27" s="13"/>
      <c r="I27" s="13"/>
      <c r="J27" s="13" t="s">
        <v>116</v>
      </c>
      <c r="K27" s="13"/>
    </row>
    <row r="28" spans="1:11">
      <c r="A28" s="18" t="s">
        <v>29</v>
      </c>
      <c r="B28" s="13" t="s">
        <v>74</v>
      </c>
      <c r="C28" s="13" t="s">
        <v>42</v>
      </c>
      <c r="D28" s="13" t="str">
        <f>IFERROR(IF(INDEX('Form 1 - Município'!D2:D500, MATCH(B28&amp;C28, INDEX('Form 1 - Município'!B2:B500&amp;'Form 1 - Município'!C2:C500, 0), 0))="", "", INDEX('Form 1 - Município'!D2:D500, MATCH(B28&amp;C28, INDEX('Form 1 - Município'!B2:B500&amp;'Form 1 - Município'!C2:C500, 0), 0))), "")</f>
        <v>Letícia Diniz</v>
      </c>
      <c r="E28" s="14" t="s">
        <v>105</v>
      </c>
      <c r="F28" s="13" t="s">
        <v>118</v>
      </c>
      <c r="G28" s="15" t="s">
        <v>107</v>
      </c>
      <c r="H28" s="13" t="s">
        <v>228</v>
      </c>
      <c r="I28" s="13" t="s">
        <v>229</v>
      </c>
      <c r="J28" s="13" t="s">
        <v>107</v>
      </c>
      <c r="K28" s="13" t="s">
        <v>230</v>
      </c>
    </row>
    <row r="29" spans="1:11">
      <c r="A29" s="16" t="s">
        <v>31</v>
      </c>
      <c r="B29" s="13" t="s">
        <v>81</v>
      </c>
      <c r="C29" s="13" t="s">
        <v>42</v>
      </c>
      <c r="D29" s="13" t="str">
        <f>IFERROR(IF(INDEX('Form 1 - Município'!D2:D500, MATCH(B29&amp;C29, INDEX('Form 1 - Município'!B2:B500&amp;'Form 1 - Município'!C2:C500, 0), 0))="", "", INDEX('Form 1 - Município'!D2:D500, MATCH(B29&amp;C29, INDEX('Form 1 - Município'!B2:B500&amp;'Form 1 - Município'!C2:C500, 0), 0))), "")</f>
        <v>Tais Muller</v>
      </c>
      <c r="E29" s="14" t="s">
        <v>105</v>
      </c>
      <c r="F29" s="13" t="s">
        <v>118</v>
      </c>
      <c r="G29" s="15" t="s">
        <v>107</v>
      </c>
      <c r="H29" s="13"/>
      <c r="I29" s="13"/>
      <c r="J29" s="13" t="s">
        <v>116</v>
      </c>
      <c r="K29" s="13"/>
    </row>
    <row r="30" spans="1:11">
      <c r="A30" s="16" t="s">
        <v>31</v>
      </c>
      <c r="B30" s="13" t="s">
        <v>82</v>
      </c>
      <c r="C30" s="13" t="s">
        <v>42</v>
      </c>
      <c r="D30" s="13" t="str">
        <f>IFERROR(IF(INDEX('Form 1 - Município'!D2:D500, MATCH(B30&amp;C30, INDEX('Form 1 - Município'!B2:B500&amp;'Form 1 - Município'!C2:C500, 0), 0))="", "", INDEX('Form 1 - Município'!D2:D500, MATCH(B30&amp;C30, INDEX('Form 1 - Município'!B2:B500&amp;'Form 1 - Município'!C2:C500, 0), 0))), "")</f>
        <v>Fernando Henrique Ferreira</v>
      </c>
      <c r="E30" s="14" t="s">
        <v>105</v>
      </c>
      <c r="F30" s="13" t="s">
        <v>118</v>
      </c>
      <c r="G30" s="15" t="s">
        <v>107</v>
      </c>
      <c r="H30" s="13"/>
      <c r="I30" s="13"/>
      <c r="J30" s="13" t="s">
        <v>116</v>
      </c>
      <c r="K30" s="13"/>
    </row>
    <row r="31" spans="1:11">
      <c r="A31" s="20" t="s">
        <v>17</v>
      </c>
      <c r="B31" s="13" t="s">
        <v>49</v>
      </c>
      <c r="C31" s="13" t="s">
        <v>42</v>
      </c>
      <c r="D31" s="13" t="str">
        <f>IFERROR(IF(INDEX('Form 1 - Município'!D2:D500, MATCH(B31&amp;C31, INDEX('Form 1 - Município'!B2:B500&amp;'Form 1 - Município'!C2:C500, 0), 0))="", "", INDEX('Form 1 - Município'!D2:D500, MATCH(B31&amp;C31, INDEX('Form 1 - Município'!B2:B500&amp;'Form 1 - Município'!C2:C500, 0), 0))), "")</f>
        <v>Isadora Bussmann Barsotti</v>
      </c>
      <c r="E31" s="14" t="s">
        <v>105</v>
      </c>
      <c r="F31" s="13" t="s">
        <v>127</v>
      </c>
      <c r="G31" s="15" t="s">
        <v>107</v>
      </c>
      <c r="H31" s="13"/>
      <c r="I31" s="13"/>
      <c r="J31" s="13" t="s">
        <v>116</v>
      </c>
      <c r="K31" s="13"/>
    </row>
    <row r="32" spans="1:11">
      <c r="A32" s="21" t="s">
        <v>28</v>
      </c>
      <c r="B32" s="13" t="s">
        <v>65</v>
      </c>
      <c r="C32" s="13" t="s">
        <v>42</v>
      </c>
      <c r="D32" s="13" t="str">
        <f>IFERROR(IF(INDEX('Form 1 - Município'!D2:D500, MATCH(B32&amp;C32, INDEX('Form 1 - Município'!B2:B500&amp;'Form 1 - Município'!C2:C500, 0), 0))="", "", INDEX('Form 1 - Município'!D2:D500, MATCH(B32&amp;C32, INDEX('Form 1 - Município'!B2:B500&amp;'Form 1 - Município'!C2:C500, 0), 0))), "")</f>
        <v>Osair Wrublak</v>
      </c>
      <c r="E32" s="14" t="s">
        <v>105</v>
      </c>
      <c r="F32" s="13" t="s">
        <v>217</v>
      </c>
      <c r="G32" s="15" t="s">
        <v>107</v>
      </c>
      <c r="H32" s="13"/>
      <c r="I32" s="13"/>
      <c r="J32" s="13" t="s">
        <v>116</v>
      </c>
      <c r="K32" s="13"/>
    </row>
    <row r="33" spans="1:11">
      <c r="A33" s="16" t="s">
        <v>31</v>
      </c>
      <c r="B33" s="13" t="s">
        <v>83</v>
      </c>
      <c r="C33" s="13" t="s">
        <v>42</v>
      </c>
      <c r="D33" s="13" t="str">
        <f>IFERROR(IF(INDEX('Form 1 - Município'!D2:D500, MATCH(B33&amp;C33, INDEX('Form 1 - Município'!B2:B500&amp;'Form 1 - Município'!C2:C500, 0), 0))="", "", INDEX('Form 1 - Município'!D2:D500, MATCH(B33&amp;C33, INDEX('Form 1 - Município'!B2:B500&amp;'Form 1 - Município'!C2:C500, 0), 0))), "")</f>
        <v>Gislaine Souza Rosa</v>
      </c>
      <c r="E33" s="14" t="s">
        <v>105</v>
      </c>
      <c r="F33" s="13" t="s">
        <v>137</v>
      </c>
      <c r="G33" s="15" t="s">
        <v>107</v>
      </c>
      <c r="H33" s="13"/>
      <c r="I33" s="13"/>
      <c r="J33" s="13" t="s">
        <v>116</v>
      </c>
      <c r="K33" s="13"/>
    </row>
    <row r="34" spans="1:11">
      <c r="A34" s="16" t="s">
        <v>31</v>
      </c>
      <c r="B34" s="13" t="s">
        <v>84</v>
      </c>
      <c r="C34" s="13" t="s">
        <v>42</v>
      </c>
      <c r="D34" s="13" t="str">
        <f>IFERROR(IF(INDEX('Form 1 - Município'!D2:D500, MATCH(B34&amp;C34, INDEX('Form 1 - Município'!B2:B500&amp;'Form 1 - Município'!C2:C500, 0), 0))="", "", INDEX('Form 1 - Município'!D2:D500, MATCH(B34&amp;C34, INDEX('Form 1 - Município'!B2:B500&amp;'Form 1 - Município'!C2:C500, 0), 0))), "")</f>
        <v>Leticia Framesche</v>
      </c>
      <c r="E34" s="14" t="s">
        <v>105</v>
      </c>
      <c r="F34" s="13" t="s">
        <v>163</v>
      </c>
      <c r="G34" s="15" t="s">
        <v>107</v>
      </c>
      <c r="H34" s="13" t="s">
        <v>231</v>
      </c>
      <c r="I34" s="13" t="s">
        <v>232</v>
      </c>
      <c r="J34" s="13" t="s">
        <v>107</v>
      </c>
      <c r="K34" s="13" t="s">
        <v>233</v>
      </c>
    </row>
    <row r="35" spans="1:11">
      <c r="A35" s="17" t="s">
        <v>21</v>
      </c>
      <c r="B35" s="13" t="s">
        <v>57</v>
      </c>
      <c r="C35" s="13" t="s">
        <v>42</v>
      </c>
      <c r="D35" s="13" t="str">
        <f>IFERROR(IF(INDEX('Form 1 - Município'!D2:D500, MATCH(B35&amp;C35, INDEX('Form 1 - Município'!B2:B500&amp;'Form 1 - Município'!C2:C500, 0), 0))="", "", INDEX('Form 1 - Município'!D2:D500, MATCH(B35&amp;C35, INDEX('Form 1 - Município'!B2:B500&amp;'Form 1 - Município'!C2:C500, 0), 0))), "")</f>
        <v>Suzana Gotardo de Meira</v>
      </c>
      <c r="E35" s="14" t="s">
        <v>105</v>
      </c>
      <c r="F35" s="13" t="s">
        <v>142</v>
      </c>
      <c r="G35" s="15" t="s">
        <v>107</v>
      </c>
      <c r="H35" s="13"/>
      <c r="I35" s="13"/>
      <c r="J35" s="13" t="s">
        <v>116</v>
      </c>
      <c r="K35" s="13"/>
    </row>
    <row r="36" spans="1:11">
      <c r="A36" s="19" t="s">
        <v>25</v>
      </c>
      <c r="B36" s="13" t="s">
        <v>61</v>
      </c>
      <c r="C36" s="13" t="s">
        <v>42</v>
      </c>
      <c r="D36" s="13" t="str">
        <f>IFERROR(IF(INDEX('Form 1 - Município'!D2:D500, MATCH(B36&amp;C36, INDEX('Form 1 - Município'!B2:B500&amp;'Form 1 - Município'!C2:C500, 0), 0))="", "", INDEX('Form 1 - Município'!D2:D500, MATCH(B36&amp;C36, INDEX('Form 1 - Município'!B2:B500&amp;'Form 1 - Município'!C2:C500, 0), 0))), "")</f>
        <v>Vinicius Patriota dos Santos</v>
      </c>
      <c r="E36" s="14" t="s">
        <v>105</v>
      </c>
      <c r="F36" s="13" t="s">
        <v>210</v>
      </c>
      <c r="G36" s="15" t="s">
        <v>107</v>
      </c>
      <c r="H36" s="13" t="s">
        <v>234</v>
      </c>
      <c r="I36" s="13" t="s">
        <v>235</v>
      </c>
      <c r="J36" s="13" t="s">
        <v>107</v>
      </c>
      <c r="K36" s="13" t="s">
        <v>236</v>
      </c>
    </row>
    <row r="37" spans="1:11">
      <c r="A37" s="19" t="s">
        <v>25</v>
      </c>
      <c r="B37" s="13" t="s">
        <v>62</v>
      </c>
      <c r="C37" s="13" t="s">
        <v>42</v>
      </c>
      <c r="D37" s="13" t="str">
        <f>IFERROR(IF(INDEX('Form 1 - Município'!D2:D500, MATCH(B37&amp;C37, INDEX('Form 1 - Município'!B2:B500&amp;'Form 1 - Município'!C2:C500, 0), 0))="", "", INDEX('Form 1 - Município'!D2:D500, MATCH(B37&amp;C37, INDEX('Form 1 - Município'!B2:B500&amp;'Form 1 - Município'!C2:C500, 0), 0))), "")</f>
        <v>Patricia Teixeira dos Santos</v>
      </c>
      <c r="E37" s="14" t="s">
        <v>105</v>
      </c>
      <c r="F37" s="13" t="s">
        <v>137</v>
      </c>
      <c r="G37" s="15" t="s">
        <v>107</v>
      </c>
      <c r="H37" s="13"/>
      <c r="I37" s="13"/>
      <c r="J37" s="13" t="s">
        <v>116</v>
      </c>
      <c r="K37" s="13"/>
    </row>
    <row r="38" spans="1:11">
      <c r="A38" s="18" t="s">
        <v>29</v>
      </c>
      <c r="B38" s="13" t="s">
        <v>75</v>
      </c>
      <c r="C38" s="13" t="s">
        <v>42</v>
      </c>
      <c r="D38" s="13" t="str">
        <f>IFERROR(IF(INDEX('Form 1 - Município'!D2:D500, MATCH(B38&amp;C38, INDEX('Form 1 - Município'!B2:B500&amp;'Form 1 - Município'!C2:C500, 0), 0))="", "", INDEX('Form 1 - Município'!D2:D500, MATCH(B38&amp;C38, INDEX('Form 1 - Município'!B2:B500&amp;'Form 1 - Município'!C2:C500, 0), 0))), "")</f>
        <v>Anderson Batista Siqueira</v>
      </c>
      <c r="E38" s="14" t="s">
        <v>105</v>
      </c>
      <c r="F38" s="13" t="s">
        <v>199</v>
      </c>
      <c r="G38" s="15" t="s">
        <v>107</v>
      </c>
      <c r="H38" s="13"/>
      <c r="I38" s="13"/>
      <c r="J38" s="13" t="s">
        <v>116</v>
      </c>
      <c r="K38" s="13"/>
    </row>
    <row r="39" spans="1:11">
      <c r="A39" s="21" t="s">
        <v>28</v>
      </c>
      <c r="B39" s="13" t="s">
        <v>66</v>
      </c>
      <c r="C39" s="13" t="s">
        <v>42</v>
      </c>
      <c r="D39" s="13" t="str">
        <f>IFERROR(IF(INDEX('Form 1 - Município'!D2:D500, MATCH(B39&amp;C39, INDEX('Form 1 - Município'!B2:B500&amp;'Form 1 - Município'!C2:C500, 0), 0))="", "", INDEX('Form 1 - Município'!D2:D500, MATCH(B39&amp;C39, INDEX('Form 1 - Município'!B2:B500&amp;'Form 1 - Município'!C2:C500, 0), 0))), "")</f>
        <v>Aramis Vinicius de Paula Oliveira</v>
      </c>
      <c r="E39" s="23" t="s">
        <v>5</v>
      </c>
      <c r="F39" s="13" t="s">
        <v>237</v>
      </c>
      <c r="G39" s="15" t="s">
        <v>107</v>
      </c>
      <c r="H39" s="13"/>
      <c r="I39" s="13"/>
      <c r="J39" s="13" t="s">
        <v>116</v>
      </c>
      <c r="K39" s="13"/>
    </row>
    <row r="40" spans="1:11">
      <c r="A40" s="12" t="s">
        <v>33</v>
      </c>
      <c r="B40" s="13" t="s">
        <v>92</v>
      </c>
      <c r="C40" s="13" t="s">
        <v>42</v>
      </c>
      <c r="D40" s="13" t="str">
        <f>IFERROR(IF(INDEX('Form 1 - Município'!D2:D500, MATCH(B40&amp;C40, INDEX('Form 1 - Município'!B2:B500&amp;'Form 1 - Município'!C2:C500, 0), 0))="", "", INDEX('Form 1 - Município'!D2:D500, MATCH(B40&amp;C40, INDEX('Form 1 - Município'!B2:B500&amp;'Form 1 - Município'!C2:C500, 0), 0))), "")</f>
        <v>Juliane Gonçalves</v>
      </c>
      <c r="E40" s="14" t="s">
        <v>105</v>
      </c>
      <c r="F40" s="13" t="s">
        <v>217</v>
      </c>
      <c r="G40" s="15" t="s">
        <v>107</v>
      </c>
      <c r="H40" s="13" t="s">
        <v>238</v>
      </c>
      <c r="I40" s="13"/>
      <c r="J40" s="13" t="s">
        <v>116</v>
      </c>
      <c r="K40" s="13"/>
    </row>
    <row r="41" spans="1:11">
      <c r="A41" s="16" t="s">
        <v>31</v>
      </c>
      <c r="B41" s="13" t="s">
        <v>85</v>
      </c>
      <c r="C41" s="13" t="s">
        <v>42</v>
      </c>
      <c r="D41" s="13" t="str">
        <f>IFERROR(IF(INDEX('Form 1 - Município'!D2:D500, MATCH(B41&amp;C41, INDEX('Form 1 - Município'!B2:B500&amp;'Form 1 - Município'!C2:C500, 0), 0))="", "", INDEX('Form 1 - Município'!D2:D500, MATCH(B41&amp;C41, INDEX('Form 1 - Município'!B2:B500&amp;'Form 1 - Município'!C2:C500, 0), 0))), "")</f>
        <v>Gustavo Henrique de Andrade</v>
      </c>
      <c r="E41" s="14" t="s">
        <v>105</v>
      </c>
      <c r="F41" s="13" t="s">
        <v>239</v>
      </c>
      <c r="G41" s="15" t="s">
        <v>107</v>
      </c>
      <c r="H41" s="13" t="s">
        <v>240</v>
      </c>
      <c r="I41" s="13" t="s">
        <v>241</v>
      </c>
      <c r="J41" s="13" t="s">
        <v>107</v>
      </c>
      <c r="K41" s="13" t="s">
        <v>242</v>
      </c>
    </row>
    <row r="42" spans="1:11">
      <c r="A42" s="21" t="s">
        <v>28</v>
      </c>
      <c r="B42" s="13" t="s">
        <v>67</v>
      </c>
      <c r="C42" s="13" t="s">
        <v>42</v>
      </c>
      <c r="D42" s="13" t="str">
        <f>IFERROR(IF(INDEX('Form 1 - Município'!D2:D500, MATCH(B42&amp;C42, INDEX('Form 1 - Município'!B2:B500&amp;'Form 1 - Município'!C2:C500, 0), 0))="", "", INDEX('Form 1 - Município'!D2:D500, MATCH(B42&amp;C42, INDEX('Form 1 - Município'!B2:B500&amp;'Form 1 - Município'!C2:C500, 0), 0))), "")</f>
        <v>Ricardo Pyc</v>
      </c>
      <c r="E42" s="14" t="s">
        <v>105</v>
      </c>
      <c r="F42" s="13" t="s">
        <v>137</v>
      </c>
      <c r="G42" s="15" t="s">
        <v>107</v>
      </c>
      <c r="H42" s="13"/>
      <c r="I42" s="13"/>
      <c r="J42" s="13" t="s">
        <v>116</v>
      </c>
      <c r="K42" s="13"/>
    </row>
    <row r="43" spans="1:11">
      <c r="A43" s="17" t="s">
        <v>21</v>
      </c>
      <c r="B43" s="13" t="s">
        <v>58</v>
      </c>
      <c r="C43" s="13" t="s">
        <v>42</v>
      </c>
      <c r="D43" s="13" t="str">
        <f>IFERROR(IF(INDEX('Form 1 - Município'!D2:D500, MATCH(B43&amp;C43, INDEX('Form 1 - Município'!B2:B500&amp;'Form 1 - Município'!C2:C500, 0), 0))="", "", INDEX('Form 1 - Município'!D2:D500, MATCH(B43&amp;C43, INDEX('Form 1 - Município'!B2:B500&amp;'Form 1 - Município'!C2:C500, 0), 0))), "")</f>
        <v>Camila Maytana Flores da Silva</v>
      </c>
      <c r="E43" s="14" t="s">
        <v>105</v>
      </c>
      <c r="F43" s="13" t="s">
        <v>127</v>
      </c>
      <c r="G43" s="15" t="s">
        <v>107</v>
      </c>
      <c r="H43" s="13"/>
      <c r="I43" s="13"/>
      <c r="J43" s="13" t="s">
        <v>116</v>
      </c>
      <c r="K43" s="13"/>
    </row>
    <row r="44" spans="1:11">
      <c r="A44" s="21" t="s">
        <v>28</v>
      </c>
      <c r="B44" s="13" t="s">
        <v>68</v>
      </c>
      <c r="C44" s="13" t="s">
        <v>42</v>
      </c>
      <c r="D44" s="13" t="str">
        <f>IFERROR(IF(INDEX('Form 1 - Município'!D2:D500, MATCH(B44&amp;C44, INDEX('Form 1 - Município'!B2:B500&amp;'Form 1 - Município'!C2:C500, 0), 0))="", "", INDEX('Form 1 - Município'!D2:D500, MATCH(B44&amp;C44, INDEX('Form 1 - Município'!B2:B500&amp;'Form 1 - Município'!C2:C500, 0), 0))), "")</f>
        <v>Claudiana Andria</v>
      </c>
      <c r="E44" s="14" t="s">
        <v>105</v>
      </c>
      <c r="F44" s="13" t="s">
        <v>151</v>
      </c>
      <c r="G44" s="15" t="s">
        <v>107</v>
      </c>
      <c r="H44" s="13"/>
      <c r="I44" s="13"/>
      <c r="J44" s="13" t="s">
        <v>116</v>
      </c>
      <c r="K44" s="13"/>
    </row>
    <row r="45" spans="1:11">
      <c r="A45" s="18" t="s">
        <v>29</v>
      </c>
      <c r="B45" s="13" t="s">
        <v>76</v>
      </c>
      <c r="C45" s="13" t="s">
        <v>42</v>
      </c>
      <c r="D45" s="13" t="str">
        <f>IFERROR(IF(INDEX('Form 1 - Município'!D2:D500, MATCH(B45&amp;C45, INDEX('Form 1 - Município'!B2:B500&amp;'Form 1 - Município'!C2:C500, 0), 0))="", "", INDEX('Form 1 - Município'!D2:D500, MATCH(B45&amp;C45, INDEX('Form 1 - Município'!B2:B500&amp;'Form 1 - Município'!C2:C500, 0), 0))), "")</f>
        <v>Daiana Aparecida Dias</v>
      </c>
      <c r="E45" s="14" t="s">
        <v>105</v>
      </c>
      <c r="F45" s="13" t="s">
        <v>137</v>
      </c>
      <c r="G45" s="15" t="s">
        <v>107</v>
      </c>
      <c r="H45" s="13"/>
      <c r="I45" s="13"/>
      <c r="J45" s="13" t="s">
        <v>116</v>
      </c>
      <c r="K45" s="13"/>
    </row>
    <row r="46" spans="1:11">
      <c r="A46" s="20" t="s">
        <v>17</v>
      </c>
      <c r="B46" s="13" t="s">
        <v>50</v>
      </c>
      <c r="C46" s="13" t="s">
        <v>42</v>
      </c>
      <c r="D46" s="13" t="str">
        <f>IFERROR(IF(INDEX('Form 1 - Município'!D2:D500, MATCH(B46&amp;C46, INDEX('Form 1 - Município'!B2:B500&amp;'Form 1 - Município'!C2:C500, 0), 0))="", "", INDEX('Form 1 - Município'!D2:D500, MATCH(B46&amp;C46, INDEX('Form 1 - Município'!B2:B500&amp;'Form 1 - Município'!C2:C500, 0), 0))), "")</f>
        <v>Maysa Fernanda Back</v>
      </c>
      <c r="E46" s="14" t="s">
        <v>105</v>
      </c>
      <c r="F46" s="13" t="s">
        <v>243</v>
      </c>
      <c r="G46" s="15" t="s">
        <v>107</v>
      </c>
      <c r="H46" s="13"/>
      <c r="I46" s="13"/>
      <c r="J46" s="13" t="s">
        <v>116</v>
      </c>
      <c r="K46" s="13"/>
    </row>
    <row r="47" spans="1:11">
      <c r="A47" s="20" t="s">
        <v>17</v>
      </c>
      <c r="B47" s="13" t="s">
        <v>50</v>
      </c>
      <c r="C47" s="13" t="s">
        <v>43</v>
      </c>
      <c r="D47" s="13" t="str">
        <f>IFERROR(IF(INDEX('Form 1 - Município'!D2:D500, MATCH(B47&amp;C47, INDEX('Form 1 - Município'!B2:B500&amp;'Form 1 - Município'!C2:C500, 0), 0))="", "", INDEX('Form 1 - Município'!D2:D500, MATCH(B47&amp;C47, INDEX('Form 1 - Município'!B2:B500&amp;'Form 1 - Município'!C2:C500, 0), 0))), "")</f>
        <v>Maysa Fernanda Back</v>
      </c>
      <c r="E47" s="14" t="s">
        <v>105</v>
      </c>
      <c r="F47" s="13" t="s">
        <v>210</v>
      </c>
      <c r="G47" s="15" t="s">
        <v>107</v>
      </c>
      <c r="H47" s="13"/>
      <c r="I47" s="13"/>
      <c r="J47" s="13" t="s">
        <v>116</v>
      </c>
      <c r="K47" s="13"/>
    </row>
    <row r="48" spans="1:11">
      <c r="A48" s="20" t="s">
        <v>17</v>
      </c>
      <c r="B48" s="13" t="s">
        <v>51</v>
      </c>
      <c r="C48" s="13" t="s">
        <v>42</v>
      </c>
      <c r="D48" s="13" t="str">
        <f>IFERROR(IF(INDEX('Form 1 - Município'!D2:D500, MATCH(B48&amp;C48, INDEX('Form 1 - Município'!B2:B500&amp;'Form 1 - Município'!C2:C500, 0), 0))="", "", INDEX('Form 1 - Município'!D2:D500, MATCH(B48&amp;C48, INDEX('Form 1 - Município'!B2:B500&amp;'Form 1 - Município'!C2:C500, 0), 0))), "")</f>
        <v>Jean Eriksen de Miranda</v>
      </c>
      <c r="E48" s="14" t="s">
        <v>105</v>
      </c>
      <c r="F48" s="13" t="s">
        <v>137</v>
      </c>
      <c r="G48" s="15" t="s">
        <v>107</v>
      </c>
      <c r="H48" s="13"/>
      <c r="I48" s="13"/>
      <c r="J48" s="13" t="s">
        <v>116</v>
      </c>
      <c r="K48" s="13"/>
    </row>
    <row r="49" spans="1:11">
      <c r="A49" s="17" t="s">
        <v>21</v>
      </c>
      <c r="B49" s="13" t="s">
        <v>59</v>
      </c>
      <c r="C49" s="13" t="s">
        <v>42</v>
      </c>
      <c r="D49" s="13" t="str">
        <f>IFERROR(IF(INDEX('Form 1 - Município'!D2:D500, MATCH(B49&amp;C49, INDEX('Form 1 - Município'!B2:B500&amp;'Form 1 - Município'!C2:C500, 0), 0))="", "", INDEX('Form 1 - Município'!D2:D500, MATCH(B49&amp;C49, INDEX('Form 1 - Município'!B2:B500&amp;'Form 1 - Município'!C2:C500, 0), 0))), "")</f>
        <v>Ana Paula Cigolini</v>
      </c>
      <c r="E49" s="14" t="s">
        <v>105</v>
      </c>
      <c r="F49" s="13" t="s">
        <v>127</v>
      </c>
      <c r="G49" s="15" t="s">
        <v>107</v>
      </c>
      <c r="H49" s="13"/>
      <c r="I49" s="13"/>
      <c r="J49" s="13" t="s">
        <v>116</v>
      </c>
      <c r="K49" s="13"/>
    </row>
    <row r="50" spans="1:11">
      <c r="A50" s="21" t="s">
        <v>28</v>
      </c>
      <c r="B50" s="13" t="s">
        <v>69</v>
      </c>
      <c r="C50" s="13" t="s">
        <v>42</v>
      </c>
      <c r="D50" s="13" t="str">
        <f>IFERROR(IF(INDEX('Form 1 - Município'!D2:D500, MATCH(B50&amp;C50, INDEX('Form 1 - Município'!B2:B500&amp;'Form 1 - Município'!C2:C500, 0), 0))="", "", INDEX('Form 1 - Município'!D2:D500, MATCH(B50&amp;C50, INDEX('Form 1 - Município'!B2:B500&amp;'Form 1 - Município'!C2:C500, 0), 0))), "")</f>
        <v>Vilmar Ribeiro</v>
      </c>
      <c r="E50" s="14" t="s">
        <v>105</v>
      </c>
      <c r="F50" s="13" t="s">
        <v>244</v>
      </c>
      <c r="G50" s="15" t="s">
        <v>107</v>
      </c>
      <c r="H50" s="13" t="s">
        <v>245</v>
      </c>
      <c r="I50" s="24" t="s">
        <v>246</v>
      </c>
      <c r="J50" s="13" t="s">
        <v>107</v>
      </c>
      <c r="K50" s="13" t="s">
        <v>247</v>
      </c>
    </row>
    <row r="51" spans="1:11">
      <c r="A51" s="18" t="s">
        <v>29</v>
      </c>
      <c r="B51" s="13" t="s">
        <v>77</v>
      </c>
      <c r="C51" s="13" t="s">
        <v>42</v>
      </c>
      <c r="D51" s="13" t="str">
        <f>IFERROR(IF(INDEX('Form 1 - Município'!D2:D500, MATCH(B51&amp;C51, INDEX('Form 1 - Município'!B2:B500&amp;'Form 1 - Município'!C2:C500, 0), 0))="", "", INDEX('Form 1 - Município'!D2:D500, MATCH(B51&amp;C51, INDEX('Form 1 - Município'!B2:B500&amp;'Form 1 - Município'!C2:C500, 0), 0))), "")</f>
        <v>Ana Carolina Bertolaccini</v>
      </c>
      <c r="E51" s="14" t="s">
        <v>105</v>
      </c>
      <c r="F51" s="13" t="s">
        <v>137</v>
      </c>
      <c r="G51" s="15" t="s">
        <v>107</v>
      </c>
      <c r="H51" s="13"/>
      <c r="I51" s="13"/>
      <c r="J51" s="13" t="s">
        <v>116</v>
      </c>
      <c r="K51" s="13"/>
    </row>
    <row r="52" spans="1:11">
      <c r="A52" s="12" t="s">
        <v>33</v>
      </c>
      <c r="B52" s="13" t="s">
        <v>93</v>
      </c>
      <c r="C52" s="13" t="s">
        <v>42</v>
      </c>
      <c r="D52" s="13" t="str">
        <f>IFERROR(IF(INDEX('Form 1 - Município'!D2:D500, MATCH(B52&amp;C52, INDEX('Form 1 - Município'!B2:B500&amp;'Form 1 - Município'!C2:C500, 0), 0))="", "", INDEX('Form 1 - Município'!D2:D500, MATCH(B52&amp;C52, INDEX('Form 1 - Município'!B2:B500&amp;'Form 1 - Município'!C2:C500, 0), 0))), "")</f>
        <v>Maristela da Silva de Oliveira Melo</v>
      </c>
      <c r="E52" s="14" t="s">
        <v>105</v>
      </c>
      <c r="F52" s="13" t="s">
        <v>199</v>
      </c>
      <c r="G52" s="15" t="s">
        <v>107</v>
      </c>
      <c r="H52" s="13" t="s">
        <v>238</v>
      </c>
      <c r="I52" s="13"/>
      <c r="J52" s="13" t="s">
        <v>116</v>
      </c>
      <c r="K52" s="13"/>
    </row>
    <row r="53" spans="1:11">
      <c r="A53" s="18" t="s">
        <v>29</v>
      </c>
      <c r="B53" s="13" t="s">
        <v>78</v>
      </c>
      <c r="C53" s="13" t="s">
        <v>42</v>
      </c>
      <c r="D53" s="13" t="str">
        <f>IFERROR(IF(INDEX('Form 1 - Município'!D2:D500, MATCH(B53&amp;C53, INDEX('Form 1 - Município'!B2:B500&amp;'Form 1 - Município'!C2:C500, 0), 0))="", "", INDEX('Form 1 - Município'!D2:D500, MATCH(B53&amp;C53, INDEX('Form 1 - Município'!B2:B500&amp;'Form 1 - Município'!C2:C500, 0), 0))), "")</f>
        <v>Yuri Luiz de Oliveira</v>
      </c>
      <c r="E53" s="14" t="s">
        <v>105</v>
      </c>
      <c r="F53" s="13" t="s">
        <v>135</v>
      </c>
      <c r="G53" s="15" t="s">
        <v>107</v>
      </c>
      <c r="H53" s="13"/>
      <c r="I53" s="13"/>
      <c r="J53" s="13" t="s">
        <v>116</v>
      </c>
      <c r="K53" s="13"/>
    </row>
    <row r="54" spans="1:11">
      <c r="A54" s="21" t="s">
        <v>28</v>
      </c>
      <c r="B54" s="13" t="s">
        <v>70</v>
      </c>
      <c r="C54" s="13" t="s">
        <v>42</v>
      </c>
      <c r="D54" s="13" t="str">
        <f>IFERROR(IF(INDEX('Form 1 - Município'!D2:D500, MATCH(B54&amp;C54, INDEX('Form 1 - Município'!B2:B500&amp;'Form 1 - Município'!C2:C500, 0), 0))="", "", INDEX('Form 1 - Município'!D2:D500, MATCH(B54&amp;C54, INDEX('Form 1 - Município'!B2:B500&amp;'Form 1 - Município'!C2:C500, 0), 0))), "")</f>
        <v/>
      </c>
      <c r="E54" s="25" t="s">
        <v>4</v>
      </c>
      <c r="F54" s="13"/>
      <c r="G54" s="22" t="s">
        <v>116</v>
      </c>
      <c r="H54" s="13"/>
      <c r="I54" s="13"/>
      <c r="J54" s="13" t="s">
        <v>116</v>
      </c>
      <c r="K54" s="13"/>
    </row>
    <row r="55" spans="1:11">
      <c r="A55" s="12" t="s">
        <v>33</v>
      </c>
      <c r="B55" s="13" t="s">
        <v>94</v>
      </c>
      <c r="C55" s="13" t="s">
        <v>42</v>
      </c>
      <c r="D55" s="13" t="str">
        <f>IFERROR(IF(INDEX('Form 1 - Município'!D2:D500, MATCH(B55&amp;C55, INDEX('Form 1 - Município'!B2:B500&amp;'Form 1 - Município'!C2:C500, 0), 0))="", "", INDEX('Form 1 - Município'!D2:D500, MATCH(B55&amp;C55, INDEX('Form 1 - Município'!B2:B500&amp;'Form 1 - Município'!C2:C500, 0), 0))), "")</f>
        <v>Eliane Stefani Dantas Dias</v>
      </c>
      <c r="E55" s="14" t="s">
        <v>105</v>
      </c>
      <c r="F55" s="13" t="s">
        <v>199</v>
      </c>
      <c r="G55" s="15" t="s">
        <v>107</v>
      </c>
      <c r="H55" s="13"/>
      <c r="I55" s="13" t="s">
        <v>248</v>
      </c>
      <c r="J55" s="13" t="s">
        <v>107</v>
      </c>
      <c r="K55" s="13" t="s">
        <v>249</v>
      </c>
    </row>
    <row r="56" spans="1:11">
      <c r="A56" s="16" t="s">
        <v>31</v>
      </c>
      <c r="B56" s="13" t="s">
        <v>86</v>
      </c>
      <c r="C56" s="13" t="s">
        <v>42</v>
      </c>
      <c r="D56" s="13" t="str">
        <f>IFERROR(IF(INDEX('Form 1 - Município'!D2:D500, MATCH(B56&amp;C56, INDEX('Form 1 - Município'!B2:B500&amp;'Form 1 - Município'!C2:C500, 0), 0))="", "", INDEX('Form 1 - Município'!D2:D500, MATCH(B56&amp;C56, INDEX('Form 1 - Município'!B2:B500&amp;'Form 1 - Município'!C2:C500, 0), 0))), "")</f>
        <v>Diego Batista</v>
      </c>
      <c r="E56" s="14" t="s">
        <v>105</v>
      </c>
      <c r="F56" s="13" t="s">
        <v>250</v>
      </c>
      <c r="G56" s="15" t="s">
        <v>107</v>
      </c>
      <c r="H56" s="13" t="s">
        <v>251</v>
      </c>
      <c r="I56" s="13" t="s">
        <v>252</v>
      </c>
      <c r="J56" s="13" t="s">
        <v>107</v>
      </c>
      <c r="K56" s="13" t="s">
        <v>253</v>
      </c>
    </row>
    <row r="57" spans="1:11">
      <c r="A57" s="20" t="s">
        <v>17</v>
      </c>
      <c r="B57" s="13" t="s">
        <v>52</v>
      </c>
      <c r="C57" s="13" t="s">
        <v>42</v>
      </c>
      <c r="D57" s="13" t="str">
        <f>IFERROR(IF(INDEX('Form 1 - Município'!D2:D500, MATCH(B57&amp;C57, INDEX('Form 1 - Município'!B2:B500&amp;'Form 1 - Município'!C2:C500, 0), 0))="", "", INDEX('Form 1 - Município'!D2:D500, MATCH(B57&amp;C57, INDEX('Form 1 - Município'!B2:B500&amp;'Form 1 - Município'!C2:C500, 0), 0))), "")</f>
        <v>Fernanda Naiara Voinarski</v>
      </c>
      <c r="E57" s="23" t="s">
        <v>5</v>
      </c>
      <c r="F57" s="13" t="s">
        <v>254</v>
      </c>
      <c r="G57" s="15" t="s">
        <v>107</v>
      </c>
      <c r="H57" s="13"/>
      <c r="I57" s="13"/>
      <c r="J57" s="13" t="s">
        <v>116</v>
      </c>
      <c r="K57" s="13"/>
    </row>
    <row r="58" spans="1:11">
      <c r="A58" s="20" t="s">
        <v>17</v>
      </c>
      <c r="B58" s="13" t="s">
        <v>53</v>
      </c>
      <c r="C58" s="13" t="s">
        <v>42</v>
      </c>
      <c r="D58" s="13" t="str">
        <f>IFERROR(IF(INDEX('Form 1 - Município'!D2:D500, MATCH(B58&amp;C58, INDEX('Form 1 - Município'!B2:B500&amp;'Form 1 - Município'!C2:C500, 0), 0))="", "", INDEX('Form 1 - Município'!D2:D500, MATCH(B58&amp;C58, INDEX('Form 1 - Município'!B2:B500&amp;'Form 1 - Município'!C2:C500, 0), 0))), "")</f>
        <v>Pablo Bruno Rosa Oliveira</v>
      </c>
      <c r="E58" s="14" t="s">
        <v>105</v>
      </c>
      <c r="F58" s="13" t="s">
        <v>115</v>
      </c>
      <c r="G58" s="15" t="s">
        <v>107</v>
      </c>
      <c r="H58" s="13" t="s">
        <v>255</v>
      </c>
      <c r="I58" s="13" t="s">
        <v>256</v>
      </c>
      <c r="J58" s="13" t="s">
        <v>107</v>
      </c>
      <c r="K58" s="13" t="s">
        <v>257</v>
      </c>
    </row>
  </sheetData>
  <autoFilter ref="A1:G1" xr:uid="{00000000-0009-0000-0000-000003000000}"/>
  <conditionalFormatting sqref="G2:G58">
    <cfRule type="cellIs" dxfId="19" priority="1" stopIfTrue="1" operator="equal">
      <formula>"Sim"</formula>
    </cfRule>
    <cfRule type="cellIs" dxfId="18" priority="3" stopIfTrue="1" operator="equal">
      <formula>"Não"</formula>
    </cfRule>
  </conditionalFormatting>
  <conditionalFormatting sqref="J2:J58">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58">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14" customWidth="1"/>
    <col min="6" max="7" width="27" customWidth="1"/>
    <col min="8" max="8" width="107" customWidth="1"/>
    <col min="9" max="9" width="34" customWidth="1"/>
    <col min="10" max="10" width="25" customWidth="1"/>
    <col min="11" max="11" width="33" customWidth="1"/>
  </cols>
  <sheetData>
    <row r="1" spans="1:11">
      <c r="A1" s="11" t="s">
        <v>8</v>
      </c>
      <c r="B1" s="11" t="s">
        <v>95</v>
      </c>
      <c r="C1" s="11" t="s">
        <v>40</v>
      </c>
      <c r="D1" s="11" t="s">
        <v>96</v>
      </c>
      <c r="E1" s="11" t="s">
        <v>97</v>
      </c>
      <c r="F1" s="11" t="s">
        <v>98</v>
      </c>
      <c r="G1" s="11" t="s">
        <v>99</v>
      </c>
      <c r="H1" s="11" t="s">
        <v>100</v>
      </c>
      <c r="I1" s="11" t="s">
        <v>101</v>
      </c>
      <c r="J1" s="11" t="s">
        <v>102</v>
      </c>
      <c r="K1" s="11" t="s">
        <v>103</v>
      </c>
    </row>
    <row r="2" spans="1:11">
      <c r="A2" s="12" t="s">
        <v>33</v>
      </c>
      <c r="B2" s="13" t="s">
        <v>87</v>
      </c>
      <c r="C2" s="13" t="s">
        <v>42</v>
      </c>
      <c r="D2" s="13" t="str">
        <f>IFERROR(IF(INDEX('Form 1 - Município'!D2:D500, MATCH(B2&amp;C2, INDEX('Form 1 - Município'!B2:B500&amp;'Form 1 - Município'!C2:C500, 0), 0))="", "", INDEX('Form 1 - Município'!D2:D500, MATCH(B2&amp;C2, INDEX('Form 1 - Município'!B2:B500&amp;'Form 1 - Município'!C2:C500, 0), 0))), "")</f>
        <v>Marcia do Nascimento</v>
      </c>
      <c r="E2" s="14" t="s">
        <v>105</v>
      </c>
      <c r="F2" s="13" t="s">
        <v>210</v>
      </c>
      <c r="G2" s="15" t="s">
        <v>107</v>
      </c>
      <c r="H2" s="13" t="s">
        <v>258</v>
      </c>
      <c r="I2" s="13" t="s">
        <v>259</v>
      </c>
      <c r="J2" s="13" t="s">
        <v>107</v>
      </c>
      <c r="K2" s="13" t="s">
        <v>260</v>
      </c>
    </row>
    <row r="3" spans="1:11">
      <c r="A3" s="12" t="s">
        <v>33</v>
      </c>
      <c r="B3" s="13" t="s">
        <v>88</v>
      </c>
      <c r="C3" s="13" t="s">
        <v>42</v>
      </c>
      <c r="D3" s="13" t="str">
        <f>IFERROR(IF(INDEX('Form 1 - Município'!D2:D500, MATCH(B3&amp;C3, INDEX('Form 1 - Município'!B2:B500&amp;'Form 1 - Município'!C2:C500, 0), 0))="", "", INDEX('Form 1 - Município'!D2:D500, MATCH(B3&amp;C3, INDEX('Form 1 - Município'!B2:B500&amp;'Form 1 - Município'!C2:C500, 0), 0))), "")</f>
        <v>Marcia Regina Willers</v>
      </c>
      <c r="E3" s="14" t="s">
        <v>105</v>
      </c>
      <c r="F3" s="13" t="s">
        <v>112</v>
      </c>
      <c r="G3" s="15" t="s">
        <v>107</v>
      </c>
      <c r="H3" s="13" t="s">
        <v>261</v>
      </c>
      <c r="I3" s="13"/>
      <c r="J3" s="13" t="s">
        <v>116</v>
      </c>
      <c r="K3" s="13"/>
    </row>
    <row r="4" spans="1:11">
      <c r="A4" s="16" t="s">
        <v>31</v>
      </c>
      <c r="B4" s="13" t="s">
        <v>79</v>
      </c>
      <c r="C4" s="13" t="s">
        <v>42</v>
      </c>
      <c r="D4" s="13" t="str">
        <f>IFERROR(IF(INDEX('Form 1 - Município'!D2:D500, MATCH(B4&amp;C4, INDEX('Form 1 - Município'!B2:B500&amp;'Form 1 - Município'!C2:C500, 0), 0))="", "", INDEX('Form 1 - Município'!D2:D500, MATCH(B4&amp;C4, INDEX('Form 1 - Município'!B2:B500&amp;'Form 1 - Município'!C2:C500, 0), 0))), "")</f>
        <v>Claudete Rodrigues Scarpelini</v>
      </c>
      <c r="E4" s="14" t="s">
        <v>105</v>
      </c>
      <c r="F4" s="13" t="s">
        <v>217</v>
      </c>
      <c r="G4" s="15" t="s">
        <v>107</v>
      </c>
      <c r="H4" s="13"/>
      <c r="I4" s="13"/>
      <c r="J4" s="13" t="s">
        <v>116</v>
      </c>
      <c r="K4" s="13"/>
    </row>
    <row r="5" spans="1:11">
      <c r="A5" s="12" t="s">
        <v>33</v>
      </c>
      <c r="B5" s="13" t="s">
        <v>89</v>
      </c>
      <c r="C5" s="13" t="s">
        <v>42</v>
      </c>
      <c r="D5" s="13" t="str">
        <f>IFERROR(IF(INDEX('Form 1 - Município'!D2:D500, MATCH(B5&amp;C5, INDEX('Form 1 - Município'!B2:B500&amp;'Form 1 - Município'!C2:C500, 0), 0))="", "", INDEX('Form 1 - Município'!D2:D500, MATCH(B5&amp;C5, INDEX('Form 1 - Município'!B2:B500&amp;'Form 1 - Município'!C2:C500, 0), 0))), "")</f>
        <v>Vagner Perseti Alves</v>
      </c>
      <c r="E5" s="14" t="s">
        <v>105</v>
      </c>
      <c r="F5" s="13" t="s">
        <v>118</v>
      </c>
      <c r="G5" s="15" t="s">
        <v>107</v>
      </c>
      <c r="H5" s="13"/>
      <c r="I5" s="13"/>
      <c r="J5" s="13" t="s">
        <v>116</v>
      </c>
      <c r="K5" s="13"/>
    </row>
    <row r="6" spans="1:11">
      <c r="A6" s="17" t="s">
        <v>21</v>
      </c>
      <c r="B6" s="13" t="s">
        <v>54</v>
      </c>
      <c r="C6" s="13" t="s">
        <v>42</v>
      </c>
      <c r="D6" s="13" t="str">
        <f>IFERROR(IF(INDEX('Form 1 - Município'!D2:D500, MATCH(B6&amp;C6, INDEX('Form 1 - Município'!B2:B500&amp;'Form 1 - Município'!C2:C500, 0), 0))="", "", INDEX('Form 1 - Município'!D2:D500, MATCH(B6&amp;C6, INDEX('Form 1 - Município'!B2:B500&amp;'Form 1 - Município'!C2:C500, 0), 0))), "")</f>
        <v>Tania Grespan</v>
      </c>
      <c r="E6" s="14" t="s">
        <v>105</v>
      </c>
      <c r="F6" s="13" t="s">
        <v>137</v>
      </c>
      <c r="G6" s="15" t="s">
        <v>107</v>
      </c>
      <c r="H6" s="13"/>
      <c r="I6" s="13"/>
      <c r="J6" s="13" t="s">
        <v>116</v>
      </c>
      <c r="K6" s="13"/>
    </row>
    <row r="7" spans="1:11">
      <c r="A7" s="16" t="s">
        <v>31</v>
      </c>
      <c r="B7" s="13" t="s">
        <v>80</v>
      </c>
      <c r="C7" s="13" t="s">
        <v>42</v>
      </c>
      <c r="D7" s="13" t="str">
        <f>IFERROR(IF(INDEX('Form 1 - Município'!D2:D500, MATCH(B7&amp;C7, INDEX('Form 1 - Município'!B2:B500&amp;'Form 1 - Município'!C2:C500, 0), 0))="", "", INDEX('Form 1 - Município'!D2:D500, MATCH(B7&amp;C7, INDEX('Form 1 - Município'!B2:B500&amp;'Form 1 - Município'!C2:C500, 0), 0))), "")</f>
        <v>Daniele de Souza Lima Mei</v>
      </c>
      <c r="E7" s="14" t="s">
        <v>105</v>
      </c>
      <c r="F7" s="13" t="s">
        <v>146</v>
      </c>
      <c r="G7" s="15" t="s">
        <v>107</v>
      </c>
      <c r="H7" s="13"/>
      <c r="I7" s="13"/>
      <c r="J7" s="13" t="s">
        <v>116</v>
      </c>
      <c r="K7" s="13"/>
    </row>
    <row r="8" spans="1:11">
      <c r="A8" s="18" t="s">
        <v>29</v>
      </c>
      <c r="B8" s="13" t="s">
        <v>71</v>
      </c>
      <c r="C8" s="13" t="s">
        <v>42</v>
      </c>
      <c r="D8" s="13" t="str">
        <f>IFERROR(IF(INDEX('Form 1 - Município'!D2:D500, MATCH(B8&amp;C8, INDEX('Form 1 - Município'!B2:B500&amp;'Form 1 - Município'!C2:C500, 0), 0))="", "", INDEX('Form 1 - Município'!D2:D500, MATCH(B8&amp;C8, INDEX('Form 1 - Município'!B2:B500&amp;'Form 1 - Município'!C2:C500, 0), 0))), "")</f>
        <v xml:space="preserve">Eunice Fernandes Gonzaga </v>
      </c>
      <c r="E8" s="14" t="s">
        <v>105</v>
      </c>
      <c r="F8" s="13" t="s">
        <v>115</v>
      </c>
      <c r="G8" s="15" t="s">
        <v>107</v>
      </c>
      <c r="H8" s="13"/>
      <c r="I8" s="13"/>
      <c r="J8" s="13" t="s">
        <v>116</v>
      </c>
      <c r="K8" s="13"/>
    </row>
    <row r="9" spans="1:11">
      <c r="A9" s="19" t="s">
        <v>25</v>
      </c>
      <c r="B9" s="13" t="s">
        <v>60</v>
      </c>
      <c r="C9" s="13" t="s">
        <v>42</v>
      </c>
      <c r="D9" s="13" t="str">
        <f>IFERROR(IF(INDEX('Form 1 - Município'!D2:D500, MATCH(B9&amp;C9, INDEX('Form 1 - Município'!B2:B500&amp;'Form 1 - Município'!C2:C500, 0), 0))="", "", INDEX('Form 1 - Município'!D2:D500, MATCH(B9&amp;C9, INDEX('Form 1 - Município'!B2:B500&amp;'Form 1 - Município'!C2:C500, 0), 0))), "")</f>
        <v>Rafaelly Custódio</v>
      </c>
      <c r="E9" s="14" t="s">
        <v>105</v>
      </c>
      <c r="F9" s="13" t="s">
        <v>127</v>
      </c>
      <c r="G9" s="15" t="s">
        <v>107</v>
      </c>
      <c r="H9" s="13"/>
      <c r="I9" s="13"/>
      <c r="J9" s="13" t="s">
        <v>116</v>
      </c>
      <c r="K9" s="13"/>
    </row>
    <row r="10" spans="1:11">
      <c r="A10" s="20" t="s">
        <v>17</v>
      </c>
      <c r="B10" s="13" t="s">
        <v>41</v>
      </c>
      <c r="C10" s="13" t="s">
        <v>42</v>
      </c>
      <c r="D10" s="13" t="str">
        <f>IFERROR(IF(INDEX('Form 1 - Município'!D2:D500, MATCH(B10&amp;C10, INDEX('Form 1 - Município'!B2:B500&amp;'Form 1 - Município'!C2:C500, 0), 0))="", "", INDEX('Form 1 - Município'!D2:D500, MATCH(B10&amp;C10, INDEX('Form 1 - Município'!B2:B500&amp;'Form 1 - Município'!C2:C500, 0), 0))), "")</f>
        <v>Hayana dos Santos Jaines</v>
      </c>
      <c r="E10" s="14" t="s">
        <v>105</v>
      </c>
      <c r="F10" s="13" t="s">
        <v>262</v>
      </c>
      <c r="G10" s="15" t="s">
        <v>107</v>
      </c>
      <c r="H10" s="13"/>
      <c r="I10" s="13"/>
      <c r="J10" s="13" t="s">
        <v>116</v>
      </c>
      <c r="K10" s="13"/>
    </row>
    <row r="11" spans="1:11">
      <c r="A11" s="20" t="s">
        <v>17</v>
      </c>
      <c r="B11" s="13" t="s">
        <v>41</v>
      </c>
      <c r="C11" s="13" t="s">
        <v>43</v>
      </c>
      <c r="D11" s="13" t="str">
        <f>IFERROR(IF(INDEX('Form 1 - Município'!D2:D500, MATCH(B11&amp;C11, INDEX('Form 1 - Município'!B2:B500&amp;'Form 1 - Município'!C2:C500, 0), 0))="", "", INDEX('Form 1 - Município'!D2:D500, MATCH(B11&amp;C11, INDEX('Form 1 - Município'!B2:B500&amp;'Form 1 - Município'!C2:C500, 0), 0))), "")</f>
        <v>Hayana dos Santos Jaines</v>
      </c>
      <c r="E11" s="14" t="s">
        <v>105</v>
      </c>
      <c r="F11" s="13" t="s">
        <v>262</v>
      </c>
      <c r="G11" s="15" t="s">
        <v>107</v>
      </c>
      <c r="H11" s="13"/>
      <c r="I11" s="13"/>
      <c r="J11" s="13" t="s">
        <v>116</v>
      </c>
      <c r="K11" s="13"/>
    </row>
    <row r="12" spans="1:11">
      <c r="A12" s="20" t="s">
        <v>17</v>
      </c>
      <c r="B12" s="13" t="s">
        <v>41</v>
      </c>
      <c r="C12" s="13" t="s">
        <v>44</v>
      </c>
      <c r="D12" s="13" t="str">
        <f>IFERROR(IF(INDEX('Form 1 - Município'!D2:D500, MATCH(B12&amp;C12, INDEX('Form 1 - Município'!B2:B500&amp;'Form 1 - Município'!C2:C500, 0), 0))="", "", INDEX('Form 1 - Município'!D2:D500, MATCH(B12&amp;C12, INDEX('Form 1 - Município'!B2:B500&amp;'Form 1 - Município'!C2:C500, 0), 0))), "")</f>
        <v>Hayana dos Santos Jaines</v>
      </c>
      <c r="E12" s="14" t="s">
        <v>105</v>
      </c>
      <c r="F12" s="13" t="s">
        <v>127</v>
      </c>
      <c r="G12" s="15" t="s">
        <v>107</v>
      </c>
      <c r="H12" s="13"/>
      <c r="I12" s="13"/>
      <c r="J12" s="13" t="s">
        <v>116</v>
      </c>
      <c r="K12" s="13"/>
    </row>
    <row r="13" spans="1:11">
      <c r="A13" s="20" t="s">
        <v>17</v>
      </c>
      <c r="B13" s="13" t="s">
        <v>41</v>
      </c>
      <c r="C13" s="13" t="s">
        <v>45</v>
      </c>
      <c r="D13" s="13" t="str">
        <f>IFERROR(IF(INDEX('Form 1 - Município'!D2:D500, MATCH(B13&amp;C13, INDEX('Form 1 - Município'!B2:B500&amp;'Form 1 - Município'!C2:C500, 0), 0))="", "", INDEX('Form 1 - Município'!D2:D500, MATCH(B13&amp;C13, INDEX('Form 1 - Município'!B2:B500&amp;'Form 1 - Município'!C2:C500, 0), 0))), "")</f>
        <v>Hayana dos Santos Jaines</v>
      </c>
      <c r="E13" s="14" t="s">
        <v>105</v>
      </c>
      <c r="F13" s="13" t="s">
        <v>262</v>
      </c>
      <c r="G13" s="15" t="s">
        <v>107</v>
      </c>
      <c r="H13" s="13"/>
      <c r="I13" s="13"/>
      <c r="J13" s="13" t="s">
        <v>116</v>
      </c>
      <c r="K13" s="13"/>
    </row>
    <row r="14" spans="1:11">
      <c r="A14" s="20" t="s">
        <v>17</v>
      </c>
      <c r="B14" s="13" t="s">
        <v>41</v>
      </c>
      <c r="C14" s="13" t="s">
        <v>46</v>
      </c>
      <c r="D14" s="13" t="str">
        <f>IFERROR(IF(INDEX('Form 1 - Município'!D2:D500, MATCH(B14&amp;C14, INDEX('Form 1 - Município'!B2:B500&amp;'Form 1 - Município'!C2:C500, 0), 0))="", "", INDEX('Form 1 - Município'!D2:D500, MATCH(B14&amp;C14, INDEX('Form 1 - Município'!B2:B500&amp;'Form 1 - Município'!C2:C500, 0), 0))), "")</f>
        <v>Hayana dos Santos Jaines</v>
      </c>
      <c r="E14" s="14" t="s">
        <v>105</v>
      </c>
      <c r="F14" s="13" t="s">
        <v>262</v>
      </c>
      <c r="G14" s="15" t="s">
        <v>107</v>
      </c>
      <c r="H14" s="13"/>
      <c r="I14" s="13"/>
      <c r="J14" s="13" t="s">
        <v>116</v>
      </c>
      <c r="K14" s="13"/>
    </row>
    <row r="15" spans="1:11">
      <c r="A15" s="20" t="s">
        <v>17</v>
      </c>
      <c r="B15" s="13" t="s">
        <v>47</v>
      </c>
      <c r="C15" s="13" t="s">
        <v>42</v>
      </c>
      <c r="D15" s="13" t="str">
        <f>IFERROR(IF(INDEX('Form 1 - Município'!D2:D500, MATCH(B15&amp;C15, INDEX('Form 1 - Município'!B2:B500&amp;'Form 1 - Município'!C2:C500, 0), 0))="", "", INDEX('Form 1 - Município'!D2:D500, MATCH(B15&amp;C15, INDEX('Form 1 - Município'!B2:B500&amp;'Form 1 - Município'!C2:C500, 0), 0))), "")</f>
        <v>Evellyn Renata Bereza Bueno</v>
      </c>
      <c r="E15" s="14" t="s">
        <v>105</v>
      </c>
      <c r="F15" s="13" t="s">
        <v>115</v>
      </c>
      <c r="G15" s="15" t="s">
        <v>107</v>
      </c>
      <c r="H15" s="13"/>
      <c r="I15" s="13"/>
      <c r="J15" s="13" t="s">
        <v>116</v>
      </c>
      <c r="K15" s="13"/>
    </row>
    <row r="16" spans="1:11">
      <c r="A16" s="17" t="s">
        <v>21</v>
      </c>
      <c r="B16" s="13" t="s">
        <v>55</v>
      </c>
      <c r="C16" s="13" t="s">
        <v>42</v>
      </c>
      <c r="D16" s="13" t="str">
        <f>IFERROR(IF(INDEX('Form 1 - Município'!D2:D500, MATCH(B16&amp;C16, INDEX('Form 1 - Município'!B2:B500&amp;'Form 1 - Município'!C2:C500, 0), 0))="", "", INDEX('Form 1 - Município'!D2:D500, MATCH(B16&amp;C16, INDEX('Form 1 - Município'!B2:B500&amp;'Form 1 - Município'!C2:C500, 0), 0))), "")</f>
        <v>Anandra da Silva</v>
      </c>
      <c r="E16" s="14" t="s">
        <v>105</v>
      </c>
      <c r="F16" s="13" t="s">
        <v>217</v>
      </c>
      <c r="G16" s="15" t="s">
        <v>107</v>
      </c>
      <c r="H16" s="13"/>
      <c r="I16" s="13"/>
      <c r="J16" s="13" t="s">
        <v>116</v>
      </c>
      <c r="K16" s="13"/>
    </row>
    <row r="17" spans="1:11">
      <c r="A17" s="20" t="s">
        <v>17</v>
      </c>
      <c r="B17" s="13" t="s">
        <v>48</v>
      </c>
      <c r="C17" s="13" t="s">
        <v>42</v>
      </c>
      <c r="D17" s="13" t="str">
        <f>IFERROR(IF(INDEX('Form 1 - Município'!D2:D500, MATCH(B17&amp;C17, INDEX('Form 1 - Município'!B2:B500&amp;'Form 1 - Município'!C2:C500, 0), 0))="", "", INDEX('Form 1 - Município'!D2:D500, MATCH(B17&amp;C17, INDEX('Form 1 - Município'!B2:B500&amp;'Form 1 - Município'!C2:C500, 0), 0))), "")</f>
        <v>Carlos Jorge de Oliveira Fernandes Moreira </v>
      </c>
      <c r="E17" s="14" t="s">
        <v>105</v>
      </c>
      <c r="F17" s="13" t="s">
        <v>146</v>
      </c>
      <c r="G17" s="15" t="s">
        <v>107</v>
      </c>
      <c r="H17" s="13" t="s">
        <v>263</v>
      </c>
      <c r="I17" s="13" t="s">
        <v>264</v>
      </c>
      <c r="J17" s="13" t="s">
        <v>107</v>
      </c>
      <c r="K17" s="13" t="s">
        <v>265</v>
      </c>
    </row>
    <row r="18" spans="1:11">
      <c r="A18" s="12" t="s">
        <v>33</v>
      </c>
      <c r="B18" s="13" t="s">
        <v>90</v>
      </c>
      <c r="C18" s="13" t="s">
        <v>42</v>
      </c>
      <c r="D18" s="13" t="str">
        <f>IFERROR(IF(INDEX('Form 1 - Município'!D2:D500, MATCH(B18&amp;C18, INDEX('Form 1 - Município'!B2:B500&amp;'Form 1 - Município'!C2:C500, 0), 0))="", "", INDEX('Form 1 - Município'!D2:D500, MATCH(B18&amp;C18, INDEX('Form 1 - Município'!B2:B500&amp;'Form 1 - Município'!C2:C500, 0), 0))), "")</f>
        <v>Jéssica da Silva Bortolozzo</v>
      </c>
      <c r="E18" s="14" t="s">
        <v>105</v>
      </c>
      <c r="F18" s="13" t="s">
        <v>118</v>
      </c>
      <c r="G18" s="15" t="s">
        <v>107</v>
      </c>
      <c r="H18" s="13"/>
      <c r="I18" s="13"/>
      <c r="J18" s="13" t="s">
        <v>116</v>
      </c>
      <c r="K18" s="13"/>
    </row>
    <row r="19" spans="1:11">
      <c r="A19" s="21" t="s">
        <v>28</v>
      </c>
      <c r="B19" s="13" t="s">
        <v>63</v>
      </c>
      <c r="C19" s="13" t="s">
        <v>42</v>
      </c>
      <c r="D19" s="13" t="str">
        <f>IFERROR(IF(INDEX('Form 1 - Município'!D2:D500, MATCH(B19&amp;C19, INDEX('Form 1 - Município'!B2:B500&amp;'Form 1 - Município'!C2:C500, 0), 0))="", "", INDEX('Form 1 - Município'!D2:D500, MATCH(B19&amp;C19, INDEX('Form 1 - Município'!B2:B500&amp;'Form 1 - Município'!C2:C500, 0), 0))), "")</f>
        <v>Tássia Castelli</v>
      </c>
      <c r="E19" s="14" t="s">
        <v>105</v>
      </c>
      <c r="F19" s="13" t="s">
        <v>139</v>
      </c>
      <c r="G19" s="22" t="s">
        <v>116</v>
      </c>
      <c r="H19" s="13"/>
      <c r="I19" s="13"/>
      <c r="J19" s="13" t="s">
        <v>116</v>
      </c>
      <c r="K19" s="13"/>
    </row>
    <row r="20" spans="1:11">
      <c r="A20" s="12" t="s">
        <v>33</v>
      </c>
      <c r="B20" s="13" t="s">
        <v>91</v>
      </c>
      <c r="C20" s="13" t="s">
        <v>42</v>
      </c>
      <c r="D20" s="13" t="str">
        <f>IFERROR(IF(INDEX('Form 1 - Município'!D2:D500, MATCH(B20&amp;C20, INDEX('Form 1 - Município'!B2:B500&amp;'Form 1 - Município'!C2:C500, 0), 0))="", "", INDEX('Form 1 - Município'!D2:D500, MATCH(B20&amp;C20, INDEX('Form 1 - Município'!B2:B500&amp;'Form 1 - Município'!C2:C500, 0), 0))), "")</f>
        <v>Bianca Monteiro</v>
      </c>
      <c r="E20" s="14" t="s">
        <v>105</v>
      </c>
      <c r="F20" s="13" t="s">
        <v>118</v>
      </c>
      <c r="G20" s="15" t="s">
        <v>107</v>
      </c>
      <c r="H20" s="13"/>
      <c r="I20" s="13"/>
      <c r="J20" s="13" t="s">
        <v>116</v>
      </c>
      <c r="K20" s="13"/>
    </row>
    <row r="21" spans="1:11">
      <c r="A21" s="17" t="s">
        <v>21</v>
      </c>
      <c r="B21" s="13" t="s">
        <v>56</v>
      </c>
      <c r="C21" s="13" t="s">
        <v>42</v>
      </c>
      <c r="D21" s="13" t="str">
        <f>IFERROR(IF(INDEX('Form 1 - Município'!D2:D500, MATCH(B21&amp;C21, INDEX('Form 1 - Município'!B2:B500&amp;'Form 1 - Município'!C2:C500, 0), 0))="", "", INDEX('Form 1 - Município'!D2:D500, MATCH(B21&amp;C21, INDEX('Form 1 - Município'!B2:B500&amp;'Form 1 - Município'!C2:C500, 0), 0))), "")</f>
        <v>Augusto Cesar Nunes</v>
      </c>
      <c r="E21" s="23" t="s">
        <v>5</v>
      </c>
      <c r="F21" s="13" t="s">
        <v>220</v>
      </c>
      <c r="G21" s="22" t="s">
        <v>116</v>
      </c>
      <c r="H21" s="13" t="s">
        <v>266</v>
      </c>
      <c r="I21" s="13"/>
      <c r="J21" s="13" t="s">
        <v>116</v>
      </c>
      <c r="K21" s="13"/>
    </row>
    <row r="22" spans="1:11">
      <c r="A22" s="17" t="s">
        <v>21</v>
      </c>
      <c r="B22" s="13" t="s">
        <v>21</v>
      </c>
      <c r="C22" s="13" t="s">
        <v>42</v>
      </c>
      <c r="D22" s="13" t="str">
        <f>IFERROR(IF(INDEX('Form 1 - Município'!D2:D500, MATCH(B22&amp;C22, INDEX('Form 1 - Município'!B2:B500&amp;'Form 1 - Município'!C2:C500, 0), 0))="", "", INDEX('Form 1 - Município'!D2:D500, MATCH(B22&amp;C22, INDEX('Form 1 - Município'!B2:B500&amp;'Form 1 - Município'!C2:C500, 0), 0))), "")</f>
        <v>Amanda Cristina Beal Acosta</v>
      </c>
      <c r="E22" s="14" t="s">
        <v>105</v>
      </c>
      <c r="F22" s="13" t="s">
        <v>267</v>
      </c>
      <c r="G22" s="15" t="s">
        <v>107</v>
      </c>
      <c r="H22" s="13"/>
      <c r="I22" s="13"/>
      <c r="J22" s="13" t="s">
        <v>116</v>
      </c>
      <c r="K22" s="13"/>
    </row>
    <row r="23" spans="1:11">
      <c r="A23" s="17" t="s">
        <v>21</v>
      </c>
      <c r="B23" s="13" t="s">
        <v>21</v>
      </c>
      <c r="C23" s="13" t="s">
        <v>43</v>
      </c>
      <c r="D23" s="13" t="str">
        <f>IFERROR(IF(INDEX('Form 1 - Município'!D2:D500, MATCH(B23&amp;C23, INDEX('Form 1 - Município'!B2:B500&amp;'Form 1 - Município'!C2:C500, 0), 0))="", "", INDEX('Form 1 - Município'!D2:D500, MATCH(B23&amp;C23, INDEX('Form 1 - Município'!B2:B500&amp;'Form 1 - Município'!C2:C500, 0), 0))), "")</f>
        <v>Amanda Cristina Beal Acosta</v>
      </c>
      <c r="E23" s="14" t="s">
        <v>105</v>
      </c>
      <c r="F23" s="13" t="s">
        <v>267</v>
      </c>
      <c r="G23" s="15" t="s">
        <v>107</v>
      </c>
      <c r="H23" s="13"/>
      <c r="I23" s="13"/>
      <c r="J23" s="13" t="s">
        <v>116</v>
      </c>
      <c r="K23" s="13"/>
    </row>
    <row r="24" spans="1:11">
      <c r="A24" s="17" t="s">
        <v>21</v>
      </c>
      <c r="B24" s="13" t="s">
        <v>21</v>
      </c>
      <c r="C24" s="13" t="s">
        <v>44</v>
      </c>
      <c r="D24" s="13" t="str">
        <f>IFERROR(IF(INDEX('Form 1 - Município'!D2:D500, MATCH(B24&amp;C24, INDEX('Form 1 - Município'!B2:B500&amp;'Form 1 - Município'!C2:C500, 0), 0))="", "", INDEX('Form 1 - Município'!D2:D500, MATCH(B24&amp;C24, INDEX('Form 1 - Município'!B2:B500&amp;'Form 1 - Município'!C2:C500, 0), 0))), "")</f>
        <v>Amanda Cristina Beal Acosta</v>
      </c>
      <c r="E24" s="14" t="s">
        <v>105</v>
      </c>
      <c r="F24" s="13" t="s">
        <v>267</v>
      </c>
      <c r="G24" s="15" t="s">
        <v>107</v>
      </c>
      <c r="H24" s="13"/>
      <c r="I24" s="13"/>
      <c r="J24" s="13" t="s">
        <v>116</v>
      </c>
      <c r="K24" s="13"/>
    </row>
    <row r="25" spans="1:11">
      <c r="A25" s="21" t="s">
        <v>28</v>
      </c>
      <c r="B25" s="13" t="s">
        <v>64</v>
      </c>
      <c r="C25" s="13" t="s">
        <v>42</v>
      </c>
      <c r="D25" s="13" t="str">
        <f>IFERROR(IF(INDEX('Form 1 - Município'!D2:D500, MATCH(B25&amp;C25, INDEX('Form 1 - Município'!B2:B500&amp;'Form 1 - Município'!C2:C500, 0), 0))="", "", INDEX('Form 1 - Município'!D2:D500, MATCH(B25&amp;C25, INDEX('Form 1 - Município'!B2:B500&amp;'Form 1 - Município'!C2:C500, 0), 0))), "")</f>
        <v>Marcos Alexandre Cordeiro Esmocoviski</v>
      </c>
      <c r="E25" s="14" t="s">
        <v>105</v>
      </c>
      <c r="F25" s="13" t="s">
        <v>146</v>
      </c>
      <c r="G25" s="15" t="s">
        <v>107</v>
      </c>
      <c r="H25" s="13"/>
      <c r="I25" s="13"/>
      <c r="J25" s="13" t="s">
        <v>116</v>
      </c>
      <c r="K25" s="13"/>
    </row>
    <row r="26" spans="1:11">
      <c r="A26" s="18" t="s">
        <v>29</v>
      </c>
      <c r="B26" s="13" t="s">
        <v>72</v>
      </c>
      <c r="C26" s="13" t="s">
        <v>42</v>
      </c>
      <c r="D26" s="13" t="str">
        <f>IFERROR(IF(INDEX('Form 1 - Município'!D2:D500, MATCH(B26&amp;C26, INDEX('Form 1 - Município'!B2:B500&amp;'Form 1 - Município'!C2:C500, 0), 0))="", "", INDEX('Form 1 - Município'!D2:D500, MATCH(B26&amp;C26, INDEX('Form 1 - Município'!B2:B500&amp;'Form 1 - Município'!C2:C500, 0), 0))), "")</f>
        <v>Rodrigo Lima</v>
      </c>
      <c r="E26" s="14" t="s">
        <v>105</v>
      </c>
      <c r="F26" s="13" t="s">
        <v>115</v>
      </c>
      <c r="G26" s="15" t="s">
        <v>107</v>
      </c>
      <c r="H26" s="13"/>
      <c r="I26" s="13"/>
      <c r="J26" s="13" t="s">
        <v>116</v>
      </c>
      <c r="K26" s="13"/>
    </row>
    <row r="27" spans="1:11">
      <c r="A27" s="18" t="s">
        <v>29</v>
      </c>
      <c r="B27" s="13" t="s">
        <v>73</v>
      </c>
      <c r="C27" s="13" t="s">
        <v>42</v>
      </c>
      <c r="D27" s="13" t="str">
        <f>IFERROR(IF(INDEX('Form 1 - Município'!D2:D500, MATCH(B27&amp;C27, INDEX('Form 1 - Município'!B2:B500&amp;'Form 1 - Município'!C2:C500, 0), 0))="", "", INDEX('Form 1 - Município'!D2:D500, MATCH(B27&amp;C27, INDEX('Form 1 - Município'!B2:B500&amp;'Form 1 - Município'!C2:C500, 0), 0))), "")</f>
        <v>Savana Lemes Rodrigues</v>
      </c>
      <c r="E27" s="14" t="s">
        <v>105</v>
      </c>
      <c r="F27" s="13" t="s">
        <v>156</v>
      </c>
      <c r="G27" s="15" t="s">
        <v>107</v>
      </c>
      <c r="H27" s="13"/>
      <c r="I27" s="13"/>
      <c r="J27" s="13" t="s">
        <v>116</v>
      </c>
      <c r="K27" s="13"/>
    </row>
    <row r="28" spans="1:11">
      <c r="A28" s="18" t="s">
        <v>29</v>
      </c>
      <c r="B28" s="13" t="s">
        <v>74</v>
      </c>
      <c r="C28" s="13" t="s">
        <v>42</v>
      </c>
      <c r="D28" s="13" t="str">
        <f>IFERROR(IF(INDEX('Form 1 - Município'!D2:D500, MATCH(B28&amp;C28, INDEX('Form 1 - Município'!B2:B500&amp;'Form 1 - Município'!C2:C500, 0), 0))="", "", INDEX('Form 1 - Município'!D2:D500, MATCH(B28&amp;C28, INDEX('Form 1 - Município'!B2:B500&amp;'Form 1 - Município'!C2:C500, 0), 0))), "")</f>
        <v>Letícia Diniz</v>
      </c>
      <c r="E28" s="14" t="s">
        <v>105</v>
      </c>
      <c r="F28" s="13" t="s">
        <v>177</v>
      </c>
      <c r="G28" s="15" t="s">
        <v>107</v>
      </c>
      <c r="H28" s="13"/>
      <c r="I28" s="13"/>
      <c r="J28" s="13" t="s">
        <v>116</v>
      </c>
      <c r="K28" s="13"/>
    </row>
    <row r="29" spans="1:11">
      <c r="A29" s="16" t="s">
        <v>31</v>
      </c>
      <c r="B29" s="13" t="s">
        <v>81</v>
      </c>
      <c r="C29" s="13" t="s">
        <v>42</v>
      </c>
      <c r="D29" s="13" t="str">
        <f>IFERROR(IF(INDEX('Form 1 - Município'!D2:D500, MATCH(B29&amp;C29, INDEX('Form 1 - Município'!B2:B500&amp;'Form 1 - Município'!C2:C500, 0), 0))="", "", INDEX('Form 1 - Município'!D2:D500, MATCH(B29&amp;C29, INDEX('Form 1 - Município'!B2:B500&amp;'Form 1 - Município'!C2:C500, 0), 0))), "")</f>
        <v>Tais Muller</v>
      </c>
      <c r="E29" s="14" t="s">
        <v>105</v>
      </c>
      <c r="F29" s="13" t="s">
        <v>118</v>
      </c>
      <c r="G29" s="15" t="s">
        <v>107</v>
      </c>
      <c r="H29" s="13"/>
      <c r="I29" s="13"/>
      <c r="J29" s="13" t="s">
        <v>116</v>
      </c>
      <c r="K29" s="13"/>
    </row>
    <row r="30" spans="1:11">
      <c r="A30" s="16" t="s">
        <v>31</v>
      </c>
      <c r="B30" s="13" t="s">
        <v>82</v>
      </c>
      <c r="C30" s="13" t="s">
        <v>42</v>
      </c>
      <c r="D30" s="13" t="str">
        <f>IFERROR(IF(INDEX('Form 1 - Município'!D2:D500, MATCH(B30&amp;C30, INDEX('Form 1 - Município'!B2:B500&amp;'Form 1 - Município'!C2:C500, 0), 0))="", "", INDEX('Form 1 - Município'!D2:D500, MATCH(B30&amp;C30, INDEX('Form 1 - Município'!B2:B500&amp;'Form 1 - Município'!C2:C500, 0), 0))), "")</f>
        <v>Fernando Henrique Ferreira</v>
      </c>
      <c r="E30" s="14" t="s">
        <v>105</v>
      </c>
      <c r="F30" s="13" t="s">
        <v>118</v>
      </c>
      <c r="G30" s="15" t="s">
        <v>107</v>
      </c>
      <c r="H30" s="13"/>
      <c r="I30" s="13"/>
      <c r="J30" s="13" t="s">
        <v>116</v>
      </c>
      <c r="K30" s="13"/>
    </row>
    <row r="31" spans="1:11">
      <c r="A31" s="20" t="s">
        <v>17</v>
      </c>
      <c r="B31" s="13" t="s">
        <v>49</v>
      </c>
      <c r="C31" s="13" t="s">
        <v>42</v>
      </c>
      <c r="D31" s="13" t="str">
        <f>IFERROR(IF(INDEX('Form 1 - Município'!D2:D500, MATCH(B31&amp;C31, INDEX('Form 1 - Município'!B2:B500&amp;'Form 1 - Município'!C2:C500, 0), 0))="", "", INDEX('Form 1 - Município'!D2:D500, MATCH(B31&amp;C31, INDEX('Form 1 - Município'!B2:B500&amp;'Form 1 - Município'!C2:C500, 0), 0))), "")</f>
        <v>Isadora Bussmann Barsotti</v>
      </c>
      <c r="E31" s="14" t="s">
        <v>105</v>
      </c>
      <c r="F31" s="13" t="s">
        <v>127</v>
      </c>
      <c r="G31" s="15" t="s">
        <v>107</v>
      </c>
      <c r="H31" s="13"/>
      <c r="I31" s="13"/>
      <c r="J31" s="13" t="s">
        <v>116</v>
      </c>
      <c r="K31" s="13"/>
    </row>
    <row r="32" spans="1:11">
      <c r="A32" s="21" t="s">
        <v>28</v>
      </c>
      <c r="B32" s="13" t="s">
        <v>65</v>
      </c>
      <c r="C32" s="13" t="s">
        <v>42</v>
      </c>
      <c r="D32" s="13" t="str">
        <f>IFERROR(IF(INDEX('Form 1 - Município'!D2:D500, MATCH(B32&amp;C32, INDEX('Form 1 - Município'!B2:B500&amp;'Form 1 - Município'!C2:C500, 0), 0))="", "", INDEX('Form 1 - Município'!D2:D500, MATCH(B32&amp;C32, INDEX('Form 1 - Município'!B2:B500&amp;'Form 1 - Município'!C2:C500, 0), 0))), "")</f>
        <v>Osair Wrublak</v>
      </c>
      <c r="E32" s="14" t="s">
        <v>105</v>
      </c>
      <c r="F32" s="13" t="s">
        <v>115</v>
      </c>
      <c r="G32" s="15" t="s">
        <v>107</v>
      </c>
      <c r="H32" s="13"/>
      <c r="I32" s="13"/>
      <c r="J32" s="13" t="s">
        <v>116</v>
      </c>
      <c r="K32" s="13"/>
    </row>
    <row r="33" spans="1:11">
      <c r="A33" s="16" t="s">
        <v>31</v>
      </c>
      <c r="B33" s="13" t="s">
        <v>83</v>
      </c>
      <c r="C33" s="13" t="s">
        <v>42</v>
      </c>
      <c r="D33" s="13" t="str">
        <f>IFERROR(IF(INDEX('Form 1 - Município'!D2:D500, MATCH(B33&amp;C33, INDEX('Form 1 - Município'!B2:B500&amp;'Form 1 - Município'!C2:C500, 0), 0))="", "", INDEX('Form 1 - Município'!D2:D500, MATCH(B33&amp;C33, INDEX('Form 1 - Município'!B2:B500&amp;'Form 1 - Município'!C2:C500, 0), 0))), "")</f>
        <v>Gislaine Souza Rosa</v>
      </c>
      <c r="E33" s="14" t="s">
        <v>105</v>
      </c>
      <c r="F33" s="13" t="s">
        <v>217</v>
      </c>
      <c r="G33" s="15" t="s">
        <v>107</v>
      </c>
      <c r="H33" s="13"/>
      <c r="I33" s="13"/>
      <c r="J33" s="13" t="s">
        <v>116</v>
      </c>
      <c r="K33" s="13"/>
    </row>
    <row r="34" spans="1:11">
      <c r="A34" s="16" t="s">
        <v>31</v>
      </c>
      <c r="B34" s="13" t="s">
        <v>84</v>
      </c>
      <c r="C34" s="13" t="s">
        <v>42</v>
      </c>
      <c r="D34" s="13" t="str">
        <f>IFERROR(IF(INDEX('Form 1 - Município'!D2:D500, MATCH(B34&amp;C34, INDEX('Form 1 - Município'!B2:B500&amp;'Form 1 - Município'!C2:C500, 0), 0))="", "", INDEX('Form 1 - Município'!D2:D500, MATCH(B34&amp;C34, INDEX('Form 1 - Município'!B2:B500&amp;'Form 1 - Município'!C2:C500, 0), 0))), "")</f>
        <v>Leticia Framesche</v>
      </c>
      <c r="E34" s="14" t="s">
        <v>105</v>
      </c>
      <c r="F34" s="13" t="s">
        <v>268</v>
      </c>
      <c r="G34" s="15" t="s">
        <v>107</v>
      </c>
      <c r="H34" s="13" t="s">
        <v>269</v>
      </c>
      <c r="I34" s="13" t="s">
        <v>270</v>
      </c>
      <c r="J34" s="13" t="s">
        <v>107</v>
      </c>
      <c r="K34" s="13" t="s">
        <v>271</v>
      </c>
    </row>
    <row r="35" spans="1:11">
      <c r="A35" s="17" t="s">
        <v>21</v>
      </c>
      <c r="B35" s="13" t="s">
        <v>57</v>
      </c>
      <c r="C35" s="13" t="s">
        <v>42</v>
      </c>
      <c r="D35" s="13" t="str">
        <f>IFERROR(IF(INDEX('Form 1 - Município'!D2:D500, MATCH(B35&amp;C35, INDEX('Form 1 - Município'!B2:B500&amp;'Form 1 - Município'!C2:C500, 0), 0))="", "", INDEX('Form 1 - Município'!D2:D500, MATCH(B35&amp;C35, INDEX('Form 1 - Município'!B2:B500&amp;'Form 1 - Município'!C2:C500, 0), 0))), "")</f>
        <v>Suzana Gotardo de Meira</v>
      </c>
      <c r="E35" s="14" t="s">
        <v>105</v>
      </c>
      <c r="F35" s="13" t="s">
        <v>142</v>
      </c>
      <c r="G35" s="15" t="s">
        <v>107</v>
      </c>
      <c r="H35" s="13"/>
      <c r="I35" s="13" t="s">
        <v>272</v>
      </c>
      <c r="J35" s="13" t="s">
        <v>107</v>
      </c>
      <c r="K35" s="13" t="s">
        <v>273</v>
      </c>
    </row>
    <row r="36" spans="1:11">
      <c r="A36" s="19" t="s">
        <v>25</v>
      </c>
      <c r="B36" s="13" t="s">
        <v>61</v>
      </c>
      <c r="C36" s="13" t="s">
        <v>42</v>
      </c>
      <c r="D36" s="13" t="str">
        <f>IFERROR(IF(INDEX('Form 1 - Município'!D2:D500, MATCH(B36&amp;C36, INDEX('Form 1 - Município'!B2:B500&amp;'Form 1 - Município'!C2:C500, 0), 0))="", "", INDEX('Form 1 - Município'!D2:D500, MATCH(B36&amp;C36, INDEX('Form 1 - Município'!B2:B500&amp;'Form 1 - Município'!C2:C500, 0), 0))), "")</f>
        <v>Vinicius Patriota dos Santos</v>
      </c>
      <c r="E36" s="14" t="s">
        <v>105</v>
      </c>
      <c r="F36" s="13" t="s">
        <v>137</v>
      </c>
      <c r="G36" s="15" t="s">
        <v>107</v>
      </c>
      <c r="H36" s="13"/>
      <c r="I36" s="13"/>
      <c r="J36" s="13" t="s">
        <v>116</v>
      </c>
      <c r="K36" s="13"/>
    </row>
    <row r="37" spans="1:11">
      <c r="A37" s="19" t="s">
        <v>25</v>
      </c>
      <c r="B37" s="13" t="s">
        <v>62</v>
      </c>
      <c r="C37" s="13" t="s">
        <v>42</v>
      </c>
      <c r="D37" s="13" t="str">
        <f>IFERROR(IF(INDEX('Form 1 - Município'!D2:D500, MATCH(B37&amp;C37, INDEX('Form 1 - Município'!B2:B500&amp;'Form 1 - Município'!C2:C500, 0), 0))="", "", INDEX('Form 1 - Município'!D2:D500, MATCH(B37&amp;C37, INDEX('Form 1 - Município'!B2:B500&amp;'Form 1 - Município'!C2:C500, 0), 0))), "")</f>
        <v>Patricia Teixeira dos Santos</v>
      </c>
      <c r="E37" s="14" t="s">
        <v>105</v>
      </c>
      <c r="F37" s="13" t="s">
        <v>250</v>
      </c>
      <c r="G37" s="15" t="s">
        <v>107</v>
      </c>
      <c r="H37" s="13"/>
      <c r="I37" s="13" t="s">
        <v>274</v>
      </c>
      <c r="J37" s="13" t="s">
        <v>107</v>
      </c>
      <c r="K37" s="13" t="s">
        <v>275</v>
      </c>
    </row>
    <row r="38" spans="1:11">
      <c r="A38" s="18" t="s">
        <v>29</v>
      </c>
      <c r="B38" s="13" t="s">
        <v>75</v>
      </c>
      <c r="C38" s="13" t="s">
        <v>42</v>
      </c>
      <c r="D38" s="13" t="str">
        <f>IFERROR(IF(INDEX('Form 1 - Município'!D2:D500, MATCH(B38&amp;C38, INDEX('Form 1 - Município'!B2:B500&amp;'Form 1 - Município'!C2:C500, 0), 0))="", "", INDEX('Form 1 - Município'!D2:D500, MATCH(B38&amp;C38, INDEX('Form 1 - Município'!B2:B500&amp;'Form 1 - Município'!C2:C500, 0), 0))), "")</f>
        <v>Anderson Batista Siqueira</v>
      </c>
      <c r="E38" s="14" t="s">
        <v>105</v>
      </c>
      <c r="F38" s="13" t="s">
        <v>135</v>
      </c>
      <c r="G38" s="15" t="s">
        <v>107</v>
      </c>
      <c r="H38" s="13"/>
      <c r="I38" s="13"/>
      <c r="J38" s="13" t="s">
        <v>116</v>
      </c>
      <c r="K38" s="13"/>
    </row>
    <row r="39" spans="1:11">
      <c r="A39" s="21" t="s">
        <v>28</v>
      </c>
      <c r="B39" s="13" t="s">
        <v>66</v>
      </c>
      <c r="C39" s="13" t="s">
        <v>42</v>
      </c>
      <c r="D39" s="13" t="str">
        <f>IFERROR(IF(INDEX('Form 1 - Município'!D2:D500, MATCH(B39&amp;C39, INDEX('Form 1 - Município'!B2:B500&amp;'Form 1 - Município'!C2:C500, 0), 0))="", "", INDEX('Form 1 - Município'!D2:D500, MATCH(B39&amp;C39, INDEX('Form 1 - Município'!B2:B500&amp;'Form 1 - Município'!C2:C500, 0), 0))), "")</f>
        <v>Aramis Vinicius de Paula Oliveira</v>
      </c>
      <c r="E39" s="14" t="s">
        <v>105</v>
      </c>
      <c r="F39" s="13" t="s">
        <v>127</v>
      </c>
      <c r="G39" s="15" t="s">
        <v>107</v>
      </c>
      <c r="H39" s="13"/>
      <c r="I39" s="13"/>
      <c r="J39" s="13" t="s">
        <v>116</v>
      </c>
      <c r="K39" s="13"/>
    </row>
    <row r="40" spans="1:11">
      <c r="A40" s="12" t="s">
        <v>33</v>
      </c>
      <c r="B40" s="13" t="s">
        <v>92</v>
      </c>
      <c r="C40" s="13" t="s">
        <v>42</v>
      </c>
      <c r="D40" s="13" t="str">
        <f>IFERROR(IF(INDEX('Form 1 - Município'!D2:D500, MATCH(B40&amp;C40, INDEX('Form 1 - Município'!B2:B500&amp;'Form 1 - Município'!C2:C500, 0), 0))="", "", INDEX('Form 1 - Município'!D2:D500, MATCH(B40&amp;C40, INDEX('Form 1 - Município'!B2:B500&amp;'Form 1 - Município'!C2:C500, 0), 0))), "")</f>
        <v>Juliane Gonçalves</v>
      </c>
      <c r="E40" s="14" t="s">
        <v>105</v>
      </c>
      <c r="F40" s="13" t="s">
        <v>217</v>
      </c>
      <c r="G40" s="15" t="s">
        <v>107</v>
      </c>
      <c r="H40" s="13"/>
      <c r="I40" s="13"/>
      <c r="J40" s="13" t="s">
        <v>116</v>
      </c>
      <c r="K40" s="13"/>
    </row>
    <row r="41" spans="1:11">
      <c r="A41" s="16" t="s">
        <v>31</v>
      </c>
      <c r="B41" s="13" t="s">
        <v>85</v>
      </c>
      <c r="C41" s="13" t="s">
        <v>42</v>
      </c>
      <c r="D41" s="13" t="str">
        <f>IFERROR(IF(INDEX('Form 1 - Município'!D2:D500, MATCH(B41&amp;C41, INDEX('Form 1 - Município'!B2:B500&amp;'Form 1 - Município'!C2:C500, 0), 0))="", "", INDEX('Form 1 - Município'!D2:D500, MATCH(B41&amp;C41, INDEX('Form 1 - Município'!B2:B500&amp;'Form 1 - Município'!C2:C500, 0), 0))), "")</f>
        <v>Gustavo Henrique de Andrade</v>
      </c>
      <c r="E41" s="14" t="s">
        <v>105</v>
      </c>
      <c r="F41" s="13" t="s">
        <v>135</v>
      </c>
      <c r="G41" s="15" t="s">
        <v>107</v>
      </c>
      <c r="H41" s="13"/>
      <c r="I41" s="13"/>
      <c r="J41" s="13" t="s">
        <v>116</v>
      </c>
      <c r="K41" s="13"/>
    </row>
    <row r="42" spans="1:11">
      <c r="A42" s="21" t="s">
        <v>28</v>
      </c>
      <c r="B42" s="13" t="s">
        <v>67</v>
      </c>
      <c r="C42" s="13" t="s">
        <v>42</v>
      </c>
      <c r="D42" s="13" t="str">
        <f>IFERROR(IF(INDEX('Form 1 - Município'!D2:D500, MATCH(B42&amp;C42, INDEX('Form 1 - Município'!B2:B500&amp;'Form 1 - Município'!C2:C500, 0), 0))="", "", INDEX('Form 1 - Município'!D2:D500, MATCH(B42&amp;C42, INDEX('Form 1 - Município'!B2:B500&amp;'Form 1 - Município'!C2:C500, 0), 0))), "")</f>
        <v>Ricardo Pyc</v>
      </c>
      <c r="E42" s="14" t="s">
        <v>105</v>
      </c>
      <c r="F42" s="13" t="s">
        <v>137</v>
      </c>
      <c r="G42" s="15" t="s">
        <v>107</v>
      </c>
      <c r="H42" s="13"/>
      <c r="I42" s="13"/>
      <c r="J42" s="13" t="s">
        <v>116</v>
      </c>
      <c r="K42" s="13"/>
    </row>
    <row r="43" spans="1:11">
      <c r="A43" s="17" t="s">
        <v>21</v>
      </c>
      <c r="B43" s="13" t="s">
        <v>58</v>
      </c>
      <c r="C43" s="13" t="s">
        <v>42</v>
      </c>
      <c r="D43" s="13" t="str">
        <f>IFERROR(IF(INDEX('Form 1 - Município'!D2:D500, MATCH(B43&amp;C43, INDEX('Form 1 - Município'!B2:B500&amp;'Form 1 - Município'!C2:C500, 0), 0))="", "", INDEX('Form 1 - Município'!D2:D500, MATCH(B43&amp;C43, INDEX('Form 1 - Município'!B2:B500&amp;'Form 1 - Município'!C2:C500, 0), 0))), "")</f>
        <v>Camila Maytana Flores da Silva</v>
      </c>
      <c r="E43" s="14" t="s">
        <v>105</v>
      </c>
      <c r="F43" s="13" t="s">
        <v>127</v>
      </c>
      <c r="G43" s="15" t="s">
        <v>107</v>
      </c>
      <c r="H43" s="13"/>
      <c r="I43" s="13"/>
      <c r="J43" s="13" t="s">
        <v>116</v>
      </c>
      <c r="K43" s="13"/>
    </row>
    <row r="44" spans="1:11">
      <c r="A44" s="21" t="s">
        <v>28</v>
      </c>
      <c r="B44" s="13" t="s">
        <v>68</v>
      </c>
      <c r="C44" s="13" t="s">
        <v>42</v>
      </c>
      <c r="D44" s="13" t="str">
        <f>IFERROR(IF(INDEX('Form 1 - Município'!D2:D500, MATCH(B44&amp;C44, INDEX('Form 1 - Município'!B2:B500&amp;'Form 1 - Município'!C2:C500, 0), 0))="", "", INDEX('Form 1 - Município'!D2:D500, MATCH(B44&amp;C44, INDEX('Form 1 - Município'!B2:B500&amp;'Form 1 - Município'!C2:C500, 0), 0))), "")</f>
        <v>Claudiana Andria</v>
      </c>
      <c r="E44" s="14" t="s">
        <v>105</v>
      </c>
      <c r="F44" s="13" t="s">
        <v>118</v>
      </c>
      <c r="G44" s="15" t="s">
        <v>107</v>
      </c>
      <c r="H44" s="13"/>
      <c r="I44" s="13"/>
      <c r="J44" s="13" t="s">
        <v>116</v>
      </c>
      <c r="K44" s="13"/>
    </row>
    <row r="45" spans="1:11">
      <c r="A45" s="18" t="s">
        <v>29</v>
      </c>
      <c r="B45" s="13" t="s">
        <v>76</v>
      </c>
      <c r="C45" s="13" t="s">
        <v>42</v>
      </c>
      <c r="D45" s="13" t="str">
        <f>IFERROR(IF(INDEX('Form 1 - Município'!D2:D500, MATCH(B45&amp;C45, INDEX('Form 1 - Município'!B2:B500&amp;'Form 1 - Município'!C2:C500, 0), 0))="", "", INDEX('Form 1 - Município'!D2:D500, MATCH(B45&amp;C45, INDEX('Form 1 - Município'!B2:B500&amp;'Form 1 - Município'!C2:C500, 0), 0))), "")</f>
        <v>Daiana Aparecida Dias</v>
      </c>
      <c r="E45" s="14" t="s">
        <v>105</v>
      </c>
      <c r="F45" s="13" t="s">
        <v>137</v>
      </c>
      <c r="G45" s="15" t="s">
        <v>107</v>
      </c>
      <c r="H45" s="13"/>
      <c r="I45" s="13"/>
      <c r="J45" s="13" t="s">
        <v>116</v>
      </c>
      <c r="K45" s="13"/>
    </row>
    <row r="46" spans="1:11">
      <c r="A46" s="20" t="s">
        <v>17</v>
      </c>
      <c r="B46" s="13" t="s">
        <v>50</v>
      </c>
      <c r="C46" s="13" t="s">
        <v>42</v>
      </c>
      <c r="D46" s="13" t="str">
        <f>IFERROR(IF(INDEX('Form 1 - Município'!D2:D500, MATCH(B46&amp;C46, INDEX('Form 1 - Município'!B2:B500&amp;'Form 1 - Município'!C2:C500, 0), 0))="", "", INDEX('Form 1 - Município'!D2:D500, MATCH(B46&amp;C46, INDEX('Form 1 - Município'!B2:B500&amp;'Form 1 - Município'!C2:C500, 0), 0))), "")</f>
        <v>Maysa Fernanda Back</v>
      </c>
      <c r="E46" s="14" t="s">
        <v>105</v>
      </c>
      <c r="F46" s="13" t="s">
        <v>210</v>
      </c>
      <c r="G46" s="15" t="s">
        <v>107</v>
      </c>
      <c r="H46" s="13"/>
      <c r="I46" s="13"/>
      <c r="J46" s="13" t="s">
        <v>116</v>
      </c>
      <c r="K46" s="13"/>
    </row>
    <row r="47" spans="1:11">
      <c r="A47" s="20" t="s">
        <v>17</v>
      </c>
      <c r="B47" s="13" t="s">
        <v>50</v>
      </c>
      <c r="C47" s="13" t="s">
        <v>43</v>
      </c>
      <c r="D47" s="13" t="str">
        <f>IFERROR(IF(INDEX('Form 1 - Município'!D2:D500, MATCH(B47&amp;C47, INDEX('Form 1 - Município'!B2:B500&amp;'Form 1 - Município'!C2:C500, 0), 0))="", "", INDEX('Form 1 - Município'!D2:D500, MATCH(B47&amp;C47, INDEX('Form 1 - Município'!B2:B500&amp;'Form 1 - Município'!C2:C500, 0), 0))), "")</f>
        <v>Maysa Fernanda Back</v>
      </c>
      <c r="E47" s="14" t="s">
        <v>105</v>
      </c>
      <c r="F47" s="13" t="s">
        <v>106</v>
      </c>
      <c r="G47" s="15" t="s">
        <v>107</v>
      </c>
      <c r="H47" s="13" t="s">
        <v>276</v>
      </c>
      <c r="I47" s="13"/>
      <c r="J47" s="13" t="s">
        <v>116</v>
      </c>
      <c r="K47" s="13"/>
    </row>
    <row r="48" spans="1:11">
      <c r="A48" s="20" t="s">
        <v>17</v>
      </c>
      <c r="B48" s="13" t="s">
        <v>51</v>
      </c>
      <c r="C48" s="13" t="s">
        <v>42</v>
      </c>
      <c r="D48" s="13" t="str">
        <f>IFERROR(IF(INDEX('Form 1 - Município'!D2:D500, MATCH(B48&amp;C48, INDEX('Form 1 - Município'!B2:B500&amp;'Form 1 - Município'!C2:C500, 0), 0))="", "", INDEX('Form 1 - Município'!D2:D500, MATCH(B48&amp;C48, INDEX('Form 1 - Município'!B2:B500&amp;'Form 1 - Município'!C2:C500, 0), 0))), "")</f>
        <v>Jean Eriksen de Miranda</v>
      </c>
      <c r="E48" s="23" t="s">
        <v>5</v>
      </c>
      <c r="F48" s="13" t="s">
        <v>277</v>
      </c>
      <c r="G48" s="22" t="s">
        <v>116</v>
      </c>
      <c r="H48" s="13"/>
      <c r="I48" s="13"/>
      <c r="J48" s="13" t="s">
        <v>116</v>
      </c>
      <c r="K48" s="13"/>
    </row>
    <row r="49" spans="1:11">
      <c r="A49" s="17" t="s">
        <v>21</v>
      </c>
      <c r="B49" s="13" t="s">
        <v>59</v>
      </c>
      <c r="C49" s="13" t="s">
        <v>42</v>
      </c>
      <c r="D49" s="13" t="str">
        <f>IFERROR(IF(INDEX('Form 1 - Município'!D2:D500, MATCH(B49&amp;C49, INDEX('Form 1 - Município'!B2:B500&amp;'Form 1 - Município'!C2:C500, 0), 0))="", "", INDEX('Form 1 - Município'!D2:D500, MATCH(B49&amp;C49, INDEX('Form 1 - Município'!B2:B500&amp;'Form 1 - Município'!C2:C500, 0), 0))), "")</f>
        <v>Ana Paula Cigolini</v>
      </c>
      <c r="E49" s="14" t="s">
        <v>105</v>
      </c>
      <c r="F49" s="13" t="s">
        <v>203</v>
      </c>
      <c r="G49" s="15" t="s">
        <v>107</v>
      </c>
      <c r="H49" s="13"/>
      <c r="I49" s="13"/>
      <c r="J49" s="13" t="s">
        <v>116</v>
      </c>
      <c r="K49" s="13"/>
    </row>
    <row r="50" spans="1:11">
      <c r="A50" s="21" t="s">
        <v>28</v>
      </c>
      <c r="B50" s="13" t="s">
        <v>69</v>
      </c>
      <c r="C50" s="13" t="s">
        <v>42</v>
      </c>
      <c r="D50" s="13" t="str">
        <f>IFERROR(IF(INDEX('Form 1 - Município'!D2:D500, MATCH(B50&amp;C50, INDEX('Form 1 - Município'!B2:B500&amp;'Form 1 - Município'!C2:C500, 0), 0))="", "", INDEX('Form 1 - Município'!D2:D500, MATCH(B50&amp;C50, INDEX('Form 1 - Município'!B2:B500&amp;'Form 1 - Município'!C2:C500, 0), 0))), "")</f>
        <v>Vilmar Ribeiro</v>
      </c>
      <c r="E50" s="14" t="s">
        <v>105</v>
      </c>
      <c r="F50" s="13" t="s">
        <v>137</v>
      </c>
      <c r="G50" s="15" t="s">
        <v>107</v>
      </c>
      <c r="H50" s="13"/>
      <c r="I50" s="13"/>
      <c r="J50" s="13" t="s">
        <v>116</v>
      </c>
      <c r="K50" s="13"/>
    </row>
    <row r="51" spans="1:11">
      <c r="A51" s="18" t="s">
        <v>29</v>
      </c>
      <c r="B51" s="13" t="s">
        <v>77</v>
      </c>
      <c r="C51" s="13" t="s">
        <v>42</v>
      </c>
      <c r="D51" s="13" t="str">
        <f>IFERROR(IF(INDEX('Form 1 - Município'!D2:D500, MATCH(B51&amp;C51, INDEX('Form 1 - Município'!B2:B500&amp;'Form 1 - Município'!C2:C500, 0), 0))="", "", INDEX('Form 1 - Município'!D2:D500, MATCH(B51&amp;C51, INDEX('Form 1 - Município'!B2:B500&amp;'Form 1 - Município'!C2:C500, 0), 0))), "")</f>
        <v>Ana Carolina Bertolaccini</v>
      </c>
      <c r="E51" s="14" t="s">
        <v>105</v>
      </c>
      <c r="F51" s="13" t="s">
        <v>115</v>
      </c>
      <c r="G51" s="15" t="s">
        <v>107</v>
      </c>
      <c r="H51" s="13"/>
      <c r="I51" s="13"/>
      <c r="J51" s="13" t="s">
        <v>116</v>
      </c>
      <c r="K51" s="13"/>
    </row>
    <row r="52" spans="1:11">
      <c r="A52" s="12" t="s">
        <v>33</v>
      </c>
      <c r="B52" s="13" t="s">
        <v>93</v>
      </c>
      <c r="C52" s="13" t="s">
        <v>42</v>
      </c>
      <c r="D52" s="13" t="str">
        <f>IFERROR(IF(INDEX('Form 1 - Município'!D2:D500, MATCH(B52&amp;C52, INDEX('Form 1 - Município'!B2:B500&amp;'Form 1 - Município'!C2:C500, 0), 0))="", "", INDEX('Form 1 - Município'!D2:D500, MATCH(B52&amp;C52, INDEX('Form 1 - Município'!B2:B500&amp;'Form 1 - Município'!C2:C500, 0), 0))), "")</f>
        <v>Maristela da Silva de Oliveira Melo</v>
      </c>
      <c r="E52" s="14" t="s">
        <v>105</v>
      </c>
      <c r="F52" s="13" t="s">
        <v>199</v>
      </c>
      <c r="G52" s="15" t="s">
        <v>107</v>
      </c>
      <c r="H52" s="13"/>
      <c r="I52" s="13"/>
      <c r="J52" s="13" t="s">
        <v>116</v>
      </c>
      <c r="K52" s="13"/>
    </row>
    <row r="53" spans="1:11">
      <c r="A53" s="18" t="s">
        <v>29</v>
      </c>
      <c r="B53" s="13" t="s">
        <v>78</v>
      </c>
      <c r="C53" s="13" t="s">
        <v>42</v>
      </c>
      <c r="D53" s="13" t="str">
        <f>IFERROR(IF(INDEX('Form 1 - Município'!D2:D500, MATCH(B53&amp;C53, INDEX('Form 1 - Município'!B2:B500&amp;'Form 1 - Município'!C2:C500, 0), 0))="", "", INDEX('Form 1 - Município'!D2:D500, MATCH(B53&amp;C53, INDEX('Form 1 - Município'!B2:B500&amp;'Form 1 - Município'!C2:C500, 0), 0))), "")</f>
        <v>Yuri Luiz de Oliveira</v>
      </c>
      <c r="E53" s="14" t="s">
        <v>105</v>
      </c>
      <c r="F53" s="13" t="s">
        <v>135</v>
      </c>
      <c r="G53" s="15" t="s">
        <v>107</v>
      </c>
      <c r="H53" s="13"/>
      <c r="I53" s="13"/>
      <c r="J53" s="13" t="s">
        <v>116</v>
      </c>
      <c r="K53" s="13"/>
    </row>
    <row r="54" spans="1:11">
      <c r="A54" s="21" t="s">
        <v>28</v>
      </c>
      <c r="B54" s="13" t="s">
        <v>70</v>
      </c>
      <c r="C54" s="13" t="s">
        <v>42</v>
      </c>
      <c r="D54" s="13" t="str">
        <f>IFERROR(IF(INDEX('Form 1 - Município'!D2:D500, MATCH(B54&amp;C54, INDEX('Form 1 - Município'!B2:B500&amp;'Form 1 - Município'!C2:C500, 0), 0))="", "", INDEX('Form 1 - Município'!D2:D500, MATCH(B54&amp;C54, INDEX('Form 1 - Município'!B2:B500&amp;'Form 1 - Município'!C2:C500, 0), 0))), "")</f>
        <v/>
      </c>
      <c r="E54" s="14" t="s">
        <v>105</v>
      </c>
      <c r="F54" s="13" t="s">
        <v>139</v>
      </c>
      <c r="G54" s="22" t="s">
        <v>116</v>
      </c>
      <c r="H54" s="13"/>
      <c r="I54" s="13"/>
      <c r="J54" s="13" t="s">
        <v>116</v>
      </c>
      <c r="K54" s="13"/>
    </row>
    <row r="55" spans="1:11">
      <c r="A55" s="12" t="s">
        <v>33</v>
      </c>
      <c r="B55" s="13" t="s">
        <v>94</v>
      </c>
      <c r="C55" s="13" t="s">
        <v>42</v>
      </c>
      <c r="D55" s="13" t="str">
        <f>IFERROR(IF(INDEX('Form 1 - Município'!D2:D500, MATCH(B55&amp;C55, INDEX('Form 1 - Município'!B2:B500&amp;'Form 1 - Município'!C2:C500, 0), 0))="", "", INDEX('Form 1 - Município'!D2:D500, MATCH(B55&amp;C55, INDEX('Form 1 - Município'!B2:B500&amp;'Form 1 - Município'!C2:C500, 0), 0))), "")</f>
        <v>Eliane Stefani Dantas Dias</v>
      </c>
      <c r="E55" s="14" t="s">
        <v>105</v>
      </c>
      <c r="F55" s="13" t="s">
        <v>199</v>
      </c>
      <c r="G55" s="15" t="s">
        <v>107</v>
      </c>
      <c r="H55" s="13"/>
      <c r="I55" s="13" t="s">
        <v>278</v>
      </c>
      <c r="J55" s="13" t="s">
        <v>107</v>
      </c>
      <c r="K55" s="13" t="s">
        <v>279</v>
      </c>
    </row>
    <row r="56" spans="1:11">
      <c r="A56" s="16" t="s">
        <v>31</v>
      </c>
      <c r="B56" s="13" t="s">
        <v>86</v>
      </c>
      <c r="C56" s="13" t="s">
        <v>42</v>
      </c>
      <c r="D56" s="13" t="str">
        <f>IFERROR(IF(INDEX('Form 1 - Município'!D2:D500, MATCH(B56&amp;C56, INDEX('Form 1 - Município'!B2:B500&amp;'Form 1 - Município'!C2:C500, 0), 0))="", "", INDEX('Form 1 - Município'!D2:D500, MATCH(B56&amp;C56, INDEX('Form 1 - Município'!B2:B500&amp;'Form 1 - Município'!C2:C500, 0), 0))), "")</f>
        <v>Diego Batista</v>
      </c>
      <c r="E56" s="14" t="s">
        <v>105</v>
      </c>
      <c r="F56" s="13" t="s">
        <v>135</v>
      </c>
      <c r="G56" s="15" t="s">
        <v>107</v>
      </c>
      <c r="H56" s="13"/>
      <c r="I56" s="13"/>
      <c r="J56" s="13" t="s">
        <v>116</v>
      </c>
      <c r="K56" s="13"/>
    </row>
    <row r="57" spans="1:11">
      <c r="A57" s="20" t="s">
        <v>17</v>
      </c>
      <c r="B57" s="13" t="s">
        <v>52</v>
      </c>
      <c r="C57" s="13" t="s">
        <v>42</v>
      </c>
      <c r="D57" s="13" t="str">
        <f>IFERROR(IF(INDEX('Form 1 - Município'!D2:D500, MATCH(B57&amp;C57, INDEX('Form 1 - Município'!B2:B500&amp;'Form 1 - Município'!C2:C500, 0), 0))="", "", INDEX('Form 1 - Município'!D2:D500, MATCH(B57&amp;C57, INDEX('Form 1 - Município'!B2:B500&amp;'Form 1 - Município'!C2:C500, 0), 0))), "")</f>
        <v>Fernanda Naiara Voinarski</v>
      </c>
      <c r="E57" s="23" t="s">
        <v>5</v>
      </c>
      <c r="F57" s="13" t="s">
        <v>280</v>
      </c>
      <c r="G57" s="22" t="s">
        <v>116</v>
      </c>
      <c r="H57" s="13" t="s">
        <v>281</v>
      </c>
      <c r="I57" s="13" t="s">
        <v>282</v>
      </c>
      <c r="J57" s="13" t="s">
        <v>107</v>
      </c>
      <c r="K57" s="13" t="s">
        <v>283</v>
      </c>
    </row>
    <row r="58" spans="1:11">
      <c r="A58" s="20" t="s">
        <v>17</v>
      </c>
      <c r="B58" s="13" t="s">
        <v>53</v>
      </c>
      <c r="C58" s="13" t="s">
        <v>42</v>
      </c>
      <c r="D58" s="13" t="str">
        <f>IFERROR(IF(INDEX('Form 1 - Município'!D2:D500, MATCH(B58&amp;C58, INDEX('Form 1 - Município'!B2:B500&amp;'Form 1 - Município'!C2:C500, 0), 0))="", "", INDEX('Form 1 - Município'!D2:D500, MATCH(B58&amp;C58, INDEX('Form 1 - Município'!B2:B500&amp;'Form 1 - Município'!C2:C500, 0), 0))), "")</f>
        <v>Pablo Bruno Rosa Oliveira</v>
      </c>
      <c r="E58" s="14" t="s">
        <v>105</v>
      </c>
      <c r="F58" s="13" t="s">
        <v>115</v>
      </c>
      <c r="G58" s="15" t="s">
        <v>107</v>
      </c>
      <c r="H58" s="13"/>
      <c r="I58" s="13"/>
      <c r="J58" s="13" t="s">
        <v>116</v>
      </c>
      <c r="K58" s="13"/>
    </row>
  </sheetData>
  <autoFilter ref="A1:G1" xr:uid="{00000000-0009-0000-0000-000004000000}"/>
  <conditionalFormatting sqref="G2:G58">
    <cfRule type="cellIs" dxfId="9" priority="1" stopIfTrue="1" operator="equal">
      <formula>"Sim"</formula>
    </cfRule>
    <cfRule type="cellIs" dxfId="8" priority="3" stopIfTrue="1" operator="equal">
      <formula>"Não"</formula>
    </cfRule>
  </conditionalFormatting>
  <conditionalFormatting sqref="J2:J58">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58">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2025-11-18T12:01:15Z</dcterms:created>
  <dcterms:modified xsi:type="dcterms:W3CDTF">2025-11-19T11:54:31Z</dcterms:modified>
  <cp:category/>
  <cp:contentStatus/>
</cp:coreProperties>
</file>