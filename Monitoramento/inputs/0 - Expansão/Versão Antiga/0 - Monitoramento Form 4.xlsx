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5" documentId="11_5E82CD19CE367B484420EAFD1C3ED59D6CEEF50F" xr6:coauthVersionLast="47" xr6:coauthVersionMax="47" xr10:uidLastSave="{813E38C8-A433-4715-989A-FC582AF4D9AF}"/>
  <bookViews>
    <workbookView xWindow="0" yWindow="0" windowWidth="0" windowHeight="0" firstSheet="12" activeTab="12" xr2:uid="{00000000-000D-0000-FFFF-FFFF00000000}"/>
  </bookViews>
  <sheets>
    <sheet name="Resumo" sheetId="1" r:id="rId1"/>
    <sheet name="Monitoramento" sheetId="2" r:id="rId2"/>
    <sheet name="Regionais" sheetId="3" r:id="rId3"/>
    <sheet name="01.25" sheetId="4" r:id="rId4"/>
    <sheet name="02.25" sheetId="5" r:id="rId5"/>
    <sheet name="03.25" sheetId="6" r:id="rId6"/>
    <sheet name="04.25" sheetId="7" r:id="rId7"/>
    <sheet name="05.25" sheetId="8" r:id="rId8"/>
    <sheet name="06.25" sheetId="9" r:id="rId9"/>
    <sheet name="07.25" sheetId="10" r:id="rId10"/>
    <sheet name="08.25" sheetId="11" r:id="rId11"/>
    <sheet name="09.25" sheetId="12" r:id="rId12"/>
    <sheet name="10.25" sheetId="13" r:id="rId13"/>
    <sheet name="11.25" sheetId="14" r:id="rId14"/>
    <sheet name="12.25" sheetId="15" r:id="rId15"/>
    <sheet name="Irregulares" sheetId="16"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15" l="1"/>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P70" i="3" a="1"/>
  <c r="P70" i="3"/>
  <c r="O70" i="3" a="1"/>
  <c r="O70" i="3"/>
  <c r="N70" i="3" a="1"/>
  <c r="N70" i="3"/>
  <c r="M70" i="3" a="1"/>
  <c r="M70" i="3"/>
  <c r="L70" i="3" a="1"/>
  <c r="L70" i="3"/>
  <c r="K70" i="3" a="1"/>
  <c r="K70" i="3"/>
  <c r="J70" i="3" a="1"/>
  <c r="J70" i="3"/>
  <c r="I70" i="3" a="1"/>
  <c r="I70" i="3"/>
  <c r="H70" i="3" a="1"/>
  <c r="H70" i="3"/>
  <c r="G70" i="3" a="1"/>
  <c r="G70" i="3"/>
  <c r="F70" i="3" a="1"/>
  <c r="F70" i="3"/>
  <c r="E70" i="3" a="1"/>
  <c r="E70" i="3"/>
  <c r="D70" i="3" a="1"/>
  <c r="D70" i="3"/>
  <c r="P69" i="3" a="1"/>
  <c r="P69" i="3"/>
  <c r="O69" i="3" a="1"/>
  <c r="O69" i="3"/>
  <c r="N69" i="3" a="1"/>
  <c r="N69" i="3"/>
  <c r="M69" i="3" a="1"/>
  <c r="M69" i="3"/>
  <c r="L69" i="3" a="1"/>
  <c r="L69" i="3"/>
  <c r="K69" i="3" a="1"/>
  <c r="K69" i="3"/>
  <c r="J69" i="3" a="1"/>
  <c r="J69" i="3"/>
  <c r="I69" i="3" a="1"/>
  <c r="I69" i="3"/>
  <c r="H69" i="3" a="1"/>
  <c r="H69" i="3"/>
  <c r="G69" i="3" a="1"/>
  <c r="G69" i="3"/>
  <c r="F69" i="3" a="1"/>
  <c r="F69" i="3"/>
  <c r="E69" i="3" a="1"/>
  <c r="E69" i="3"/>
  <c r="D69" i="3" a="1"/>
  <c r="D69" i="3"/>
  <c r="P68" i="3" a="1"/>
  <c r="P68" i="3"/>
  <c r="O68" i="3" a="1"/>
  <c r="O68" i="3"/>
  <c r="N68" i="3" a="1"/>
  <c r="N68" i="3"/>
  <c r="M68" i="3" a="1"/>
  <c r="M68" i="3"/>
  <c r="L68" i="3" a="1"/>
  <c r="L68" i="3"/>
  <c r="K68" i="3" a="1"/>
  <c r="K68" i="3"/>
  <c r="J68" i="3" a="1"/>
  <c r="J68" i="3"/>
  <c r="I68" i="3" a="1"/>
  <c r="I68" i="3"/>
  <c r="H68" i="3" a="1"/>
  <c r="H68" i="3"/>
  <c r="G68" i="3" a="1"/>
  <c r="G68" i="3"/>
  <c r="F68" i="3" a="1"/>
  <c r="F68" i="3"/>
  <c r="E68" i="3" a="1"/>
  <c r="E68" i="3"/>
  <c r="D68" i="3" a="1"/>
  <c r="D68" i="3"/>
  <c r="P67" i="3" a="1"/>
  <c r="P67" i="3"/>
  <c r="O67" i="3" a="1"/>
  <c r="O67" i="3"/>
  <c r="N67" i="3" a="1"/>
  <c r="N67" i="3"/>
  <c r="M67" i="3" a="1"/>
  <c r="M67" i="3"/>
  <c r="L67" i="3" a="1"/>
  <c r="L67" i="3"/>
  <c r="K67" i="3" a="1"/>
  <c r="K67" i="3"/>
  <c r="J67" i="3" a="1"/>
  <c r="J67" i="3"/>
  <c r="I67" i="3" a="1"/>
  <c r="I67" i="3"/>
  <c r="H67" i="3" a="1"/>
  <c r="H67" i="3"/>
  <c r="G67" i="3" a="1"/>
  <c r="G67" i="3"/>
  <c r="F67" i="3" a="1"/>
  <c r="F67" i="3"/>
  <c r="E67" i="3" a="1"/>
  <c r="E67" i="3"/>
  <c r="D67" i="3" a="1"/>
  <c r="D67" i="3"/>
  <c r="P66" i="3" a="1"/>
  <c r="P66" i="3"/>
  <c r="O66" i="3" a="1"/>
  <c r="O66" i="3"/>
  <c r="N66" i="3" a="1"/>
  <c r="N66" i="3"/>
  <c r="M66" i="3" a="1"/>
  <c r="M66" i="3"/>
  <c r="L66" i="3" a="1"/>
  <c r="L66" i="3"/>
  <c r="K66" i="3" a="1"/>
  <c r="K66" i="3"/>
  <c r="J66" i="3" a="1"/>
  <c r="J66" i="3"/>
  <c r="I66" i="3" a="1"/>
  <c r="I66" i="3"/>
  <c r="H66" i="3" a="1"/>
  <c r="H66" i="3"/>
  <c r="G66" i="3" a="1"/>
  <c r="G66" i="3"/>
  <c r="F66" i="3" a="1"/>
  <c r="F66" i="3"/>
  <c r="E66" i="3" a="1"/>
  <c r="E66" i="3"/>
  <c r="D66" i="3" a="1"/>
  <c r="D66" i="3"/>
  <c r="P65" i="3" a="1"/>
  <c r="P65" i="3"/>
  <c r="O65" i="3" a="1"/>
  <c r="O65" i="3"/>
  <c r="N65" i="3" a="1"/>
  <c r="N65" i="3"/>
  <c r="M65" i="3" a="1"/>
  <c r="M65" i="3"/>
  <c r="L65" i="3" a="1"/>
  <c r="L65" i="3"/>
  <c r="K65" i="3" a="1"/>
  <c r="K65" i="3"/>
  <c r="J65" i="3" a="1"/>
  <c r="J65" i="3"/>
  <c r="I65" i="3" a="1"/>
  <c r="I65" i="3"/>
  <c r="H65" i="3" a="1"/>
  <c r="H65" i="3"/>
  <c r="G65" i="3" a="1"/>
  <c r="G65" i="3"/>
  <c r="F65" i="3" a="1"/>
  <c r="F65" i="3"/>
  <c r="E65" i="3" a="1"/>
  <c r="E65" i="3"/>
  <c r="D65" i="3" a="1"/>
  <c r="D65" i="3"/>
  <c r="P64" i="3" a="1"/>
  <c r="P64" i="3"/>
  <c r="O64" i="3" a="1"/>
  <c r="O64" i="3"/>
  <c r="N64" i="3" a="1"/>
  <c r="N64" i="3"/>
  <c r="M64" i="3" a="1"/>
  <c r="M64" i="3"/>
  <c r="L64" i="3" a="1"/>
  <c r="L64" i="3"/>
  <c r="K64" i="3" a="1"/>
  <c r="K64" i="3"/>
  <c r="J64" i="3" a="1"/>
  <c r="J64" i="3"/>
  <c r="I64" i="3" a="1"/>
  <c r="I64" i="3"/>
  <c r="H64" i="3" a="1"/>
  <c r="H64" i="3"/>
  <c r="G64" i="3" a="1"/>
  <c r="G64" i="3"/>
  <c r="F64" i="3" a="1"/>
  <c r="F64" i="3"/>
  <c r="E64" i="3" a="1"/>
  <c r="E64" i="3"/>
  <c r="D64" i="3" a="1"/>
  <c r="D64" i="3"/>
  <c r="P63" i="3" a="1"/>
  <c r="P63" i="3"/>
  <c r="O63" i="3" a="1"/>
  <c r="O63" i="3"/>
  <c r="N63" i="3" a="1"/>
  <c r="N63" i="3"/>
  <c r="M63" i="3" a="1"/>
  <c r="M63" i="3"/>
  <c r="L63" i="3" a="1"/>
  <c r="L63" i="3"/>
  <c r="K63" i="3" a="1"/>
  <c r="K63" i="3"/>
  <c r="J63" i="3" a="1"/>
  <c r="J63" i="3"/>
  <c r="I63" i="3" a="1"/>
  <c r="I63" i="3"/>
  <c r="H63" i="3" a="1"/>
  <c r="H63" i="3"/>
  <c r="G63" i="3" a="1"/>
  <c r="G63" i="3"/>
  <c r="F63" i="3" a="1"/>
  <c r="F63" i="3"/>
  <c r="E63" i="3" a="1"/>
  <c r="E63" i="3"/>
  <c r="D63" i="3" a="1"/>
  <c r="D63" i="3"/>
  <c r="P60" i="3" a="1"/>
  <c r="P60" i="3"/>
  <c r="O60" i="3" a="1"/>
  <c r="O60" i="3"/>
  <c r="N60" i="3" a="1"/>
  <c r="N60" i="3"/>
  <c r="M60" i="3" a="1"/>
  <c r="M60" i="3"/>
  <c r="L60" i="3" a="1"/>
  <c r="L60" i="3"/>
  <c r="K60" i="3" a="1"/>
  <c r="K60" i="3"/>
  <c r="J60" i="3" a="1"/>
  <c r="J60" i="3"/>
  <c r="I60" i="3" a="1"/>
  <c r="I60" i="3"/>
  <c r="H60" i="3" a="1"/>
  <c r="H60" i="3"/>
  <c r="G60" i="3" a="1"/>
  <c r="G60" i="3"/>
  <c r="F60" i="3" a="1"/>
  <c r="F60" i="3"/>
  <c r="E60" i="3" a="1"/>
  <c r="E60" i="3"/>
  <c r="D60" i="3" a="1"/>
  <c r="D60" i="3"/>
  <c r="P59" i="3" a="1"/>
  <c r="P59" i="3"/>
  <c r="O59" i="3" a="1"/>
  <c r="O59" i="3"/>
  <c r="N59" i="3" a="1"/>
  <c r="N59" i="3"/>
  <c r="M59" i="3" a="1"/>
  <c r="M59" i="3"/>
  <c r="L59" i="3" a="1"/>
  <c r="L59" i="3"/>
  <c r="K59" i="3" a="1"/>
  <c r="K59" i="3"/>
  <c r="J59" i="3" a="1"/>
  <c r="J59" i="3"/>
  <c r="I59" i="3" a="1"/>
  <c r="I59" i="3"/>
  <c r="H59" i="3" a="1"/>
  <c r="H59" i="3"/>
  <c r="G59" i="3" a="1"/>
  <c r="G59" i="3"/>
  <c r="F59" i="3" a="1"/>
  <c r="F59" i="3"/>
  <c r="E59" i="3" a="1"/>
  <c r="E59" i="3"/>
  <c r="D59" i="3" a="1"/>
  <c r="D59" i="3"/>
  <c r="P58" i="3" a="1"/>
  <c r="P58" i="3"/>
  <c r="O58" i="3" a="1"/>
  <c r="O58" i="3"/>
  <c r="N58" i="3" a="1"/>
  <c r="N58" i="3"/>
  <c r="M58" i="3" a="1"/>
  <c r="M58" i="3"/>
  <c r="L58" i="3" a="1"/>
  <c r="L58" i="3"/>
  <c r="K58" i="3" a="1"/>
  <c r="K58" i="3"/>
  <c r="J58" i="3" a="1"/>
  <c r="J58" i="3"/>
  <c r="I58" i="3" a="1"/>
  <c r="I58" i="3"/>
  <c r="H58" i="3" a="1"/>
  <c r="H58" i="3"/>
  <c r="G58" i="3" a="1"/>
  <c r="G58" i="3"/>
  <c r="F58" i="3" a="1"/>
  <c r="F58" i="3"/>
  <c r="E58" i="3" a="1"/>
  <c r="E58" i="3"/>
  <c r="D58" i="3" a="1"/>
  <c r="D58" i="3"/>
  <c r="P57" i="3" a="1"/>
  <c r="P57" i="3"/>
  <c r="O57" i="3" a="1"/>
  <c r="O57" i="3"/>
  <c r="N57" i="3" a="1"/>
  <c r="N57" i="3"/>
  <c r="M57" i="3" a="1"/>
  <c r="M57" i="3"/>
  <c r="L57" i="3" a="1"/>
  <c r="L57" i="3"/>
  <c r="K57" i="3" a="1"/>
  <c r="K57" i="3"/>
  <c r="J57" i="3" a="1"/>
  <c r="J57" i="3"/>
  <c r="I57" i="3" a="1"/>
  <c r="I57" i="3"/>
  <c r="H57" i="3" a="1"/>
  <c r="H57" i="3"/>
  <c r="G57" i="3" a="1"/>
  <c r="G57" i="3"/>
  <c r="F57" i="3" a="1"/>
  <c r="F57" i="3"/>
  <c r="E57" i="3" a="1"/>
  <c r="E57" i="3"/>
  <c r="D57" i="3" a="1"/>
  <c r="D57" i="3"/>
  <c r="P56" i="3" a="1"/>
  <c r="P56" i="3"/>
  <c r="O56" i="3" a="1"/>
  <c r="O56" i="3"/>
  <c r="N56" i="3" a="1"/>
  <c r="N56" i="3"/>
  <c r="M56" i="3" a="1"/>
  <c r="M56" i="3"/>
  <c r="L56" i="3" a="1"/>
  <c r="L56" i="3"/>
  <c r="K56" i="3" a="1"/>
  <c r="K56" i="3"/>
  <c r="J56" i="3" a="1"/>
  <c r="J56" i="3"/>
  <c r="I56" i="3" a="1"/>
  <c r="I56" i="3"/>
  <c r="H56" i="3" a="1"/>
  <c r="H56" i="3"/>
  <c r="G56" i="3" a="1"/>
  <c r="G56" i="3"/>
  <c r="F56" i="3" a="1"/>
  <c r="F56" i="3"/>
  <c r="E56" i="3" a="1"/>
  <c r="E56" i="3"/>
  <c r="D56" i="3" a="1"/>
  <c r="D56" i="3"/>
  <c r="P55" i="3" a="1"/>
  <c r="P55" i="3"/>
  <c r="O55" i="3" a="1"/>
  <c r="O55" i="3"/>
  <c r="N55" i="3" a="1"/>
  <c r="N55" i="3"/>
  <c r="M55" i="3" a="1"/>
  <c r="M55" i="3"/>
  <c r="L55" i="3" a="1"/>
  <c r="L55" i="3"/>
  <c r="K55" i="3" a="1"/>
  <c r="K55" i="3"/>
  <c r="J55" i="3" a="1"/>
  <c r="J55" i="3"/>
  <c r="I55" i="3" a="1"/>
  <c r="I55" i="3"/>
  <c r="H55" i="3" a="1"/>
  <c r="H55" i="3"/>
  <c r="G55" i="3" a="1"/>
  <c r="G55" i="3"/>
  <c r="F55" i="3" a="1"/>
  <c r="F55" i="3"/>
  <c r="E55" i="3" a="1"/>
  <c r="E55" i="3"/>
  <c r="D55" i="3" a="1"/>
  <c r="D55" i="3"/>
  <c r="P54" i="3" a="1"/>
  <c r="P54" i="3"/>
  <c r="O54" i="3" a="1"/>
  <c r="O54" i="3"/>
  <c r="N54" i="3" a="1"/>
  <c r="N54" i="3"/>
  <c r="M54" i="3" a="1"/>
  <c r="M54" i="3"/>
  <c r="L54" i="3" a="1"/>
  <c r="L54" i="3"/>
  <c r="K54" i="3" a="1"/>
  <c r="K54" i="3"/>
  <c r="J54" i="3" a="1"/>
  <c r="J54" i="3"/>
  <c r="I54" i="3" a="1"/>
  <c r="I54" i="3"/>
  <c r="H54" i="3" a="1"/>
  <c r="H54" i="3"/>
  <c r="G54" i="3" a="1"/>
  <c r="G54" i="3"/>
  <c r="F54" i="3" a="1"/>
  <c r="F54" i="3"/>
  <c r="E54" i="3" a="1"/>
  <c r="E54" i="3"/>
  <c r="D54" i="3" a="1"/>
  <c r="D54" i="3"/>
  <c r="P53" i="3" a="1"/>
  <c r="P53" i="3"/>
  <c r="O53" i="3" a="1"/>
  <c r="O53" i="3"/>
  <c r="N53" i="3" a="1"/>
  <c r="N53" i="3"/>
  <c r="M53" i="3" a="1"/>
  <c r="M53" i="3"/>
  <c r="L53" i="3" a="1"/>
  <c r="L53" i="3"/>
  <c r="K53" i="3" a="1"/>
  <c r="K53" i="3"/>
  <c r="J53" i="3" a="1"/>
  <c r="J53" i="3"/>
  <c r="I53" i="3" a="1"/>
  <c r="I53" i="3"/>
  <c r="H53" i="3" a="1"/>
  <c r="H53" i="3"/>
  <c r="G53" i="3" a="1"/>
  <c r="G53" i="3"/>
  <c r="F53" i="3" a="1"/>
  <c r="F53" i="3"/>
  <c r="E53" i="3" a="1"/>
  <c r="E53" i="3"/>
  <c r="D53" i="3" a="1"/>
  <c r="D53" i="3"/>
  <c r="P50" i="3" a="1"/>
  <c r="P50" i="3"/>
  <c r="O50" i="3" a="1"/>
  <c r="O50" i="3"/>
  <c r="N50" i="3" a="1"/>
  <c r="N50" i="3"/>
  <c r="M50" i="3" a="1"/>
  <c r="M50" i="3"/>
  <c r="L50" i="3" a="1"/>
  <c r="L50" i="3"/>
  <c r="K50" i="3" a="1"/>
  <c r="K50" i="3"/>
  <c r="J50" i="3" a="1"/>
  <c r="J50" i="3"/>
  <c r="I50" i="3" a="1"/>
  <c r="I50" i="3"/>
  <c r="H50" i="3" a="1"/>
  <c r="H50" i="3"/>
  <c r="G50" i="3" a="1"/>
  <c r="G50" i="3"/>
  <c r="F50" i="3" a="1"/>
  <c r="F50" i="3"/>
  <c r="E50" i="3" a="1"/>
  <c r="E50" i="3"/>
  <c r="D50" i="3" a="1"/>
  <c r="D50" i="3"/>
  <c r="P49" i="3" a="1"/>
  <c r="P49" i="3"/>
  <c r="O49" i="3" a="1"/>
  <c r="O49" i="3"/>
  <c r="N49" i="3" a="1"/>
  <c r="N49" i="3"/>
  <c r="M49" i="3" a="1"/>
  <c r="M49" i="3"/>
  <c r="L49" i="3" a="1"/>
  <c r="L49" i="3"/>
  <c r="K49" i="3" a="1"/>
  <c r="K49" i="3"/>
  <c r="J49" i="3" a="1"/>
  <c r="J49" i="3"/>
  <c r="I49" i="3" a="1"/>
  <c r="I49" i="3"/>
  <c r="H49" i="3" a="1"/>
  <c r="H49" i="3"/>
  <c r="G49" i="3" a="1"/>
  <c r="G49" i="3"/>
  <c r="F49" i="3" a="1"/>
  <c r="F49" i="3"/>
  <c r="E49" i="3" a="1"/>
  <c r="E49" i="3"/>
  <c r="D49" i="3" a="1"/>
  <c r="D49" i="3"/>
  <c r="R13" i="1"/>
  <c r="O48" i="3" a="1"/>
  <c r="K43" i="3" a="1"/>
  <c r="P48" i="3" a="1"/>
  <c r="M48" i="3" a="1"/>
  <c r="J48" i="3" a="1"/>
  <c r="G48" i="3" a="1"/>
  <c r="D48" i="3" a="1"/>
  <c r="N47" i="3" a="1"/>
  <c r="K47" i="3" a="1"/>
  <c r="H47" i="3" a="1"/>
  <c r="E47" i="3" a="1"/>
  <c r="O46" i="3" a="1"/>
  <c r="L46" i="3" a="1"/>
  <c r="I46" i="3" a="1"/>
  <c r="F46" i="3" a="1"/>
  <c r="P45" i="3" a="1"/>
  <c r="M45" i="3" a="1"/>
  <c r="J45" i="3" a="1"/>
  <c r="G45" i="3" a="1"/>
  <c r="D45" i="3" a="1"/>
  <c r="N44" i="3" a="1"/>
  <c r="K44" i="3" a="1"/>
  <c r="H44" i="3" a="1"/>
  <c r="E44" i="3" a="1"/>
  <c r="O43" i="3" a="1"/>
  <c r="L43" i="3" a="1"/>
  <c r="I43" i="3" a="1"/>
  <c r="F43" i="3" a="1"/>
  <c r="I40" i="3" a="1"/>
  <c r="M39" i="3" a="1"/>
  <c r="D39" i="3" a="1"/>
  <c r="H38" i="3" a="1"/>
  <c r="L37" i="3" a="1"/>
  <c r="P36" i="3" a="1"/>
  <c r="G36" i="3" a="1"/>
  <c r="K35" i="3" a="1"/>
  <c r="O34" i="3" a="1"/>
  <c r="F34" i="3" a="1"/>
  <c r="J33" i="3" a="1"/>
  <c r="N30" i="3" a="1"/>
  <c r="E30" i="3" a="1"/>
  <c r="I29" i="3" a="1"/>
  <c r="M28" i="3" a="1"/>
  <c r="M40" i="3" a="1"/>
  <c r="I48" i="3" a="1"/>
  <c r="M47" i="3" a="1"/>
  <c r="G47" i="3" a="1"/>
  <c r="N46" i="3" a="1"/>
  <c r="H46" i="3" a="1"/>
  <c r="O45" i="3" a="1"/>
  <c r="I45" i="3" a="1"/>
  <c r="P44" i="3" a="1"/>
  <c r="J44" i="3" a="1"/>
  <c r="D44" i="3" a="1"/>
  <c r="E43" i="3" a="1"/>
  <c r="P39" i="3" a="1"/>
  <c r="K38" i="3" a="1"/>
  <c r="O37" i="3" a="1"/>
  <c r="J36" i="3" a="1"/>
  <c r="E35" i="3" a="1"/>
  <c r="M33" i="3" a="1"/>
  <c r="L29" i="3" a="1"/>
  <c r="P40" i="3" a="1"/>
  <c r="N48" i="3" a="1"/>
  <c r="K48" i="3" a="1"/>
  <c r="H48" i="3" a="1"/>
  <c r="E48" i="3" a="1"/>
  <c r="O47" i="3" a="1"/>
  <c r="L47" i="3" a="1"/>
  <c r="I47" i="3" a="1"/>
  <c r="F47" i="3" a="1"/>
  <c r="P46" i="3" a="1"/>
  <c r="M46" i="3" a="1"/>
  <c r="J46" i="3" a="1"/>
  <c r="G46" i="3" a="1"/>
  <c r="D46" i="3" a="1"/>
  <c r="N45" i="3" a="1"/>
  <c r="K45" i="3" a="1"/>
  <c r="H45" i="3" a="1"/>
  <c r="E45" i="3" a="1"/>
  <c r="O44" i="3" a="1"/>
  <c r="L44" i="3" a="1"/>
  <c r="I44" i="3" a="1"/>
  <c r="F44" i="3" a="1"/>
  <c r="P43" i="3" a="1"/>
  <c r="M43" i="3" a="1"/>
  <c r="J43" i="3" a="1"/>
  <c r="G43" i="3" a="1"/>
  <c r="D43" i="3" a="1"/>
  <c r="O40" i="3" a="1"/>
  <c r="F40" i="3" a="1"/>
  <c r="J39" i="3" a="1"/>
  <c r="N38" i="3" a="1"/>
  <c r="E38" i="3" a="1"/>
  <c r="I37" i="3" a="1"/>
  <c r="M36" i="3" a="1"/>
  <c r="D36" i="3" a="1"/>
  <c r="H35" i="3" a="1"/>
  <c r="L34" i="3" a="1"/>
  <c r="P33" i="3" a="1"/>
  <c r="G33" i="3" a="1"/>
  <c r="K30" i="3" a="1"/>
  <c r="O29" i="3" a="1"/>
  <c r="F29" i="3" a="1"/>
  <c r="J28" i="3" a="1"/>
  <c r="J40" i="3" a="1"/>
  <c r="L48" i="3" a="1"/>
  <c r="F48" i="3" a="1"/>
  <c r="P47" i="3" a="1"/>
  <c r="J47" i="3" a="1"/>
  <c r="D47" i="3" a="1"/>
  <c r="K46" i="3" a="1"/>
  <c r="E46" i="3" a="1"/>
  <c r="L45" i="3" a="1"/>
  <c r="F45" i="3" a="1"/>
  <c r="M44" i="3" a="1"/>
  <c r="G44" i="3" a="1"/>
  <c r="N43" i="3" a="1"/>
  <c r="H43" i="3" a="1"/>
  <c r="L40" i="3" a="1"/>
  <c r="G39" i="3" a="1"/>
  <c r="F37" i="3" a="1"/>
  <c r="N35" i="3" a="1"/>
  <c r="I34" i="3" a="1"/>
  <c r="D33" i="3" a="1"/>
  <c r="H30" i="3" a="1"/>
  <c r="P28" i="3" a="1"/>
  <c r="H43" i="3" l="1"/>
  <c r="N43" i="3"/>
  <c r="G44" i="3"/>
  <c r="M44" i="3"/>
  <c r="F45" i="3"/>
  <c r="L45" i="3"/>
  <c r="E46" i="3"/>
  <c r="K46" i="3"/>
  <c r="D47" i="3"/>
  <c r="J47" i="3"/>
  <c r="P47" i="3"/>
  <c r="F48" i="3"/>
  <c r="L48" i="3"/>
  <c r="D43" i="3"/>
  <c r="G43" i="3"/>
  <c r="J43" i="3"/>
  <c r="M43" i="3"/>
  <c r="P43" i="3"/>
  <c r="F44" i="3"/>
  <c r="I44" i="3"/>
  <c r="L44" i="3"/>
  <c r="O44" i="3"/>
  <c r="E45" i="3"/>
  <c r="H45" i="3"/>
  <c r="K45" i="3"/>
  <c r="N45" i="3"/>
  <c r="D46" i="3"/>
  <c r="G46" i="3"/>
  <c r="J46" i="3"/>
  <c r="M46" i="3"/>
  <c r="P46" i="3"/>
  <c r="F47" i="3"/>
  <c r="I47" i="3"/>
  <c r="L47" i="3"/>
  <c r="O47" i="3"/>
  <c r="E48" i="3"/>
  <c r="H48" i="3"/>
  <c r="K48" i="3"/>
  <c r="N48" i="3"/>
  <c r="E43" i="3"/>
  <c r="D44" i="3"/>
  <c r="J44" i="3"/>
  <c r="P44" i="3"/>
  <c r="I45" i="3"/>
  <c r="O45" i="3"/>
  <c r="H46" i="3"/>
  <c r="N46" i="3"/>
  <c r="G47" i="3"/>
  <c r="M47" i="3"/>
  <c r="I48" i="3"/>
  <c r="F43" i="3"/>
  <c r="I43" i="3"/>
  <c r="L43" i="3"/>
  <c r="O43" i="3"/>
  <c r="E44" i="3"/>
  <c r="H44" i="3"/>
  <c r="K44" i="3"/>
  <c r="N44" i="3"/>
  <c r="D45" i="3"/>
  <c r="G45" i="3"/>
  <c r="J45" i="3"/>
  <c r="M45" i="3"/>
  <c r="P45" i="3"/>
  <c r="F46" i="3"/>
  <c r="I46" i="3"/>
  <c r="L46" i="3"/>
  <c r="O46" i="3"/>
  <c r="E47" i="3"/>
  <c r="H47" i="3"/>
  <c r="K47" i="3"/>
  <c r="N47" i="3"/>
  <c r="D48" i="3"/>
  <c r="G48" i="3"/>
  <c r="J48" i="3"/>
  <c r="M48" i="3"/>
  <c r="P48" i="3"/>
  <c r="K43" i="3"/>
  <c r="O48" i="3"/>
  <c r="J40" i="3"/>
  <c r="M40" i="3"/>
  <c r="P40" i="3"/>
  <c r="J28" i="3"/>
  <c r="M28" i="3"/>
  <c r="P28" i="3"/>
  <c r="F29" i="3"/>
  <c r="I29" i="3"/>
  <c r="L29" i="3"/>
  <c r="O29" i="3"/>
  <c r="E30" i="3"/>
  <c r="H30" i="3"/>
  <c r="K30" i="3"/>
  <c r="N30" i="3"/>
  <c r="D33" i="3"/>
  <c r="G33" i="3"/>
  <c r="J33" i="3"/>
  <c r="M33" i="3"/>
  <c r="P33" i="3"/>
  <c r="F34" i="3"/>
  <c r="I34" i="3"/>
  <c r="L34" i="3"/>
  <c r="O34" i="3"/>
  <c r="E35" i="3"/>
  <c r="H35" i="3"/>
  <c r="K35" i="3"/>
  <c r="N35" i="3"/>
  <c r="D36" i="3"/>
  <c r="G36" i="3"/>
  <c r="J36" i="3"/>
  <c r="M36" i="3"/>
  <c r="P36" i="3"/>
  <c r="F37" i="3"/>
  <c r="I37" i="3"/>
  <c r="L37" i="3"/>
  <c r="O37" i="3"/>
  <c r="E38" i="3"/>
  <c r="H38" i="3"/>
  <c r="K38" i="3"/>
  <c r="N38" i="3"/>
  <c r="D39" i="3"/>
  <c r="G39" i="3"/>
  <c r="J39" i="3"/>
  <c r="M39" i="3"/>
  <c r="P39" i="3"/>
  <c r="F40" i="3"/>
  <c r="I40" i="3"/>
  <c r="L40" i="3"/>
  <c r="O40" i="3"/>
  <c r="O38" i="3" a="1"/>
  <c r="N36" i="3" a="1"/>
  <c r="M34" i="3" a="1"/>
  <c r="L30" i="3" a="1"/>
  <c r="K28" i="3" a="1"/>
  <c r="E40" i="3" a="1"/>
  <c r="D38" i="3" a="1"/>
  <c r="N29" i="3" a="1"/>
  <c r="I24" i="3" a="1"/>
  <c r="H22" i="3" a="1"/>
  <c r="H39" i="3" a="1"/>
  <c r="G37" i="3" a="1"/>
  <c r="F35" i="3" a="1"/>
  <c r="E33" i="3" a="1"/>
  <c r="D29" i="3" a="1"/>
  <c r="K40" i="3" a="1"/>
  <c r="K40" i="3" l="1"/>
  <c r="D29" i="3"/>
  <c r="E33" i="3"/>
  <c r="F35" i="3"/>
  <c r="G37" i="3"/>
  <c r="H39" i="3"/>
  <c r="H22" i="3"/>
  <c r="I24" i="3"/>
  <c r="N29" i="3"/>
  <c r="D38" i="3"/>
  <c r="E40" i="3"/>
  <c r="K28" i="3"/>
  <c r="L30" i="3"/>
  <c r="M34" i="3"/>
  <c r="N36" i="3"/>
  <c r="O38" i="3"/>
  <c r="J38" i="3" a="1"/>
  <c r="N22" i="3" a="1"/>
  <c r="K37" i="3" a="1"/>
  <c r="I22" i="3" a="1"/>
  <c r="P25" i="3" a="1"/>
  <c r="J14" i="3" a="1"/>
  <c r="G8" i="3" a="1"/>
  <c r="D2" i="3" a="1"/>
  <c r="D18" i="3" a="1"/>
  <c r="G9" i="3" a="1"/>
  <c r="E39" i="3" a="1"/>
  <c r="O30" i="3" a="1"/>
  <c r="G38" i="3" a="1"/>
  <c r="K22" i="3" a="1"/>
  <c r="O36" i="3" a="1"/>
  <c r="F22" i="3" a="1"/>
  <c r="N25" i="3" a="1"/>
  <c r="G14" i="3" a="1"/>
  <c r="D8" i="3" a="1"/>
  <c r="M70" i="2" a="1"/>
  <c r="O17" i="3" a="1"/>
  <c r="D9" i="3" a="1"/>
  <c r="N2" i="3" a="1"/>
  <c r="P13" i="3" a="1"/>
  <c r="P20" i="3" a="1"/>
  <c r="O23" i="3" a="1"/>
  <c r="D69" i="2" a="1"/>
  <c r="K2" i="3" a="1"/>
  <c r="M10" i="3" a="1"/>
  <c r="K68" i="2" a="1"/>
  <c r="G59" i="2" a="1"/>
  <c r="O19" i="3" a="1"/>
  <c r="O19" i="3" l="1"/>
  <c r="G59" i="2"/>
  <c r="K68" i="2"/>
  <c r="M10" i="3"/>
  <c r="K2" i="3"/>
  <c r="D69" i="2"/>
  <c r="O23" i="3"/>
  <c r="P20" i="3"/>
  <c r="P13" i="3"/>
  <c r="N2" i="3"/>
  <c r="D9" i="3"/>
  <c r="O17" i="3"/>
  <c r="M70" i="2"/>
  <c r="D8" i="3"/>
  <c r="G14" i="3"/>
  <c r="N25" i="3"/>
  <c r="F22" i="3"/>
  <c r="O36" i="3"/>
  <c r="K22" i="3"/>
  <c r="G38" i="3"/>
  <c r="O30" i="3"/>
  <c r="E39" i="3"/>
  <c r="G9" i="3"/>
  <c r="D18" i="3"/>
  <c r="D2" i="3"/>
  <c r="G8" i="3"/>
  <c r="J14" i="3"/>
  <c r="P25" i="3"/>
  <c r="I22" i="3"/>
  <c r="K37" i="3"/>
  <c r="N22" i="3"/>
  <c r="J38" i="3"/>
  <c r="M5" i="3" a="1"/>
  <c r="P4" i="3" a="1"/>
  <c r="D34" i="3" a="1"/>
  <c r="K36" i="3" a="1"/>
  <c r="D20" i="3" a="1"/>
  <c r="P22" i="3" a="1"/>
  <c r="D68" i="2" a="1"/>
  <c r="H36" i="3" a="1"/>
  <c r="N19" i="3" a="1"/>
  <c r="H33" i="3" a="1"/>
  <c r="O35" i="3" a="1"/>
  <c r="H19" i="3" a="1"/>
  <c r="N21" i="3" a="1"/>
  <c r="G67" i="2" a="1"/>
  <c r="L35" i="3" a="1"/>
  <c r="E19" i="3" a="1"/>
  <c r="E21" i="3" a="1"/>
  <c r="D67" i="2" a="1"/>
  <c r="O20" i="3" a="1"/>
  <c r="J8" i="3" a="1"/>
  <c r="H6" i="3" a="1"/>
  <c r="L19" i="3" a="1"/>
  <c r="J6" i="3" a="1"/>
  <c r="I28" i="3" a="1"/>
  <c r="M25" i="3" a="1"/>
  <c r="N4" i="3" a="1"/>
  <c r="K25" i="3" a="1"/>
  <c r="K4" i="3" a="1"/>
  <c r="K5" i="3" a="1"/>
  <c r="P14" i="3" a="1"/>
  <c r="M6" i="3" a="1"/>
  <c r="G63" i="2" a="1"/>
  <c r="I39" i="3" a="1"/>
  <c r="I39" i="3" l="1"/>
  <c r="G63" i="2"/>
  <c r="M6" i="3"/>
  <c r="P14" i="3"/>
  <c r="K5" i="3"/>
  <c r="K4" i="3"/>
  <c r="K25" i="3"/>
  <c r="N4" i="3"/>
  <c r="M25" i="3"/>
  <c r="I28" i="3"/>
  <c r="J6" i="3"/>
  <c r="L19" i="3"/>
  <c r="H6" i="3"/>
  <c r="J8" i="3"/>
  <c r="O20" i="3"/>
  <c r="D67" i="2"/>
  <c r="E21" i="3"/>
  <c r="E19" i="3"/>
  <c r="L35" i="3"/>
  <c r="G67" i="2"/>
  <c r="N21" i="3"/>
  <c r="H19" i="3"/>
  <c r="O35" i="3"/>
  <c r="H33" i="3"/>
  <c r="N19" i="3"/>
  <c r="H36" i="3"/>
  <c r="D68" i="2"/>
  <c r="P22" i="3"/>
  <c r="D20" i="3"/>
  <c r="K36" i="3"/>
  <c r="D34" i="3"/>
  <c r="P4" i="3"/>
  <c r="M5" i="3"/>
  <c r="D28" i="3" a="1"/>
  <c r="E28" i="3" a="1"/>
  <c r="L25" i="3" a="1"/>
  <c r="D12" i="3" a="1"/>
  <c r="N10" i="3" a="1"/>
  <c r="J25" i="3" a="1"/>
  <c r="F25" i="3" a="1"/>
  <c r="I25" i="3" a="1"/>
  <c r="N11" i="3" a="1"/>
  <c r="H28" i="3" a="1"/>
  <c r="M12" i="3" a="1"/>
  <c r="M38" i="3" a="1"/>
  <c r="D11" i="3" a="1"/>
  <c r="P24" i="3" a="1"/>
  <c r="M11" i="3" a="1"/>
  <c r="J10" i="3" a="1"/>
  <c r="J13" i="3" a="1"/>
  <c r="N64" i="2" a="1"/>
  <c r="J5" i="3" a="1"/>
  <c r="E29" i="3" a="1"/>
  <c r="O8" i="3" a="1"/>
  <c r="I60" i="2" a="1"/>
  <c r="O39" i="2" a="1"/>
  <c r="H20" i="3" a="1"/>
  <c r="M20" i="3" a="1"/>
  <c r="M7" i="3" a="1"/>
  <c r="P23" i="3" a="1"/>
  <c r="J2" i="3" a="1"/>
  <c r="P8" i="3" a="1"/>
  <c r="L28" i="3" a="1"/>
  <c r="J34" i="3" a="1"/>
  <c r="I17" i="3" a="1"/>
  <c r="M67" i="2" a="1"/>
  <c r="E23" i="3" a="1"/>
  <c r="I36" i="3" a="1"/>
  <c r="F28" i="3" a="1"/>
  <c r="J21" i="3" a="1"/>
  <c r="N37" i="3" a="1"/>
  <c r="N7" i="3" a="1"/>
  <c r="G5" i="3" a="1"/>
  <c r="L4" i="3" a="1"/>
  <c r="I10" i="3" a="1"/>
  <c r="E20" i="3" a="1"/>
  <c r="J20" i="3" a="1"/>
  <c r="L21" i="3" a="1"/>
  <c r="G30" i="3" a="1"/>
  <c r="M22" i="3" a="1"/>
  <c r="M3" i="3" a="1"/>
  <c r="L13" i="3" a="1"/>
  <c r="G34" i="3" a="1"/>
  <c r="O14" i="3" a="1"/>
  <c r="P35" i="3" a="1"/>
  <c r="D60" i="2" a="1"/>
  <c r="M35" i="3" a="1"/>
  <c r="H37" i="3" a="1"/>
  <c r="O6" i="3" a="1"/>
  <c r="E18" i="3" a="1"/>
  <c r="J58" i="2" a="1"/>
  <c r="D39" i="2" a="1"/>
  <c r="O56" i="2" a="1"/>
  <c r="M12" i="2" a="1"/>
  <c r="F12" i="2" a="1"/>
  <c r="E69" i="2" a="1"/>
  <c r="O55" i="2" a="1"/>
  <c r="K49" i="2" a="1"/>
  <c r="E43" i="2" a="1"/>
  <c r="O13" i="3" a="1"/>
  <c r="I18" i="3" a="1"/>
  <c r="L38" i="3" a="1"/>
  <c r="H24" i="3" a="1"/>
  <c r="P2" i="3" a="1"/>
  <c r="O18" i="3" a="1"/>
  <c r="E10" i="3" a="1"/>
  <c r="J35" i="3" a="1"/>
  <c r="E14" i="3" a="1"/>
  <c r="H4" i="3" a="1"/>
  <c r="G3" i="3" a="1"/>
  <c r="L43" i="2" a="1"/>
  <c r="G23" i="2" a="1"/>
  <c r="P18" i="3" a="1"/>
  <c r="I19" i="3" a="1"/>
  <c r="D14" i="3" a="1"/>
  <c r="I9" i="3" a="1"/>
  <c r="J17" i="3" a="1"/>
  <c r="F7" i="3" a="1"/>
  <c r="M68" i="2" a="1"/>
  <c r="G10" i="3" a="1"/>
  <c r="D40" i="3" a="1"/>
  <c r="O28" i="3" a="1"/>
  <c r="O22" i="3" a="1"/>
  <c r="F13" i="3" a="1"/>
  <c r="G18" i="3" a="1"/>
  <c r="K33" i="3" a="1"/>
  <c r="K21" i="3" a="1"/>
  <c r="M8" i="3" a="1"/>
  <c r="E5" i="3" a="1"/>
  <c r="M56" i="2" a="1"/>
  <c r="G35" i="3" a="1"/>
  <c r="H58" i="2" a="1"/>
  <c r="L39" i="2" a="1"/>
  <c r="E66" i="2" a="1"/>
  <c r="D11" i="2" a="1"/>
  <c r="E18" i="1" a="1"/>
  <c r="O8" i="2" a="1"/>
  <c r="F10" i="3" a="1"/>
  <c r="I20" i="3" a="1"/>
  <c r="I59" i="2" a="1"/>
  <c r="O69" i="2" a="1"/>
  <c r="G28" i="2" a="1"/>
  <c r="J66" i="2" a="1"/>
  <c r="J7" i="3" a="1"/>
  <c r="P37" i="3" a="1"/>
  <c r="D64" i="2" a="1"/>
  <c r="G57" i="2" a="1"/>
  <c r="H40" i="3" a="1"/>
  <c r="O25" i="3" a="1"/>
  <c r="I33" i="3" a="1"/>
  <c r="L64" i="2" a="1"/>
  <c r="H7" i="3" a="1"/>
  <c r="J48" i="2" a="1"/>
  <c r="N18" i="2" a="1"/>
  <c r="D21" i="3" a="1"/>
  <c r="M39" i="2" a="1"/>
  <c r="B5" i="1"/>
  <c r="M25" i="2" a="1"/>
  <c r="P34" i="3" a="1"/>
  <c r="D45" i="2" a="1"/>
  <c r="I30" i="3" a="1"/>
  <c r="K70" i="2" a="1"/>
  <c r="F6" i="2" a="1"/>
  <c r="E26" i="1" a="1"/>
  <c r="P30" i="3" a="1"/>
  <c r="E2" i="3" a="1"/>
  <c r="F70" i="2" a="1"/>
  <c r="E5" i="2" a="1"/>
  <c r="I22" i="2" a="1"/>
  <c r="E7" i="3" a="1"/>
  <c r="I54" i="2" a="1"/>
  <c r="N5" i="3" a="1"/>
  <c r="M24" i="3" a="1"/>
  <c r="J60" i="2" a="1"/>
  <c r="H5" i="3" a="1"/>
  <c r="N69" i="2" a="1"/>
  <c r="J30" i="3" a="1"/>
  <c r="D37" i="3" a="1"/>
  <c r="F38" i="3" a="1"/>
  <c r="J23" i="3" a="1"/>
  <c r="L11" i="3" a="1"/>
  <c r="M9" i="3" a="1"/>
  <c r="O11" i="3" a="1"/>
  <c r="H21" i="3" a="1"/>
  <c r="D17" i="3" a="1"/>
  <c r="H2" i="3" a="1"/>
  <c r="I8" i="3" a="1"/>
  <c r="L24" i="3" a="1"/>
  <c r="G28" i="3" a="1"/>
  <c r="J9" i="3" a="1"/>
  <c r="G40" i="3" a="1"/>
  <c r="D4" i="3" a="1"/>
  <c r="L48" i="2" a="1"/>
  <c r="F18" i="3" a="1"/>
  <c r="I43" i="2" a="1"/>
  <c r="G20" i="3" a="1"/>
  <c r="K69" i="2" a="1"/>
  <c r="I3" i="3" a="1"/>
  <c r="G23" i="3" a="1"/>
  <c r="L39" i="3" a="1"/>
  <c r="I13" i="3" a="1"/>
  <c r="I68" i="2" a="1"/>
  <c r="N33" i="3" a="1"/>
  <c r="G2" i="3" a="1"/>
  <c r="L10" i="3" a="1"/>
  <c r="E67" i="2" a="1"/>
  <c r="K20" i="3" a="1"/>
  <c r="K8" i="3" a="1"/>
  <c r="N20" i="3" a="1"/>
  <c r="G55" i="2" a="1"/>
  <c r="D48" i="2" a="1"/>
  <c r="F34" i="2" a="1"/>
  <c r="G33" i="2" a="1"/>
  <c r="G17" i="1" a="1"/>
  <c r="H70" i="2" a="1"/>
  <c r="G21" i="3" a="1"/>
  <c r="G11" i="3" a="1"/>
  <c r="G49" i="2" a="1"/>
  <c r="I11" i="2" a="1"/>
  <c r="D22" i="3" a="1"/>
  <c r="J18" i="3" a="1"/>
  <c r="G70" i="2" a="1"/>
  <c r="F21" i="3" a="1"/>
  <c r="F39" i="2" a="1"/>
  <c r="I46" i="2" a="1"/>
  <c r="I7" i="3" a="1"/>
  <c r="F30" i="3" a="1"/>
  <c r="O12" i="3" a="1"/>
  <c r="O70" i="2" a="1"/>
  <c r="F63" i="2" a="1"/>
  <c r="J64" i="2" a="1"/>
  <c r="N7" i="2" a="1"/>
  <c r="L22" i="3" a="1"/>
  <c r="G58" i="2" a="1"/>
  <c r="H18" i="3" a="1"/>
  <c r="F50" i="2" a="1"/>
  <c r="M60" i="2" a="1"/>
  <c r="P5" i="3" a="1"/>
  <c r="I23" i="3" a="1"/>
  <c r="F24" i="3" a="1"/>
  <c r="M2" i="3" a="1"/>
  <c r="D59" i="2" a="1"/>
  <c r="H29" i="3" a="1"/>
  <c r="M65" i="2" a="1"/>
  <c r="M17" i="3" a="1"/>
  <c r="M18" i="3" a="1"/>
  <c r="O39" i="3" a="1"/>
  <c r="N68" i="2" a="1"/>
  <c r="O3" i="3" a="1"/>
  <c r="M21" i="3" a="1"/>
  <c r="O7" i="3" a="1"/>
  <c r="F36" i="3" a="1"/>
  <c r="N6" i="3" a="1"/>
  <c r="D49" i="2" a="1"/>
  <c r="J14" i="2" a="1"/>
  <c r="E22" i="2" a="1"/>
  <c r="M49" i="2" a="1"/>
  <c r="I2" i="3" a="1"/>
  <c r="H63" i="2" a="1"/>
  <c r="M11" i="2" a="1"/>
  <c r="N12" i="2" a="1"/>
  <c r="H66" i="2" a="1"/>
  <c r="D19" i="3" a="1"/>
  <c r="E22" i="3" a="1"/>
  <c r="J69" i="2" a="1"/>
  <c r="F4" i="3" a="1"/>
  <c r="D7" i="3" a="1"/>
  <c r="E11" i="3" a="1"/>
  <c r="N13" i="3" a="1"/>
  <c r="J29" i="3" a="1"/>
  <c r="O2" i="3" a="1"/>
  <c r="I49" i="2" a="1"/>
  <c r="K35" i="2" a="1"/>
  <c r="L34" i="2" a="1"/>
  <c r="H23" i="3" a="1"/>
  <c r="I20" i="2" a="1"/>
  <c r="L17" i="3" a="1"/>
  <c r="E33" i="2" a="1"/>
  <c r="E36" i="3" a="1"/>
  <c r="K64" i="2" a="1"/>
  <c r="E13" i="3" a="1"/>
  <c r="N54" i="2" a="1"/>
  <c r="O30" i="2" a="1"/>
  <c r="I44" i="2" a="1"/>
  <c r="O47" i="2" a="1"/>
  <c r="I38" i="2" a="1"/>
  <c r="J20" i="2" a="1"/>
  <c r="G39" i="2" a="1"/>
  <c r="O12" i="2" a="1"/>
  <c r="G12" i="3" a="1"/>
  <c r="L40" i="2" a="1"/>
  <c r="E70" i="2" a="1"/>
  <c r="P6" i="3" a="1"/>
  <c r="N39" i="3" a="1"/>
  <c r="G68" i="2" a="1"/>
  <c r="N23" i="3" a="1"/>
  <c r="K7" i="3" a="1"/>
  <c r="E9" i="3" a="1"/>
  <c r="F6" i="3" a="1"/>
  <c r="J37" i="3" a="1"/>
  <c r="F12" i="3" a="1"/>
  <c r="D30" i="3" a="1"/>
  <c r="F20" i="3" a="1"/>
  <c r="D66" i="2" a="1"/>
  <c r="O13" i="2" a="1"/>
  <c r="N24" i="3" a="1"/>
  <c r="N60" i="2" a="1"/>
  <c r="I35" i="3" a="1"/>
  <c r="H11" i="3" a="1"/>
  <c r="J4" i="3" a="1"/>
  <c r="J23" i="2" a="1"/>
  <c r="K17" i="3" a="1"/>
  <c r="F33" i="3" a="1"/>
  <c r="I4" i="3" a="1"/>
  <c r="N28" i="3" a="1"/>
  <c r="I70" i="2" a="1"/>
  <c r="M13" i="3" a="1"/>
  <c r="L59" i="2" a="1"/>
  <c r="E23" i="1" a="1"/>
  <c r="F14" i="3" a="1"/>
  <c r="I17" i="1" a="1"/>
  <c r="I38" i="3" a="1"/>
  <c r="J24" i="3" a="1"/>
  <c r="N14" i="3" a="1"/>
  <c r="J40" i="2" a="1"/>
  <c r="E53" i="2" a="1"/>
  <c r="I21" i="3" a="1"/>
  <c r="J50" i="2" a="1"/>
  <c r="E8" i="3" a="1"/>
  <c r="H23" i="2" a="1"/>
  <c r="M22" i="2" a="1"/>
  <c r="D23" i="2" a="1"/>
  <c r="H20" i="2" a="1"/>
  <c r="G66" i="2" a="1"/>
  <c r="H17" i="3" a="1"/>
  <c r="F17" i="3" a="1"/>
  <c r="N56" i="2" a="1"/>
  <c r="G45" i="2" a="1"/>
  <c r="M3" i="1"/>
  <c r="F3" i="3" a="1"/>
  <c r="D24" i="3" a="1"/>
  <c r="K36" i="2" a="1"/>
  <c r="H50" i="2" a="1"/>
  <c r="J3" i="2" a="1"/>
  <c r="D70" i="2" a="1"/>
  <c r="H16" i="1" a="1"/>
  <c r="E37" i="3" a="1"/>
  <c r="O10" i="3" a="1"/>
  <c r="I50" i="2" a="1"/>
  <c r="E28" i="2" a="1"/>
  <c r="G6" i="3" a="1"/>
  <c r="J68" i="2" a="1"/>
  <c r="L9" i="3" a="1"/>
  <c r="G29" i="3" a="1"/>
  <c r="P21" i="3" a="1"/>
  <c r="K39" i="3" a="1"/>
  <c r="P19" i="3" a="1"/>
  <c r="L23" i="3" a="1"/>
  <c r="J3" i="3" a="1"/>
  <c r="P17" i="3" a="1"/>
  <c r="P38" i="3" a="1"/>
  <c r="E25" i="3" a="1"/>
  <c r="M58" i="2" a="1"/>
  <c r="J33" i="2" a="1"/>
  <c r="D55" i="2" a="1"/>
  <c r="M19" i="3" a="1"/>
  <c r="M57" i="2" a="1"/>
  <c r="J65" i="2" a="1"/>
  <c r="I48" i="2" a="1"/>
  <c r="G64" i="2" a="1"/>
  <c r="D56" i="2" a="1"/>
  <c r="K23" i="3" a="1"/>
  <c r="K29" i="3" a="1"/>
  <c r="P29" i="3" a="1"/>
  <c r="O33" i="3" a="1"/>
  <c r="L36" i="3" a="1"/>
  <c r="K19" i="3" a="1"/>
  <c r="B7" i="1"/>
  <c r="G7" i="3" a="1"/>
  <c r="F55" i="2" a="1"/>
  <c r="E24" i="3" a="1"/>
  <c r="J63" i="2" a="1"/>
  <c r="H13" i="3" a="1"/>
  <c r="F5" i="2" a="1"/>
  <c r="J70" i="2" a="1"/>
  <c r="G24" i="3" a="1"/>
  <c r="I3" i="2" a="1"/>
  <c r="J19" i="3" a="1"/>
  <c r="M14" i="3" a="1"/>
  <c r="N23" i="2" a="1"/>
  <c r="G44" i="2" a="1"/>
  <c r="F20" i="2" a="1"/>
  <c r="D25" i="3" a="1"/>
  <c r="I14" i="3" a="1"/>
  <c r="M30" i="3" a="1"/>
  <c r="H48" i="2" a="1"/>
  <c r="H38" i="2" a="1"/>
  <c r="E36" i="2" a="1"/>
  <c r="D53" i="2" a="1"/>
  <c r="M45" i="2" a="1"/>
  <c r="O29" i="2" a="1"/>
  <c r="O49" i="2" a="1"/>
  <c r="F14" i="2" a="1"/>
  <c r="G46" i="2" a="1"/>
  <c r="G19" i="2" a="1"/>
  <c r="D40" i="2" a="1"/>
  <c r="I65" i="2" a="1"/>
  <c r="K6" i="3" a="1"/>
  <c r="H46" i="2" a="1"/>
  <c r="F2" i="3" a="1"/>
  <c r="H57" i="2" a="1"/>
  <c r="L6" i="1"/>
  <c r="K50" i="2" a="1"/>
  <c r="J10" i="2" a="1"/>
  <c r="H69" i="2" a="1"/>
  <c r="L58" i="2" a="1"/>
  <c r="O50" i="2" a="1"/>
  <c r="N36" i="2" a="1"/>
  <c r="L5" i="3" a="1"/>
  <c r="E34" i="3" a="1"/>
  <c r="N40" i="3" a="1"/>
  <c r="N67" i="2" a="1"/>
  <c r="J21" i="2" a="1"/>
  <c r="D5" i="2" a="1"/>
  <c r="D35" i="3" a="1"/>
  <c r="L69" i="2" a="1"/>
  <c r="G40" i="2" a="1"/>
  <c r="O9" i="3" a="1"/>
  <c r="K44" i="2" a="1"/>
  <c r="F47" i="2" a="1"/>
  <c r="L2" i="1"/>
  <c r="H12" i="3" a="1"/>
  <c r="L53" i="2" a="1"/>
  <c r="H39" i="2" a="1"/>
  <c r="F8" i="3" a="1"/>
  <c r="H34" i="3" a="1"/>
  <c r="I12" i="3" a="1"/>
  <c r="L14" i="3" a="1"/>
  <c r="O4" i="3" a="1"/>
  <c r="D23" i="3" a="1"/>
  <c r="G47" i="2" a="1"/>
  <c r="F23" i="3" a="1"/>
  <c r="P9" i="3" a="1"/>
  <c r="G19" i="3" a="1"/>
  <c r="E4" i="3" a="1"/>
  <c r="N18" i="3" a="1"/>
  <c r="G53" i="2" a="1"/>
  <c r="M40" i="2" a="1"/>
  <c r="F29" i="2" a="1"/>
  <c r="P11" i="3" a="1"/>
  <c r="G22" i="3" a="1"/>
  <c r="M29" i="3" a="1"/>
  <c r="F43" i="2" a="1"/>
  <c r="M23" i="3" a="1"/>
  <c r="E6" i="3" a="1"/>
  <c r="L12" i="3" a="1"/>
  <c r="F39" i="3" a="1"/>
  <c r="G17" i="3" a="1"/>
  <c r="O24" i="3" a="1"/>
  <c r="L6" i="3" a="1"/>
  <c r="F38" i="2" a="1"/>
  <c r="J11" i="3" a="1"/>
  <c r="N35" i="2" a="1"/>
  <c r="I6" i="3" a="1"/>
  <c r="J46" i="2" a="1"/>
  <c r="N34" i="3" a="1"/>
  <c r="J67" i="2" a="1"/>
  <c r="H8" i="3" a="1"/>
  <c r="I37" i="2" a="1"/>
  <c r="E17" i="3" a="1"/>
  <c r="L8" i="3" a="1"/>
  <c r="K55" i="2" a="1"/>
  <c r="K34" i="3" a="1"/>
  <c r="J29" i="2" a="1"/>
  <c r="L68" i="2" a="1"/>
  <c r="K10" i="3" a="1"/>
  <c r="M37" i="3" a="1"/>
  <c r="N9" i="3" a="1"/>
  <c r="E64" i="2" a="1"/>
  <c r="N44" i="2" a="1"/>
  <c r="E3" i="1"/>
  <c r="N8" i="3" a="1"/>
  <c r="M63" i="2" a="1"/>
  <c r="I56" i="2" a="1"/>
  <c r="L2" i="3" a="1"/>
  <c r="E48" i="2" a="1"/>
  <c r="F58" i="2" a="1"/>
  <c r="K45" i="2" a="1"/>
  <c r="F44" i="2" a="1"/>
  <c r="L50" i="2" a="1"/>
  <c r="I45" i="2" a="1"/>
  <c r="E29" i="2" a="1"/>
  <c r="J28" i="2" a="1"/>
  <c r="D28" i="2" a="1"/>
  <c r="O34" i="2" a="1"/>
  <c r="E12" i="3" a="1"/>
  <c r="M43" i="2" a="1"/>
  <c r="K60" i="2" a="1"/>
  <c r="H14" i="3" a="1"/>
  <c r="G15" i="1" a="1"/>
  <c r="O54" i="2" a="1"/>
  <c r="N2" i="2" a="1"/>
  <c r="O21" i="3" a="1"/>
  <c r="H10" i="3" a="1"/>
  <c r="F11" i="3" a="1"/>
  <c r="D57" i="2" a="1"/>
  <c r="E6" i="2" a="1"/>
  <c r="G69" i="2" a="1"/>
  <c r="I57" i="2" a="1"/>
  <c r="H25" i="3" a="1"/>
  <c r="E63" i="2" a="1"/>
  <c r="E30" i="2" a="1"/>
  <c r="H4" i="1"/>
  <c r="H30" i="2" a="1"/>
  <c r="N19" i="2" a="1"/>
  <c r="K24" i="3" a="1"/>
  <c r="D5" i="3" a="1"/>
  <c r="J45" i="2" a="1"/>
  <c r="I7" i="1"/>
  <c r="M44" i="2" a="1"/>
  <c r="H55" i="2" a="1"/>
  <c r="E56" i="2" a="1"/>
  <c r="K39" i="2" a="1"/>
  <c r="K12" i="3" a="1"/>
  <c r="M69" i="2" a="1"/>
  <c r="D2" i="1"/>
  <c r="F46" i="2" a="1"/>
  <c r="K5" i="2" a="1"/>
  <c r="L20" i="3" a="1"/>
  <c r="G25" i="3" a="1"/>
  <c r="H34" i="2" a="1"/>
  <c r="M18" i="2" a="1"/>
  <c r="D43" i="2" a="1"/>
  <c r="N38" i="2" a="1"/>
  <c r="L35" i="2" a="1"/>
  <c r="F40" i="2" a="1"/>
  <c r="H7" i="1"/>
  <c r="D13" i="2" a="1"/>
  <c r="I8" i="2" a="1"/>
  <c r="M14" i="2" a="1"/>
  <c r="E68" i="2" a="1"/>
  <c r="G4" i="3" a="1"/>
  <c r="H29" i="2" a="1"/>
  <c r="O45" i="2" a="1"/>
  <c r="L63" i="2" a="1"/>
  <c r="I66" i="2" a="1"/>
  <c r="L28" i="2" a="1"/>
  <c r="G13" i="3" a="1"/>
  <c r="E58" i="2" a="1"/>
  <c r="G7" i="2" a="1"/>
  <c r="G6" i="1"/>
  <c r="G4" i="2" a="1"/>
  <c r="C2" i="1"/>
  <c r="H5" i="1"/>
  <c r="M20" i="2" a="1"/>
  <c r="D24" i="2" a="1"/>
  <c r="O10" i="2" a="1"/>
  <c r="L3" i="2" a="1"/>
  <c r="K14" i="2" a="1"/>
  <c r="M3" i="2" a="1"/>
  <c r="O33" i="2" a="1"/>
  <c r="E40" i="2" a="1"/>
  <c r="K9" i="3" a="1"/>
  <c r="N70" i="2" a="1"/>
  <c r="L18" i="3" a="1"/>
  <c r="P7" i="3" a="1"/>
  <c r="M53" i="2" a="1"/>
  <c r="D8" i="2" a="1"/>
  <c r="G12" i="2" a="1"/>
  <c r="M50" i="2" a="1"/>
  <c r="E24" i="1" a="1"/>
  <c r="M59" i="2" a="1"/>
  <c r="N59" i="2" a="1"/>
  <c r="L8" i="2" a="1"/>
  <c r="D10" i="3" a="1"/>
  <c r="K67" i="2" a="1"/>
  <c r="N45" i="2" a="1"/>
  <c r="J59" i="2" a="1"/>
  <c r="K25" i="2" a="1"/>
  <c r="E13" i="2" a="1"/>
  <c r="O23" i="2" a="1"/>
  <c r="E5" i="1"/>
  <c r="I14" i="2" a="1"/>
  <c r="M36" i="2" a="1"/>
  <c r="H4" i="2" a="1"/>
  <c r="P10" i="3" a="1"/>
  <c r="G54" i="2" a="1"/>
  <c r="O63" i="2" a="1"/>
  <c r="N66" i="2" a="1"/>
  <c r="E55" i="2" a="1"/>
  <c r="O53" i="2" a="1"/>
  <c r="L49" i="2" a="1"/>
  <c r="I21" i="2" a="1"/>
  <c r="M4" i="3" a="1"/>
  <c r="N9" i="2" a="1"/>
  <c r="L33" i="2" a="1"/>
  <c r="K4" i="2" a="1"/>
  <c r="L4" i="1"/>
  <c r="I4" i="2" a="1"/>
  <c r="L23" i="2" a="1"/>
  <c r="M37" i="2" a="1"/>
  <c r="F57" i="2" a="1"/>
  <c r="E57" i="2" a="1"/>
  <c r="D29" i="2" a="1"/>
  <c r="D14" i="2" a="1"/>
  <c r="N17" i="3" a="1"/>
  <c r="K18" i="3" a="1"/>
  <c r="M64" i="2" a="1"/>
  <c r="N49" i="2" a="1"/>
  <c r="M9" i="2" a="1"/>
  <c r="I3" i="1"/>
  <c r="N34" i="2" a="1"/>
  <c r="K22" i="2" a="1"/>
  <c r="N8" i="2" a="1"/>
  <c r="L44" i="2" a="1"/>
  <c r="E2" i="2" a="1"/>
  <c r="K6" i="1"/>
  <c r="F24" i="2" a="1"/>
  <c r="F19" i="1" a="1"/>
  <c r="M8" i="2" a="1"/>
  <c r="J6" i="2" a="1"/>
  <c r="F3" i="1"/>
  <c r="N37" i="2" a="1"/>
  <c r="I67" i="2" a="1"/>
  <c r="E23" i="2" a="1"/>
  <c r="L67" i="2" a="1"/>
  <c r="H2" i="2" a="1"/>
  <c r="J4" i="2" a="1"/>
  <c r="M24" i="2" a="1"/>
  <c r="O2" i="2" a="1"/>
  <c r="I9" i="2" a="1"/>
  <c r="L7" i="3" a="1"/>
  <c r="C5" i="1"/>
  <c r="N3" i="3" a="1"/>
  <c r="H36" i="2" a="1"/>
  <c r="H67" i="2" a="1"/>
  <c r="E24" i="2" a="1"/>
  <c r="L36" i="2" a="1"/>
  <c r="M7" i="2" a="1"/>
  <c r="J54" i="2" a="1"/>
  <c r="N55" i="2" a="1"/>
  <c r="N40" i="2" a="1"/>
  <c r="O38" i="2" a="1"/>
  <c r="H9" i="3" a="1"/>
  <c r="J43" i="2" a="1"/>
  <c r="L57" i="2" a="1"/>
  <c r="I24" i="2" a="1"/>
  <c r="M55" i="2" a="1"/>
  <c r="E14" i="2" a="1"/>
  <c r="O18" i="2" a="1"/>
  <c r="O43" i="2" a="1"/>
  <c r="G13" i="2" a="1"/>
  <c r="N30" i="2" a="1"/>
  <c r="K11" i="3" a="1"/>
  <c r="E17" i="2" a="1"/>
  <c r="K21" i="2" a="1"/>
  <c r="F19" i="3" a="1"/>
  <c r="K8" i="2" a="1"/>
  <c r="N50" i="2" a="1"/>
  <c r="L19" i="2" a="1"/>
  <c r="I11" i="3" a="1"/>
  <c r="F60" i="2" a="1"/>
  <c r="F13" i="2" a="1"/>
  <c r="G3" i="2" a="1"/>
  <c r="I34" i="2" a="1"/>
  <c r="F48" i="2" a="1"/>
  <c r="F36" i="2" a="1"/>
  <c r="P3" i="3" a="1"/>
  <c r="H59" i="2" a="1"/>
  <c r="J3" i="1"/>
  <c r="L33" i="3" a="1"/>
  <c r="N33" i="2" a="1"/>
  <c r="L55" i="2" a="1"/>
  <c r="L3" i="3" a="1"/>
  <c r="D13" i="3" a="1"/>
  <c r="H3" i="2" a="1"/>
  <c r="E49" i="2" a="1"/>
  <c r="I47" i="2" a="1"/>
  <c r="F17" i="2" a="1"/>
  <c r="J38" i="2" a="1"/>
  <c r="L56" i="2" a="1"/>
  <c r="K2" i="2" a="1"/>
  <c r="K7" i="2" a="1"/>
  <c r="I2" i="2" a="1"/>
  <c r="K19" i="2" a="1"/>
  <c r="E37" i="2" a="1"/>
  <c r="E44" i="2" a="1"/>
  <c r="K40" i="2" a="1"/>
  <c r="F18" i="1" a="1"/>
  <c r="I13" i="2" a="1"/>
  <c r="D12" i="2" a="1"/>
  <c r="N20" i="2" a="1"/>
  <c r="E6" i="1"/>
  <c r="E65" i="2" a="1"/>
  <c r="H28" i="2" a="1"/>
  <c r="I10" i="2" a="1"/>
  <c r="I64" i="2" a="1"/>
  <c r="M34" i="2" a="1"/>
  <c r="L5" i="1"/>
  <c r="D35" i="2" a="1"/>
  <c r="E29" i="1" a="1"/>
  <c r="M5" i="2" a="1"/>
  <c r="K23" i="2" a="1"/>
  <c r="E14" i="1" a="1"/>
  <c r="H64" i="2" a="1"/>
  <c r="F11" i="2" a="1"/>
  <c r="F18" i="2" a="1"/>
  <c r="K2" i="1"/>
  <c r="E15" i="1" a="1"/>
  <c r="L46" i="2" a="1"/>
  <c r="N14" i="2" a="1"/>
  <c r="H14" i="2" a="1"/>
  <c r="O20" i="2" a="1"/>
  <c r="K10" i="2" a="1"/>
  <c r="G25" i="2" a="1"/>
  <c r="G20" i="2" a="1"/>
  <c r="M30" i="2" a="1"/>
  <c r="L60" i="2" a="1"/>
  <c r="D38" i="2" a="1"/>
  <c r="H53" i="2" a="1"/>
  <c r="I55" i="2" a="1"/>
  <c r="J9" i="2" a="1"/>
  <c r="J22" i="3" a="1"/>
  <c r="O67" i="2" a="1"/>
  <c r="F45" i="2" a="1"/>
  <c r="O58" i="2" a="1"/>
  <c r="J49" i="2" a="1"/>
  <c r="F69" i="2" a="1"/>
  <c r="O37" i="2" a="1"/>
  <c r="E19" i="2" a="1"/>
  <c r="E45" i="2" a="1"/>
  <c r="N46" i="2" a="1"/>
  <c r="J5" i="2" a="1"/>
  <c r="E2" i="1"/>
  <c r="D18" i="2" a="1"/>
  <c r="F9" i="2" a="1"/>
  <c r="I12" i="2" a="1"/>
  <c r="I29" i="2" a="1"/>
  <c r="H19" i="2" a="1"/>
  <c r="K30" i="2" a="1"/>
  <c r="J22" i="2" a="1"/>
  <c r="H9" i="2" a="1"/>
  <c r="K6" i="2" a="1"/>
  <c r="L11" i="2" a="1"/>
  <c r="D14" i="1" a="1"/>
  <c r="D9" i="2" a="1"/>
  <c r="J44" i="2" a="1"/>
  <c r="O19" i="2" a="1"/>
  <c r="K5" i="1"/>
  <c r="D44" i="2" a="1"/>
  <c r="I23" i="2" a="1"/>
  <c r="E47" i="2" a="1"/>
  <c r="O9" i="2" a="1"/>
  <c r="N48" i="2" a="1"/>
  <c r="K43" i="2" a="1"/>
  <c r="F68" i="2" a="1"/>
  <c r="K54" i="2" a="1"/>
  <c r="H47" i="2" a="1"/>
  <c r="I63" i="2" a="1"/>
  <c r="D34" i="2" a="1"/>
  <c r="B3" i="1"/>
  <c r="D20" i="2" a="1"/>
  <c r="D10" i="2" a="1"/>
  <c r="O64" i="2" a="1"/>
  <c r="H35" i="2" a="1"/>
  <c r="H12" i="2" a="1"/>
  <c r="D7" i="1"/>
  <c r="F2" i="1"/>
  <c r="M35" i="2" a="1"/>
  <c r="E3" i="3" a="1"/>
  <c r="I4" i="1"/>
  <c r="K3" i="2" a="1"/>
  <c r="F28" i="2" a="1"/>
  <c r="O48" i="2" a="1"/>
  <c r="O6" i="2" a="1"/>
  <c r="O36" i="2" a="1"/>
  <c r="N65" i="2" a="1"/>
  <c r="L17" i="2" a="1"/>
  <c r="F5" i="1"/>
  <c r="G11" i="2" a="1"/>
  <c r="E18" i="2" a="1"/>
  <c r="K66" i="2" a="1"/>
  <c r="I25" i="2" a="1"/>
  <c r="E7" i="1"/>
  <c r="E35" i="2" a="1"/>
  <c r="J24" i="2" a="1"/>
  <c r="D25" i="2" a="1"/>
  <c r="I40" i="2" a="1"/>
  <c r="G22" i="2" a="1"/>
  <c r="G5" i="1"/>
  <c r="G2" i="2" a="1"/>
  <c r="O22" i="2" a="1"/>
  <c r="H68" i="2" a="1"/>
  <c r="E11" i="2" a="1"/>
  <c r="G35" i="2" a="1"/>
  <c r="F59" i="2" a="1"/>
  <c r="D4" i="1"/>
  <c r="H6" i="2" a="1"/>
  <c r="F7" i="2" a="1"/>
  <c r="H17" i="1" a="1"/>
  <c r="I33" i="2" a="1"/>
  <c r="M21" i="2" a="1"/>
  <c r="G37" i="2" a="1"/>
  <c r="I14" i="1" a="1"/>
  <c r="J39" i="2" a="1"/>
  <c r="H37" i="2" a="1"/>
  <c r="L7" i="2" a="1"/>
  <c r="E3" i="2" a="1"/>
  <c r="H14" i="1" a="1"/>
  <c r="G38" i="2" a="1"/>
  <c r="K20" i="2" a="1"/>
  <c r="M38" i="2" a="1"/>
  <c r="I6" i="2" a="1"/>
  <c r="K48" i="2" a="1"/>
  <c r="O7" i="2" a="1"/>
  <c r="M4" i="1"/>
  <c r="K28" i="1"/>
  <c r="N28" i="2" a="1"/>
  <c r="J4" i="1"/>
  <c r="H15" i="1" a="1"/>
  <c r="M7" i="1"/>
  <c r="K63" i="2" a="1"/>
  <c r="K14" i="3" a="1"/>
  <c r="K3" i="1"/>
  <c r="J12" i="2" a="1"/>
  <c r="N6" i="2" a="1"/>
  <c r="E34" i="2" a="1"/>
  <c r="L2" i="2" a="1"/>
  <c r="D4" i="2" a="1"/>
  <c r="M46" i="2" a="1"/>
  <c r="F53" i="2" a="1"/>
  <c r="E21" i="2" a="1"/>
  <c r="E19" i="1" a="1"/>
  <c r="F33" i="2" a="1"/>
  <c r="N47" i="2" a="1"/>
  <c r="E39" i="2" a="1"/>
  <c r="H44" i="2" a="1"/>
  <c r="D50" i="2" a="1"/>
  <c r="D7" i="2" a="1"/>
  <c r="F8" i="2" a="1"/>
  <c r="F67" i="2" a="1"/>
  <c r="F2" i="2" a="1"/>
  <c r="G36" i="2" a="1"/>
  <c r="I19" i="1" a="1"/>
  <c r="E20" i="2" a="1"/>
  <c r="K11" i="2" a="1"/>
  <c r="J5" i="1"/>
  <c r="K12" i="2" a="1"/>
  <c r="H33" i="2" a="1"/>
  <c r="O4" i="2" a="1"/>
  <c r="H45" i="2" a="1"/>
  <c r="J25" i="2" a="1"/>
  <c r="M28" i="2" a="1"/>
  <c r="H19" i="1" a="1"/>
  <c r="G2" i="1"/>
  <c r="H11" i="2" a="1"/>
  <c r="O44" i="2" a="1"/>
  <c r="N25" i="2" a="1"/>
  <c r="K29" i="1"/>
  <c r="N11" i="2" a="1"/>
  <c r="L24" i="2" a="1"/>
  <c r="J18" i="2" a="1"/>
  <c r="J30" i="2" a="1"/>
  <c r="D17" i="2" a="1"/>
  <c r="G43" i="2" a="1"/>
  <c r="J13" i="2" a="1"/>
  <c r="G4" i="1"/>
  <c r="N3" i="2" a="1"/>
  <c r="J53" i="2" a="1"/>
  <c r="D3" i="2" a="1"/>
  <c r="I39" i="2" a="1"/>
  <c r="D18" i="1" a="1"/>
  <c r="M6" i="2" a="1"/>
  <c r="H40" i="2" a="1"/>
  <c r="F14" i="1" a="1"/>
  <c r="F5" i="3" a="1"/>
  <c r="K3" i="3" a="1"/>
  <c r="L47" i="2" a="1"/>
  <c r="P12" i="3" a="1"/>
  <c r="E10" i="2" a="1"/>
  <c r="N63" i="2" a="1"/>
  <c r="F66" i="2" a="1"/>
  <c r="K13" i="3" a="1"/>
  <c r="E20" i="1" a="1"/>
  <c r="N21" i="2" a="1"/>
  <c r="H13" i="2" a="1"/>
  <c r="I30" i="2" a="1"/>
  <c r="J57" i="2" a="1"/>
  <c r="D16" i="1" a="1"/>
  <c r="M19" i="2" a="1"/>
  <c r="M48" i="2" a="1"/>
  <c r="F54" i="2" a="1"/>
  <c r="H24" i="2" a="1"/>
  <c r="N53" i="2" a="1"/>
  <c r="J8" i="2" a="1"/>
  <c r="F20" i="1" a="1"/>
  <c r="K9" i="2" a="1"/>
  <c r="L70" i="2" a="1"/>
  <c r="J12" i="3" a="1"/>
  <c r="I5" i="1"/>
  <c r="D65" i="2" a="1"/>
  <c r="H2" i="1"/>
  <c r="F9" i="3" a="1"/>
  <c r="O65" i="2" a="1"/>
  <c r="K56" i="2" a="1"/>
  <c r="N17" i="2" a="1"/>
  <c r="L38" i="2" a="1"/>
  <c r="O46" i="2" a="1"/>
  <c r="E17" i="1" a="1"/>
  <c r="B4" i="1"/>
  <c r="E4" i="1"/>
  <c r="I5" i="3" a="1"/>
  <c r="F35" i="2" a="1"/>
  <c r="I36" i="2" a="1"/>
  <c r="M66" i="2" a="1"/>
  <c r="L4" i="2" a="1"/>
  <c r="O5" i="3" a="1"/>
  <c r="O68" i="2" a="1"/>
  <c r="G14" i="2" a="1"/>
  <c r="I6" i="1"/>
  <c r="D3" i="3" a="1"/>
  <c r="F64" i="2" a="1"/>
  <c r="K4" i="1"/>
  <c r="G9" i="2" a="1"/>
  <c r="F23" i="2" a="1"/>
  <c r="B6" i="1"/>
  <c r="K38" i="2" a="1"/>
  <c r="J35" i="2" a="1"/>
  <c r="G24" i="2" a="1"/>
  <c r="G30" i="2" a="1"/>
  <c r="K53" i="2" a="1"/>
  <c r="J7" i="1"/>
  <c r="F4" i="1"/>
  <c r="L54" i="2" a="1"/>
  <c r="D58" i="2" a="1"/>
  <c r="G14" i="1" a="1"/>
  <c r="O14" i="2" a="1"/>
  <c r="H60" i="2" a="1"/>
  <c r="N43" i="2" a="1"/>
  <c r="F7" i="1"/>
  <c r="D54" i="2" a="1"/>
  <c r="D47" i="2" a="1"/>
  <c r="G16" i="1" a="1"/>
  <c r="L5" i="2" a="1"/>
  <c r="K28" i="2" a="1"/>
  <c r="N22" i="2" a="1"/>
  <c r="O24" i="2" a="1"/>
  <c r="F21" i="2" a="1"/>
  <c r="E25" i="1" a="1"/>
  <c r="O57" i="2" a="1"/>
  <c r="N24" i="2" a="1"/>
  <c r="G6" i="2" a="1"/>
  <c r="J55" i="2" a="1"/>
  <c r="N39" i="2" a="1"/>
  <c r="G21" i="2" a="1"/>
  <c r="D6" i="2" a="1"/>
  <c r="J2" i="1"/>
  <c r="E38" i="2" a="1"/>
  <c r="I20" i="1" a="1"/>
  <c r="O25" i="2" a="1"/>
  <c r="M33" i="2" a="1"/>
  <c r="I53" i="2" a="1"/>
  <c r="N4" i="2" a="1"/>
  <c r="O28" i="2" a="1"/>
  <c r="J34" i="2" a="1"/>
  <c r="E16" i="1" a="1"/>
  <c r="M10" i="2" a="1"/>
  <c r="L66" i="2" a="1"/>
  <c r="I58" i="2" a="1"/>
  <c r="H18" i="1" a="1"/>
  <c r="K57" i="2" a="1"/>
  <c r="L20" i="2" a="1"/>
  <c r="D21" i="2" a="1"/>
  <c r="L45" i="2" a="1"/>
  <c r="K59" i="2" a="1"/>
  <c r="C6" i="1"/>
  <c r="F37" i="2" a="1"/>
  <c r="K37" i="2" a="1"/>
  <c r="J2" i="2" a="1"/>
  <c r="L13" i="2" a="1"/>
  <c r="N57" i="2" a="1"/>
  <c r="O66" i="2" a="1"/>
  <c r="H54" i="2" a="1"/>
  <c r="O11" i="2" a="1"/>
  <c r="L3" i="1"/>
  <c r="D36" i="2" a="1"/>
  <c r="G60" i="2" a="1"/>
  <c r="E7" i="2" a="1"/>
  <c r="D2" i="2" a="1"/>
  <c r="L18" i="2" a="1"/>
  <c r="H21" i="2" a="1"/>
  <c r="F15" i="1" a="1"/>
  <c r="F10" i="2" a="1"/>
  <c r="I5" i="2" a="1"/>
  <c r="N29" i="2" a="1"/>
  <c r="N13" i="2" a="1"/>
  <c r="L25" i="2" a="1"/>
  <c r="L6" i="2" a="1"/>
  <c r="C3" i="1"/>
  <c r="L10" i="2" a="1"/>
  <c r="H43" i="2" a="1"/>
  <c r="G8" i="2" a="1"/>
  <c r="D33" i="2" a="1"/>
  <c r="D46" i="2" a="1"/>
  <c r="L65" i="2" a="1"/>
  <c r="G18" i="1" a="1"/>
  <c r="J47" i="2" a="1"/>
  <c r="F17" i="1" a="1"/>
  <c r="I18" i="1" a="1"/>
  <c r="K17" i="2" a="1"/>
  <c r="F22" i="2" a="1"/>
  <c r="L21" i="2" a="1"/>
  <c r="H3" i="1"/>
  <c r="G7" i="1"/>
  <c r="F30" i="2" a="1"/>
  <c r="L29" i="2" a="1"/>
  <c r="I69" i="2" a="1"/>
  <c r="M17" i="2" a="1"/>
  <c r="G19" i="1" a="1"/>
  <c r="O59" i="2" a="1"/>
  <c r="D6" i="1"/>
  <c r="L30" i="2" a="1"/>
  <c r="J36" i="2" a="1"/>
  <c r="L9" i="2" a="1"/>
  <c r="O35" i="2" a="1"/>
  <c r="H17" i="2" a="1"/>
  <c r="E27" i="1" a="1"/>
  <c r="K58" i="2" a="1"/>
  <c r="J11" i="2" a="1"/>
  <c r="N5" i="2" a="1"/>
  <c r="B2" i="1"/>
  <c r="I19" i="2" a="1"/>
  <c r="D30" i="2" a="1"/>
  <c r="G3" i="1"/>
  <c r="M54" i="2" a="1"/>
  <c r="K7" i="1"/>
  <c r="M29" i="2" a="1"/>
  <c r="L12" i="2" a="1"/>
  <c r="D17" i="1" a="1"/>
  <c r="G10" i="2" a="1"/>
  <c r="G50" i="2" a="1"/>
  <c r="H25" i="2" a="1"/>
  <c r="O5" i="2" a="1"/>
  <c r="G20" i="1" a="1"/>
  <c r="F19" i="2" a="1"/>
  <c r="C7" i="1"/>
  <c r="J7" i="2" a="1"/>
  <c r="K47" i="2" a="1"/>
  <c r="K29" i="2" a="1"/>
  <c r="M23" i="2" a="1"/>
  <c r="J37" i="2" a="1"/>
  <c r="D37" i="2" a="1"/>
  <c r="E4" i="2" a="1"/>
  <c r="L7" i="1"/>
  <c r="L14" i="2" a="1"/>
  <c r="G5" i="2" a="1"/>
  <c r="D3" i="1"/>
  <c r="I7" i="2" a="1"/>
  <c r="K33" i="2" a="1"/>
  <c r="I15" i="1" a="1"/>
  <c r="J19" i="2" a="1"/>
  <c r="F56" i="2" a="1"/>
  <c r="H65" i="2" a="1"/>
  <c r="M47" i="2" a="1"/>
  <c r="G56" i="2" a="1"/>
  <c r="K13" i="2" a="1"/>
  <c r="L37" i="2" a="1"/>
  <c r="K24" i="2" a="1"/>
  <c r="G48" i="2" a="1"/>
  <c r="I2" i="1"/>
  <c r="C4" i="1"/>
  <c r="E46" i="2" a="1"/>
  <c r="H56" i="2" a="1"/>
  <c r="E50" i="2" a="1"/>
  <c r="H8" i="2" a="1"/>
  <c r="D6" i="3" a="1"/>
  <c r="O60" i="2" a="1"/>
  <c r="G17" i="2" a="1"/>
  <c r="N10" i="2" a="1"/>
  <c r="D19" i="1" a="1"/>
  <c r="H6" i="1"/>
  <c r="I18" i="2" a="1"/>
  <c r="D63" i="2" a="1"/>
  <c r="E60" i="2" a="1"/>
  <c r="I35" i="2" a="1"/>
  <c r="G34" i="2" a="1"/>
  <c r="F3" i="2" a="1"/>
  <c r="M4" i="2" a="1"/>
  <c r="M2" i="2" a="1"/>
  <c r="O40" i="2" a="1"/>
  <c r="H5" i="2" a="1"/>
  <c r="H7" i="2" a="1"/>
  <c r="D19" i="2" a="1"/>
  <c r="F65" i="2" a="1"/>
  <c r="K27" i="1"/>
  <c r="H20" i="1" a="1"/>
  <c r="H49" i="2" a="1"/>
  <c r="D5" i="1"/>
  <c r="E59" i="2" a="1"/>
  <c r="H10" i="2" a="1"/>
  <c r="G65" i="2" a="1"/>
  <c r="K65" i="2" a="1"/>
  <c r="N12" i="3" a="1"/>
  <c r="E28" i="1" a="1"/>
  <c r="G18" i="2" a="1"/>
  <c r="O3" i="2" a="1"/>
  <c r="K18" i="2" a="1"/>
  <c r="M2" i="1"/>
  <c r="D15" i="1" a="1"/>
  <c r="E9" i="2" a="1"/>
  <c r="F25" i="2" a="1"/>
  <c r="O21" i="2" a="1"/>
  <c r="F4" i="2" a="1"/>
  <c r="H22" i="2" a="1"/>
  <c r="D20" i="1" a="1"/>
  <c r="L22" i="2" a="1"/>
  <c r="D22" i="2" a="1"/>
  <c r="H3" i="3" a="1"/>
  <c r="G29" i="2" a="1"/>
  <c r="I16" i="1" a="1"/>
  <c r="E54" i="2" a="1"/>
  <c r="K46" i="2" a="1"/>
  <c r="N58" i="2" a="1"/>
  <c r="M6" i="1"/>
  <c r="O17" i="2" a="1"/>
  <c r="I17" i="2" a="1"/>
  <c r="F49" i="2" a="1"/>
  <c r="J17" i="2" a="1"/>
  <c r="M5" i="1"/>
  <c r="M13" i="2" a="1"/>
  <c r="K34" i="2" a="1"/>
  <c r="F16" i="1" a="1"/>
  <c r="J6" i="1"/>
  <c r="E25" i="2" a="1"/>
  <c r="E12" i="2" a="1"/>
  <c r="H18" i="2" a="1"/>
  <c r="E8" i="2" a="1"/>
  <c r="F6" i="1"/>
  <c r="H40" i="1" l="1"/>
  <c r="E8" i="2"/>
  <c r="H18" i="2"/>
  <c r="E12" i="2"/>
  <c r="E25" i="2"/>
  <c r="H44" i="1"/>
  <c r="F16" i="1"/>
  <c r="K34" i="2"/>
  <c r="M13" i="2"/>
  <c r="J17" i="2"/>
  <c r="F49" i="2"/>
  <c r="I17" i="2"/>
  <c r="O17" i="2"/>
  <c r="H47" i="1"/>
  <c r="N58" i="2"/>
  <c r="K46" i="2"/>
  <c r="E54" i="2"/>
  <c r="I16" i="1"/>
  <c r="G29" i="2"/>
  <c r="H3" i="3"/>
  <c r="D22" i="2"/>
  <c r="L22" i="2"/>
  <c r="D20" i="1"/>
  <c r="H22" i="2"/>
  <c r="F4" i="2"/>
  <c r="O21" i="2"/>
  <c r="F25" i="2"/>
  <c r="E9" i="2"/>
  <c r="D15" i="1"/>
  <c r="M8" i="1"/>
  <c r="E47" i="1"/>
  <c r="K18" i="2"/>
  <c r="O3" i="2"/>
  <c r="G18" i="2"/>
  <c r="E28" i="1"/>
  <c r="N12" i="3"/>
  <c r="K65" i="2"/>
  <c r="G65" i="2"/>
  <c r="H10" i="2"/>
  <c r="E59" i="2"/>
  <c r="H49" i="2"/>
  <c r="H20" i="1"/>
  <c r="F65" i="2"/>
  <c r="D19" i="2"/>
  <c r="H7" i="2"/>
  <c r="H5" i="2"/>
  <c r="O40" i="2"/>
  <c r="M2" i="2"/>
  <c r="M4" i="2"/>
  <c r="F3" i="2"/>
  <c r="G34" i="2"/>
  <c r="I35" i="2"/>
  <c r="E60" i="2"/>
  <c r="D63" i="2"/>
  <c r="I18" i="2"/>
  <c r="H42" i="1"/>
  <c r="D19" i="1"/>
  <c r="N10" i="2"/>
  <c r="G17" i="2"/>
  <c r="O60" i="2"/>
  <c r="D6" i="3"/>
  <c r="H8" i="2"/>
  <c r="E50" i="2"/>
  <c r="H56" i="2"/>
  <c r="E46" i="2"/>
  <c r="I8" i="1"/>
  <c r="E43" i="1"/>
  <c r="G48" i="2"/>
  <c r="K24" i="2"/>
  <c r="L37" i="2"/>
  <c r="K13" i="2"/>
  <c r="G56" i="2"/>
  <c r="M47" i="2"/>
  <c r="H65" i="2"/>
  <c r="F56" i="2"/>
  <c r="J19" i="2"/>
  <c r="I15" i="1"/>
  <c r="K33" i="2"/>
  <c r="I7" i="2"/>
  <c r="F38" i="1"/>
  <c r="G5" i="2"/>
  <c r="L14" i="2"/>
  <c r="G46" i="1"/>
  <c r="E4" i="2"/>
  <c r="D37" i="2"/>
  <c r="J37" i="2"/>
  <c r="M23" i="2"/>
  <c r="K29" i="2"/>
  <c r="K47" i="2"/>
  <c r="J7" i="2"/>
  <c r="G37" i="1"/>
  <c r="F19" i="2"/>
  <c r="G20" i="1"/>
  <c r="O5" i="2"/>
  <c r="H25" i="2"/>
  <c r="G50" i="2"/>
  <c r="G10" i="2"/>
  <c r="D17" i="1"/>
  <c r="L12" i="2"/>
  <c r="M29" i="2"/>
  <c r="G45" i="1"/>
  <c r="M54" i="2"/>
  <c r="F41" i="1"/>
  <c r="D30" i="2"/>
  <c r="I19" i="2"/>
  <c r="B8" i="1"/>
  <c r="N2" i="1"/>
  <c r="E36" i="1"/>
  <c r="N5" i="2"/>
  <c r="J11" i="2"/>
  <c r="K58" i="2"/>
  <c r="E27" i="1"/>
  <c r="H17" i="2"/>
  <c r="O35" i="2"/>
  <c r="L9" i="2"/>
  <c r="J36" i="2"/>
  <c r="L30" i="2"/>
  <c r="H38" i="1"/>
  <c r="O59" i="2"/>
  <c r="G19" i="1"/>
  <c r="M17" i="2"/>
  <c r="I69" i="2"/>
  <c r="L29" i="2"/>
  <c r="F30" i="2"/>
  <c r="G41" i="1"/>
  <c r="F42" i="1"/>
  <c r="L21" i="2"/>
  <c r="F22" i="2"/>
  <c r="K17" i="2"/>
  <c r="I18" i="1"/>
  <c r="S19" i="1" s="1"/>
  <c r="F17" i="1"/>
  <c r="J47" i="2"/>
  <c r="G18" i="1"/>
  <c r="S17" i="1" s="1"/>
  <c r="L65" i="2"/>
  <c r="D46" i="2"/>
  <c r="D33" i="2"/>
  <c r="G8" i="2"/>
  <c r="H43" i="2"/>
  <c r="L10" i="2"/>
  <c r="F37" i="1"/>
  <c r="L6" i="2"/>
  <c r="L25" i="2"/>
  <c r="N13" i="2"/>
  <c r="N29" i="2"/>
  <c r="I5" i="2"/>
  <c r="F10" i="2"/>
  <c r="F15" i="1"/>
  <c r="H21" i="2"/>
  <c r="L18" i="2"/>
  <c r="D2" i="2"/>
  <c r="E7" i="2"/>
  <c r="G60" i="2"/>
  <c r="D36" i="2"/>
  <c r="F46" i="1"/>
  <c r="O11" i="2"/>
  <c r="H54" i="2"/>
  <c r="O66" i="2"/>
  <c r="N57" i="2"/>
  <c r="L13" i="2"/>
  <c r="J2" i="2"/>
  <c r="K37" i="2"/>
  <c r="F37" i="2"/>
  <c r="H37" i="1"/>
  <c r="K59" i="2"/>
  <c r="L45" i="2"/>
  <c r="D21" i="2"/>
  <c r="L20" i="2"/>
  <c r="K57" i="2"/>
  <c r="H18" i="1"/>
  <c r="S18" i="1" s="1"/>
  <c r="I58" i="2"/>
  <c r="L66" i="2"/>
  <c r="M10" i="2"/>
  <c r="E16" i="1"/>
  <c r="J34" i="2"/>
  <c r="O28" i="2"/>
  <c r="N4" i="2"/>
  <c r="I53" i="2"/>
  <c r="M33" i="2"/>
  <c r="O25" i="2"/>
  <c r="I20" i="1"/>
  <c r="E38" i="2"/>
  <c r="J8" i="1"/>
  <c r="E44" i="1"/>
  <c r="D6" i="2"/>
  <c r="G21" i="2"/>
  <c r="N39" i="2"/>
  <c r="J55" i="2"/>
  <c r="G6" i="2"/>
  <c r="N24" i="2"/>
  <c r="O57" i="2"/>
  <c r="E25" i="1"/>
  <c r="F21" i="2"/>
  <c r="O24" i="2"/>
  <c r="N22" i="2"/>
  <c r="K28" i="2"/>
  <c r="L5" i="2"/>
  <c r="G16" i="1"/>
  <c r="D47" i="2"/>
  <c r="D54" i="2"/>
  <c r="G40" i="1"/>
  <c r="N43" i="2"/>
  <c r="H60" i="2"/>
  <c r="O14" i="2"/>
  <c r="G14" i="1"/>
  <c r="D58" i="2"/>
  <c r="L54" i="2"/>
  <c r="G44" i="1"/>
  <c r="K53" i="2"/>
  <c r="G30" i="2"/>
  <c r="G24" i="2"/>
  <c r="J35" i="2"/>
  <c r="K38" i="2"/>
  <c r="H36" i="1"/>
  <c r="N6" i="1"/>
  <c r="F23" i="2"/>
  <c r="G9" i="2"/>
  <c r="F64" i="2"/>
  <c r="D3" i="3"/>
  <c r="H43" i="1"/>
  <c r="G14" i="2"/>
  <c r="O68" i="2"/>
  <c r="O5" i="3"/>
  <c r="L4" i="2"/>
  <c r="M66" i="2"/>
  <c r="I36" i="2"/>
  <c r="F35" i="2"/>
  <c r="I5" i="3"/>
  <c r="N4" i="1"/>
  <c r="E17" i="1"/>
  <c r="O46" i="2"/>
  <c r="L38" i="2"/>
  <c r="N17" i="2"/>
  <c r="K56" i="2"/>
  <c r="O65" i="2"/>
  <c r="F9" i="3"/>
  <c r="H8" i="1"/>
  <c r="E42" i="1"/>
  <c r="D65" i="2"/>
  <c r="J12" i="3"/>
  <c r="L70" i="2"/>
  <c r="K9" i="2"/>
  <c r="F20" i="1"/>
  <c r="J8" i="2"/>
  <c r="N53" i="2"/>
  <c r="H24" i="2"/>
  <c r="F54" i="2"/>
  <c r="M48" i="2"/>
  <c r="M19" i="2"/>
  <c r="D16" i="1"/>
  <c r="J57" i="2"/>
  <c r="I30" i="2"/>
  <c r="H13" i="2"/>
  <c r="N21" i="2"/>
  <c r="E20" i="1"/>
  <c r="K13" i="3"/>
  <c r="F66" i="2"/>
  <c r="N63" i="2"/>
  <c r="E10" i="2"/>
  <c r="P12" i="3"/>
  <c r="L47" i="2"/>
  <c r="K3" i="3"/>
  <c r="F5" i="3"/>
  <c r="F14" i="1"/>
  <c r="H40" i="2"/>
  <c r="M6" i="2"/>
  <c r="D18" i="1"/>
  <c r="S14" i="1" s="1"/>
  <c r="I39" i="2"/>
  <c r="D3" i="2"/>
  <c r="J53" i="2"/>
  <c r="N3" i="2"/>
  <c r="J13" i="2"/>
  <c r="G43" i="2"/>
  <c r="D17" i="2"/>
  <c r="J30" i="2"/>
  <c r="J18" i="2"/>
  <c r="L24" i="2"/>
  <c r="N11" i="2"/>
  <c r="N25" i="2"/>
  <c r="O44" i="2"/>
  <c r="H11" i="2"/>
  <c r="G8" i="1"/>
  <c r="E41" i="1"/>
  <c r="H19" i="1"/>
  <c r="M28" i="2"/>
  <c r="J25" i="2"/>
  <c r="H45" i="2"/>
  <c r="O4" i="2"/>
  <c r="H33" i="2"/>
  <c r="K12" i="2"/>
  <c r="K11" i="2"/>
  <c r="E20" i="2"/>
  <c r="I19" i="1"/>
  <c r="G36" i="2"/>
  <c r="F2" i="2"/>
  <c r="F67" i="2"/>
  <c r="F8" i="2"/>
  <c r="D7" i="2"/>
  <c r="D50" i="2"/>
  <c r="H44" i="2"/>
  <c r="E39" i="2"/>
  <c r="N47" i="2"/>
  <c r="F33" i="2"/>
  <c r="E19" i="1"/>
  <c r="E21" i="2"/>
  <c r="F53" i="2"/>
  <c r="M46" i="2"/>
  <c r="D4" i="2"/>
  <c r="L2" i="2"/>
  <c r="E34" i="2"/>
  <c r="N6" i="2"/>
  <c r="J12" i="2"/>
  <c r="F45" i="1"/>
  <c r="K14" i="3"/>
  <c r="K63" i="2"/>
  <c r="G47" i="1"/>
  <c r="H15" i="1"/>
  <c r="N28" i="2"/>
  <c r="O7" i="2"/>
  <c r="K48" i="2"/>
  <c r="I6" i="2"/>
  <c r="M38" i="2"/>
  <c r="K20" i="2"/>
  <c r="G38" i="2"/>
  <c r="H14" i="1"/>
  <c r="E3" i="2"/>
  <c r="L7" i="2"/>
  <c r="H37" i="2"/>
  <c r="J39" i="2"/>
  <c r="I14" i="1"/>
  <c r="G37" i="2"/>
  <c r="M21" i="2"/>
  <c r="I33" i="2"/>
  <c r="H17" i="1"/>
  <c r="F7" i="2"/>
  <c r="H6" i="2"/>
  <c r="F59" i="2"/>
  <c r="G35" i="2"/>
  <c r="E11" i="2"/>
  <c r="H68" i="2"/>
  <c r="O22" i="2"/>
  <c r="G2" i="2"/>
  <c r="G22" i="2"/>
  <c r="I40" i="2"/>
  <c r="D25" i="2"/>
  <c r="J24" i="2"/>
  <c r="E35" i="2"/>
  <c r="G39" i="1"/>
  <c r="I25" i="2"/>
  <c r="K66" i="2"/>
  <c r="E18" i="2"/>
  <c r="G11" i="2"/>
  <c r="L17" i="2"/>
  <c r="N65" i="2"/>
  <c r="O36" i="2"/>
  <c r="O6" i="2"/>
  <c r="O48" i="2"/>
  <c r="F28" i="2"/>
  <c r="K3" i="2"/>
  <c r="E3" i="3"/>
  <c r="M35" i="2"/>
  <c r="F8" i="1"/>
  <c r="E40" i="1"/>
  <c r="G38" i="1"/>
  <c r="H12" i="2"/>
  <c r="H35" i="2"/>
  <c r="O64" i="2"/>
  <c r="D10" i="2"/>
  <c r="D20" i="2"/>
  <c r="F36" i="1"/>
  <c r="N3" i="1"/>
  <c r="D34" i="2"/>
  <c r="I63" i="2"/>
  <c r="H47" i="2"/>
  <c r="K54" i="2"/>
  <c r="F68" i="2"/>
  <c r="K43" i="2"/>
  <c r="N48" i="2"/>
  <c r="O9" i="2"/>
  <c r="E47" i="2"/>
  <c r="I23" i="2"/>
  <c r="D44" i="2"/>
  <c r="O19" i="2"/>
  <c r="J44" i="2"/>
  <c r="D9" i="2"/>
  <c r="D14" i="1"/>
  <c r="L11" i="2"/>
  <c r="K6" i="2"/>
  <c r="H9" i="2"/>
  <c r="J22" i="2"/>
  <c r="K30" i="2"/>
  <c r="H19" i="2"/>
  <c r="I29" i="2"/>
  <c r="I12" i="2"/>
  <c r="F9" i="2"/>
  <c r="D18" i="2"/>
  <c r="E39" i="1"/>
  <c r="E8" i="1"/>
  <c r="J5" i="2"/>
  <c r="N46" i="2"/>
  <c r="E45" i="2"/>
  <c r="E19" i="2"/>
  <c r="O37" i="2"/>
  <c r="F69" i="2"/>
  <c r="J49" i="2"/>
  <c r="O58" i="2"/>
  <c r="F45" i="2"/>
  <c r="O67" i="2"/>
  <c r="J22" i="3"/>
  <c r="J9" i="2"/>
  <c r="I55" i="2"/>
  <c r="H53" i="2"/>
  <c r="D38" i="2"/>
  <c r="L60" i="2"/>
  <c r="M30" i="2"/>
  <c r="G20" i="2"/>
  <c r="G25" i="2"/>
  <c r="K10" i="2"/>
  <c r="O20" i="2"/>
  <c r="H14" i="2"/>
  <c r="N14" i="2"/>
  <c r="L46" i="2"/>
  <c r="E15" i="1"/>
  <c r="K8" i="1"/>
  <c r="E45" i="1"/>
  <c r="I45" i="1" s="1"/>
  <c r="F18" i="2"/>
  <c r="F11" i="2"/>
  <c r="H64" i="2"/>
  <c r="E14" i="1"/>
  <c r="K23" i="2"/>
  <c r="M5" i="2"/>
  <c r="E29" i="1"/>
  <c r="D35" i="2"/>
  <c r="M34" i="2"/>
  <c r="I64" i="2"/>
  <c r="I10" i="2"/>
  <c r="H28" i="2"/>
  <c r="E65" i="2"/>
  <c r="H39" i="1"/>
  <c r="N20" i="2"/>
  <c r="D12" i="2"/>
  <c r="I13" i="2"/>
  <c r="F18" i="1"/>
  <c r="S16" i="1" s="1"/>
  <c r="K40" i="2"/>
  <c r="E44" i="2"/>
  <c r="E37" i="2"/>
  <c r="K19" i="2"/>
  <c r="I2" i="2"/>
  <c r="K7" i="2"/>
  <c r="K2" i="2"/>
  <c r="L56" i="2"/>
  <c r="J38" i="2"/>
  <c r="F17" i="2"/>
  <c r="I47" i="2"/>
  <c r="E49" i="2"/>
  <c r="H3" i="2"/>
  <c r="D13" i="3"/>
  <c r="L3" i="3"/>
  <c r="L55" i="2"/>
  <c r="N33" i="2"/>
  <c r="L33" i="3"/>
  <c r="F44" i="1"/>
  <c r="H59" i="2"/>
  <c r="P3" i="3"/>
  <c r="F36" i="2"/>
  <c r="F48" i="2"/>
  <c r="I34" i="2"/>
  <c r="G3" i="2"/>
  <c r="F13" i="2"/>
  <c r="F60" i="2"/>
  <c r="I11" i="3"/>
  <c r="L19" i="2"/>
  <c r="N50" i="2"/>
  <c r="K8" i="2"/>
  <c r="F19" i="3"/>
  <c r="K21" i="2"/>
  <c r="E17" i="2"/>
  <c r="K11" i="3"/>
  <c r="N30" i="2"/>
  <c r="G13" i="2"/>
  <c r="O43" i="2"/>
  <c r="O18" i="2"/>
  <c r="E14" i="2"/>
  <c r="M55" i="2"/>
  <c r="I24" i="2"/>
  <c r="L57" i="2"/>
  <c r="J43" i="2"/>
  <c r="H9" i="3"/>
  <c r="O38" i="2"/>
  <c r="N40" i="2"/>
  <c r="N55" i="2"/>
  <c r="J54" i="2"/>
  <c r="M7" i="2"/>
  <c r="L36" i="2"/>
  <c r="E24" i="2"/>
  <c r="H67" i="2"/>
  <c r="H36" i="2"/>
  <c r="N3" i="3"/>
  <c r="L7" i="3"/>
  <c r="I9" i="2"/>
  <c r="O2" i="2"/>
  <c r="M24" i="2"/>
  <c r="J4" i="2"/>
  <c r="H2" i="2"/>
  <c r="L67" i="2"/>
  <c r="E23" i="2"/>
  <c r="I67" i="2"/>
  <c r="N37" i="2"/>
  <c r="F40" i="1"/>
  <c r="J6" i="2"/>
  <c r="M8" i="2"/>
  <c r="F19" i="1"/>
  <c r="F24" i="2"/>
  <c r="H45" i="1"/>
  <c r="E2" i="2"/>
  <c r="L44" i="2"/>
  <c r="N8" i="2"/>
  <c r="K22" i="2"/>
  <c r="N34" i="2"/>
  <c r="F43" i="1"/>
  <c r="M9" i="2"/>
  <c r="N49" i="2"/>
  <c r="M64" i="2"/>
  <c r="K18" i="3"/>
  <c r="N17" i="3"/>
  <c r="D14" i="2"/>
  <c r="D29" i="2"/>
  <c r="E57" i="2"/>
  <c r="F57" i="2"/>
  <c r="M37" i="2"/>
  <c r="L23" i="2"/>
  <c r="I4" i="2"/>
  <c r="K4" i="2"/>
  <c r="L33" i="2"/>
  <c r="N9" i="2"/>
  <c r="M4" i="3"/>
  <c r="I21" i="2"/>
  <c r="L49" i="2"/>
  <c r="O53" i="2"/>
  <c r="E55" i="2"/>
  <c r="N66" i="2"/>
  <c r="O63" i="2"/>
  <c r="G54" i="2"/>
  <c r="P10" i="3"/>
  <c r="H4" i="2"/>
  <c r="M36" i="2"/>
  <c r="I14" i="2"/>
  <c r="O23" i="2"/>
  <c r="E13" i="2"/>
  <c r="K25" i="2"/>
  <c r="J59" i="2"/>
  <c r="N45" i="2"/>
  <c r="K67" i="2"/>
  <c r="D10" i="3"/>
  <c r="L8" i="2"/>
  <c r="N59" i="2"/>
  <c r="M59" i="2"/>
  <c r="E24" i="1"/>
  <c r="M50" i="2"/>
  <c r="G12" i="2"/>
  <c r="D8" i="2"/>
  <c r="M53" i="2"/>
  <c r="P7" i="3"/>
  <c r="L18" i="3"/>
  <c r="N70" i="2"/>
  <c r="K9" i="3"/>
  <c r="E40" i="2"/>
  <c r="O33" i="2"/>
  <c r="M3" i="2"/>
  <c r="K14" i="2"/>
  <c r="L3" i="2"/>
  <c r="O10" i="2"/>
  <c r="D24" i="2"/>
  <c r="M20" i="2"/>
  <c r="C8" i="1"/>
  <c r="E37" i="1"/>
  <c r="I37" i="1" s="1"/>
  <c r="G4" i="2"/>
  <c r="H41" i="1"/>
  <c r="G7" i="2"/>
  <c r="E58" i="2"/>
  <c r="G13" i="3"/>
  <c r="L28" i="2"/>
  <c r="I66" i="2"/>
  <c r="L63" i="2"/>
  <c r="O45" i="2"/>
  <c r="H29" i="2"/>
  <c r="G4" i="3"/>
  <c r="E68" i="2"/>
  <c r="M14" i="2"/>
  <c r="I8" i="2"/>
  <c r="D13" i="2"/>
  <c r="G42" i="1"/>
  <c r="F40" i="2"/>
  <c r="L35" i="2"/>
  <c r="N38" i="2"/>
  <c r="D43" i="2"/>
  <c r="M18" i="2"/>
  <c r="H34" i="2"/>
  <c r="G25" i="3"/>
  <c r="L20" i="3"/>
  <c r="K5" i="2"/>
  <c r="F46" i="2"/>
  <c r="D8" i="1"/>
  <c r="E38" i="1"/>
  <c r="I38" i="1" s="1"/>
  <c r="M69" i="2"/>
  <c r="K12" i="3"/>
  <c r="K39" i="2"/>
  <c r="E56" i="2"/>
  <c r="H55" i="2"/>
  <c r="M44" i="2"/>
  <c r="G43" i="1"/>
  <c r="J45" i="2"/>
  <c r="D5" i="3"/>
  <c r="K24" i="3"/>
  <c r="N19" i="2"/>
  <c r="H30" i="2"/>
  <c r="E30" i="2"/>
  <c r="E63" i="2"/>
  <c r="H25" i="3"/>
  <c r="I57" i="2"/>
  <c r="G69" i="2"/>
  <c r="E6" i="2"/>
  <c r="D57" i="2"/>
  <c r="F11" i="3"/>
  <c r="H10" i="3"/>
  <c r="O21" i="3"/>
  <c r="N2" i="2"/>
  <c r="O54" i="2"/>
  <c r="G15" i="1"/>
  <c r="H14" i="3"/>
  <c r="K60" i="2"/>
  <c r="M43" i="2"/>
  <c r="E12" i="3"/>
  <c r="O34" i="2"/>
  <c r="D28" i="2"/>
  <c r="J28" i="2"/>
  <c r="E29" i="2"/>
  <c r="I45" i="2"/>
  <c r="L50" i="2"/>
  <c r="F44" i="2"/>
  <c r="K45" i="2"/>
  <c r="F58" i="2"/>
  <c r="E48" i="2"/>
  <c r="L2" i="3"/>
  <c r="I56" i="2"/>
  <c r="M63" i="2"/>
  <c r="N8" i="3"/>
  <c r="F39" i="1"/>
  <c r="N44" i="2"/>
  <c r="E64" i="2"/>
  <c r="N9" i="3"/>
  <c r="M37" i="3"/>
  <c r="K10" i="3"/>
  <c r="L68" i="2"/>
  <c r="J29" i="2"/>
  <c r="K34" i="3"/>
  <c r="K55" i="2"/>
  <c r="L8" i="3"/>
  <c r="E17" i="3"/>
  <c r="I37" i="2"/>
  <c r="H8" i="3"/>
  <c r="J67" i="2"/>
  <c r="N34" i="3"/>
  <c r="J46" i="2"/>
  <c r="I6" i="3"/>
  <c r="N35" i="2"/>
  <c r="J11" i="3"/>
  <c r="F38" i="2"/>
  <c r="L6" i="3"/>
  <c r="O24" i="3"/>
  <c r="G17" i="3"/>
  <c r="F39" i="3"/>
  <c r="L12" i="3"/>
  <c r="E6" i="3"/>
  <c r="M23" i="3"/>
  <c r="F43" i="2"/>
  <c r="M29" i="3"/>
  <c r="G22" i="3"/>
  <c r="P11" i="3"/>
  <c r="F29" i="2"/>
  <c r="M40" i="2"/>
  <c r="G53" i="2"/>
  <c r="N18" i="3"/>
  <c r="E4" i="3"/>
  <c r="G19" i="3"/>
  <c r="P9" i="3"/>
  <c r="F23" i="3"/>
  <c r="G47" i="2"/>
  <c r="D23" i="3"/>
  <c r="O4" i="3"/>
  <c r="L14" i="3"/>
  <c r="I12" i="3"/>
  <c r="H34" i="3"/>
  <c r="F8" i="3"/>
  <c r="H39" i="2"/>
  <c r="L53" i="2"/>
  <c r="H12" i="3"/>
  <c r="L8" i="1"/>
  <c r="E46" i="1"/>
  <c r="F47" i="2"/>
  <c r="K44" i="2"/>
  <c r="O9" i="3"/>
  <c r="G40" i="2"/>
  <c r="L69" i="2"/>
  <c r="D35" i="3"/>
  <c r="D5" i="2"/>
  <c r="J21" i="2"/>
  <c r="N67" i="2"/>
  <c r="N40" i="3"/>
  <c r="E34" i="3"/>
  <c r="L5" i="3"/>
  <c r="N36" i="2"/>
  <c r="O50" i="2"/>
  <c r="L58" i="2"/>
  <c r="H69" i="2"/>
  <c r="J10" i="2"/>
  <c r="K50" i="2"/>
  <c r="H46" i="1"/>
  <c r="H57" i="2"/>
  <c r="F2" i="3"/>
  <c r="H46" i="2"/>
  <c r="K6" i="3"/>
  <c r="I65" i="2"/>
  <c r="D40" i="2"/>
  <c r="G19" i="2"/>
  <c r="G46" i="2"/>
  <c r="F14" i="2"/>
  <c r="O49" i="2"/>
  <c r="O29" i="2"/>
  <c r="M45" i="2"/>
  <c r="D53" i="2"/>
  <c r="E36" i="2"/>
  <c r="H38" i="2"/>
  <c r="H48" i="2"/>
  <c r="M30" i="3"/>
  <c r="I14" i="3"/>
  <c r="D25" i="3"/>
  <c r="F20" i="2"/>
  <c r="G44" i="2"/>
  <c r="N23" i="2"/>
  <c r="M14" i="3"/>
  <c r="J19" i="3"/>
  <c r="I3" i="2"/>
  <c r="G24" i="3"/>
  <c r="J70" i="2"/>
  <c r="F5" i="2"/>
  <c r="H13" i="3"/>
  <c r="J63" i="2"/>
  <c r="E24" i="3"/>
  <c r="F55" i="2"/>
  <c r="G7" i="3"/>
  <c r="G36" i="1"/>
  <c r="N7" i="1"/>
  <c r="K19" i="3"/>
  <c r="L36" i="3"/>
  <c r="O33" i="3"/>
  <c r="P29" i="3"/>
  <c r="K29" i="3"/>
  <c r="K23" i="3"/>
  <c r="D56" i="2"/>
  <c r="G64" i="2"/>
  <c r="I48" i="2"/>
  <c r="J65" i="2"/>
  <c r="M57" i="2"/>
  <c r="M19" i="3"/>
  <c r="D55" i="2"/>
  <c r="J33" i="2"/>
  <c r="M58" i="2"/>
  <c r="E25" i="3"/>
  <c r="P38" i="3"/>
  <c r="P17" i="3"/>
  <c r="J3" i="3"/>
  <c r="L23" i="3"/>
  <c r="P19" i="3"/>
  <c r="K39" i="3"/>
  <c r="P21" i="3"/>
  <c r="G29" i="3"/>
  <c r="L9" i="3"/>
  <c r="J68" i="2"/>
  <c r="G6" i="3"/>
  <c r="E28" i="2"/>
  <c r="I50" i="2"/>
  <c r="O10" i="3"/>
  <c r="E37" i="3"/>
  <c r="H16" i="1"/>
  <c r="D70" i="2"/>
  <c r="J3" i="2"/>
  <c r="H50" i="2"/>
  <c r="K36" i="2"/>
  <c r="D24" i="3"/>
  <c r="F3" i="3"/>
  <c r="F47" i="1"/>
  <c r="G45" i="2"/>
  <c r="N56" i="2"/>
  <c r="F17" i="3"/>
  <c r="H17" i="3"/>
  <c r="G66" i="2"/>
  <c r="H20" i="2"/>
  <c r="D23" i="2"/>
  <c r="M22" i="2"/>
  <c r="H23" i="2"/>
  <c r="E8" i="3"/>
  <c r="J50" i="2"/>
  <c r="I21" i="3"/>
  <c r="E53" i="2"/>
  <c r="J40" i="2"/>
  <c r="N14" i="3"/>
  <c r="J24" i="3"/>
  <c r="I38" i="3"/>
  <c r="I17" i="1"/>
  <c r="F14" i="3"/>
  <c r="E23" i="1"/>
  <c r="L59" i="2"/>
  <c r="M13" i="3"/>
  <c r="I70" i="2"/>
  <c r="N28" i="3"/>
  <c r="I4" i="3"/>
  <c r="F33" i="3"/>
  <c r="K17" i="3"/>
  <c r="J23" i="2"/>
  <c r="J4" i="3"/>
  <c r="H11" i="3"/>
  <c r="I35" i="3"/>
  <c r="N60" i="2"/>
  <c r="N24" i="3"/>
  <c r="O13" i="2"/>
  <c r="D66" i="2"/>
  <c r="F20" i="3"/>
  <c r="D30" i="3"/>
  <c r="F12" i="3"/>
  <c r="J37" i="3"/>
  <c r="F6" i="3"/>
  <c r="E9" i="3"/>
  <c r="K7" i="3"/>
  <c r="N23" i="3"/>
  <c r="G68" i="2"/>
  <c r="N39" i="3"/>
  <c r="P6" i="3"/>
  <c r="E70" i="2"/>
  <c r="L40" i="2"/>
  <c r="G12" i="3"/>
  <c r="O12" i="2"/>
  <c r="G39" i="2"/>
  <c r="J20" i="2"/>
  <c r="I38" i="2"/>
  <c r="O47" i="2"/>
  <c r="I44" i="2"/>
  <c r="O30" i="2"/>
  <c r="N54" i="2"/>
  <c r="E13" i="3"/>
  <c r="K64" i="2"/>
  <c r="E36" i="3"/>
  <c r="E33" i="2"/>
  <c r="L17" i="3"/>
  <c r="I20" i="2"/>
  <c r="H23" i="3"/>
  <c r="L34" i="2"/>
  <c r="K35" i="2"/>
  <c r="I49" i="2"/>
  <c r="O2" i="3"/>
  <c r="J29" i="3"/>
  <c r="N13" i="3"/>
  <c r="E11" i="3"/>
  <c r="D7" i="3"/>
  <c r="F4" i="3"/>
  <c r="J69" i="2"/>
  <c r="E22" i="3"/>
  <c r="D19" i="3"/>
  <c r="H66" i="2"/>
  <c r="N12" i="2"/>
  <c r="M11" i="2"/>
  <c r="H63" i="2"/>
  <c r="I2" i="3"/>
  <c r="M49" i="2"/>
  <c r="E22" i="2"/>
  <c r="J14" i="2"/>
  <c r="D49" i="2"/>
  <c r="N6" i="3"/>
  <c r="F36" i="3"/>
  <c r="O7" i="3"/>
  <c r="M21" i="3"/>
  <c r="O3" i="3"/>
  <c r="N68" i="2"/>
  <c r="O39" i="3"/>
  <c r="M18" i="3"/>
  <c r="M17" i="3"/>
  <c r="M65" i="2"/>
  <c r="H29" i="3"/>
  <c r="D59" i="2"/>
  <c r="M2" i="3"/>
  <c r="F24" i="3"/>
  <c r="I23" i="3"/>
  <c r="P5" i="3"/>
  <c r="M60" i="2"/>
  <c r="F50" i="2"/>
  <c r="H18" i="3"/>
  <c r="G58" i="2"/>
  <c r="L22" i="3"/>
  <c r="N7" i="2"/>
  <c r="J64" i="2"/>
  <c r="F63" i="2"/>
  <c r="O70" i="2"/>
  <c r="O12" i="3"/>
  <c r="F30" i="3"/>
  <c r="I7" i="3"/>
  <c r="I46" i="2"/>
  <c r="F39" i="2"/>
  <c r="F21" i="3"/>
  <c r="G70" i="2"/>
  <c r="J18" i="3"/>
  <c r="D22" i="3"/>
  <c r="I11" i="2"/>
  <c r="G49" i="2"/>
  <c r="G11" i="3"/>
  <c r="G21" i="3"/>
  <c r="H70" i="2"/>
  <c r="G17" i="1"/>
  <c r="G33" i="2"/>
  <c r="F34" i="2"/>
  <c r="D48" i="2"/>
  <c r="G55" i="2"/>
  <c r="N20" i="3"/>
  <c r="K8" i="3"/>
  <c r="K20" i="3"/>
  <c r="E67" i="2"/>
  <c r="L10" i="3"/>
  <c r="G2" i="3"/>
  <c r="N33" i="3"/>
  <c r="I68" i="2"/>
  <c r="I13" i="3"/>
  <c r="L39" i="3"/>
  <c r="G23" i="3"/>
  <c r="I3" i="3"/>
  <c r="K69" i="2"/>
  <c r="G20" i="3"/>
  <c r="I43" i="2"/>
  <c r="F18" i="3"/>
  <c r="L48" i="2"/>
  <c r="D4" i="3"/>
  <c r="G40" i="3"/>
  <c r="J9" i="3"/>
  <c r="G28" i="3"/>
  <c r="L24" i="3"/>
  <c r="I8" i="3"/>
  <c r="H2" i="3"/>
  <c r="D17" i="3"/>
  <c r="H21" i="3"/>
  <c r="O11" i="3"/>
  <c r="M9" i="3"/>
  <c r="L11" i="3"/>
  <c r="J23" i="3"/>
  <c r="F38" i="3"/>
  <c r="D37" i="3"/>
  <c r="J30" i="3"/>
  <c r="N69" i="2"/>
  <c r="H5" i="3"/>
  <c r="J60" i="2"/>
  <c r="M24" i="3"/>
  <c r="N5" i="3"/>
  <c r="I54" i="2"/>
  <c r="E7" i="3"/>
  <c r="I22" i="2"/>
  <c r="E5" i="2"/>
  <c r="F70" i="2"/>
  <c r="E2" i="3"/>
  <c r="P30" i="3"/>
  <c r="E26" i="1"/>
  <c r="F6" i="2"/>
  <c r="K70" i="2"/>
  <c r="I30" i="3"/>
  <c r="D45" i="2"/>
  <c r="P34" i="3"/>
  <c r="M25" i="2"/>
  <c r="N5" i="1"/>
  <c r="M39" i="2"/>
  <c r="D21" i="3"/>
  <c r="N18" i="2"/>
  <c r="J48" i="2"/>
  <c r="H7" i="3"/>
  <c r="L64" i="2"/>
  <c r="I33" i="3"/>
  <c r="O25" i="3"/>
  <c r="H40" i="3"/>
  <c r="G57" i="2"/>
  <c r="D64" i="2"/>
  <c r="P37" i="3"/>
  <c r="J7" i="3"/>
  <c r="J66" i="2"/>
  <c r="G28" i="2"/>
  <c r="O69" i="2"/>
  <c r="I59" i="2"/>
  <c r="I20" i="3"/>
  <c r="F10" i="3"/>
  <c r="O8" i="2"/>
  <c r="E18" i="1"/>
  <c r="D11" i="2"/>
  <c r="E66" i="2"/>
  <c r="L39" i="2"/>
  <c r="H58" i="2"/>
  <c r="G35" i="3"/>
  <c r="M56" i="2"/>
  <c r="E5" i="3"/>
  <c r="M8" i="3"/>
  <c r="K21" i="3"/>
  <c r="K33" i="3"/>
  <c r="G18" i="3"/>
  <c r="F13" i="3"/>
  <c r="O22" i="3"/>
  <c r="O28" i="3"/>
  <c r="D40" i="3"/>
  <c r="G10" i="3"/>
  <c r="M68" i="2"/>
  <c r="F7" i="3"/>
  <c r="J17" i="3"/>
  <c r="I9" i="3"/>
  <c r="D14" i="3"/>
  <c r="I19" i="3"/>
  <c r="P18" i="3"/>
  <c r="G23" i="2"/>
  <c r="L43" i="2"/>
  <c r="G3" i="3"/>
  <c r="H4" i="3"/>
  <c r="E14" i="3"/>
  <c r="J35" i="3"/>
  <c r="E10" i="3"/>
  <c r="O18" i="3"/>
  <c r="P2" i="3"/>
  <c r="H24" i="3"/>
  <c r="L38" i="3"/>
  <c r="I18" i="3"/>
  <c r="O13" i="3"/>
  <c r="E43" i="2"/>
  <c r="K49" i="2"/>
  <c r="O55" i="2"/>
  <c r="E69" i="2"/>
  <c r="F12" i="2"/>
  <c r="M12" i="2"/>
  <c r="O56" i="2"/>
  <c r="D39" i="2"/>
  <c r="J58" i="2"/>
  <c r="E18" i="3"/>
  <c r="O6" i="3"/>
  <c r="H37" i="3"/>
  <c r="M35" i="3"/>
  <c r="D60" i="2"/>
  <c r="P35" i="3"/>
  <c r="O14" i="3"/>
  <c r="G34" i="3"/>
  <c r="L13" i="3"/>
  <c r="M3" i="3"/>
  <c r="M22" i="3"/>
  <c r="G30" i="3"/>
  <c r="L21" i="3"/>
  <c r="J20" i="3"/>
  <c r="E20" i="3"/>
  <c r="I10" i="3"/>
  <c r="L4" i="3"/>
  <c r="G5" i="3"/>
  <c r="N7" i="3"/>
  <c r="N37" i="3"/>
  <c r="J21" i="3"/>
  <c r="F28" i="3"/>
  <c r="I36" i="3"/>
  <c r="E23" i="3"/>
  <c r="M67" i="2"/>
  <c r="I17" i="3"/>
  <c r="J34" i="3"/>
  <c r="L28" i="3"/>
  <c r="P8" i="3"/>
  <c r="J2" i="3"/>
  <c r="P23" i="3"/>
  <c r="M7" i="3"/>
  <c r="M20" i="3"/>
  <c r="H20" i="3"/>
  <c r="O39" i="2"/>
  <c r="I60" i="2"/>
  <c r="O8" i="3"/>
  <c r="E29" i="3"/>
  <c r="J5" i="3"/>
  <c r="N64" i="2"/>
  <c r="J13" i="3"/>
  <c r="J10" i="3"/>
  <c r="M11" i="3"/>
  <c r="P24" i="3"/>
  <c r="D11" i="3"/>
  <c r="M38" i="3"/>
  <c r="M12" i="3"/>
  <c r="H28" i="3"/>
  <c r="N11" i="3"/>
  <c r="I25" i="3"/>
  <c r="F25" i="3"/>
  <c r="J25" i="3"/>
  <c r="N10" i="3"/>
  <c r="D12" i="3"/>
  <c r="L25" i="3"/>
  <c r="E28" i="3"/>
  <c r="D28" i="3"/>
  <c r="N20" i="1"/>
  <c r="P20" i="1"/>
  <c r="K20" i="1"/>
  <c r="L20" i="1"/>
  <c r="O20" i="1"/>
  <c r="M20" i="1"/>
  <c r="M29" i="1" s="1"/>
  <c r="K14" i="1"/>
  <c r="N14" i="1"/>
  <c r="L14" i="1"/>
  <c r="P14" i="1"/>
  <c r="M14" i="1"/>
  <c r="O14" i="1"/>
  <c r="K17" i="1"/>
  <c r="N17" i="1"/>
  <c r="O17" i="1"/>
  <c r="L17" i="1"/>
  <c r="M17" i="1"/>
  <c r="P17" i="1"/>
  <c r="G26" i="1" a="1"/>
  <c r="G28" i="1" a="1"/>
  <c r="G24" i="1" a="1"/>
  <c r="G23" i="1" a="1"/>
  <c r="M15" i="1"/>
  <c r="L15" i="1"/>
  <c r="P15" i="1"/>
  <c r="K15" i="1"/>
  <c r="N15" i="1"/>
  <c r="O15" i="1"/>
  <c r="O16" i="1"/>
  <c r="K16" i="1"/>
  <c r="P16" i="1"/>
  <c r="N16" i="1"/>
  <c r="L16" i="1"/>
  <c r="M16" i="1"/>
  <c r="K24" i="1"/>
  <c r="G25" i="1" a="1"/>
  <c r="G29" i="1" a="1"/>
  <c r="K26" i="1"/>
  <c r="O18" i="1"/>
  <c r="N18" i="1"/>
  <c r="K18" i="1"/>
  <c r="P18" i="1"/>
  <c r="M18" i="1"/>
  <c r="L18" i="1"/>
  <c r="N19" i="1"/>
  <c r="P19" i="1"/>
  <c r="O19" i="1"/>
  <c r="L19" i="1"/>
  <c r="M19" i="1"/>
  <c r="K19" i="1"/>
  <c r="M23" i="1"/>
  <c r="K23" i="1"/>
  <c r="G27" i="1" a="1"/>
  <c r="M25" i="1"/>
  <c r="K25" i="1"/>
  <c r="M27" i="1"/>
  <c r="O27" i="1" l="1"/>
  <c r="S28" i="1" s="1"/>
  <c r="O25" i="1"/>
  <c r="G27" i="1"/>
  <c r="I27" i="1" s="1"/>
  <c r="S20" i="1" s="1"/>
  <c r="O23" i="1"/>
  <c r="S23" i="1"/>
  <c r="S24" i="1"/>
  <c r="S27" i="1"/>
  <c r="S22" i="1"/>
  <c r="T22" i="1" s="1"/>
  <c r="S25" i="1"/>
  <c r="S26" i="1"/>
  <c r="G29" i="1"/>
  <c r="I29" i="1" s="1"/>
  <c r="G25" i="1"/>
  <c r="I25" i="1" s="1"/>
  <c r="G23" i="1"/>
  <c r="I23" i="1" s="1"/>
  <c r="G24" i="1"/>
  <c r="I24" i="1" s="1"/>
  <c r="G28" i="1"/>
  <c r="I28" i="1" s="1"/>
  <c r="G26" i="1"/>
  <c r="I26" i="1" s="1"/>
  <c r="O29" i="1"/>
  <c r="S15" i="1"/>
  <c r="I39" i="1"/>
  <c r="I40" i="1"/>
  <c r="I46" i="1"/>
  <c r="I41" i="1"/>
  <c r="T18" i="1"/>
  <c r="T17" i="1"/>
  <c r="T19" i="1"/>
  <c r="N8" i="1"/>
  <c r="I43" i="1"/>
  <c r="T16" i="1"/>
  <c r="I42" i="1"/>
  <c r="I44" i="1"/>
  <c r="I36" i="1"/>
  <c r="I47" i="1"/>
  <c r="M28" i="1"/>
  <c r="M26" i="1"/>
  <c r="M24" i="1"/>
  <c r="O24" i="1" l="1"/>
  <c r="O26" i="1"/>
  <c r="O28" i="1"/>
  <c r="T27" i="1"/>
  <c r="T14" i="1"/>
  <c r="T15" i="1"/>
  <c r="T26" i="1"/>
  <c r="T24" i="1"/>
  <c r="T25" i="1"/>
  <c r="T23" i="1"/>
</calcChain>
</file>

<file path=xl/sharedStrings.xml><?xml version="1.0" encoding="utf-8"?>
<sst xmlns="http://schemas.openxmlformats.org/spreadsheetml/2006/main" count="5576" uniqueCount="431">
  <si>
    <t>Categoria</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</si>
  <si>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</si>
  <si>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</si>
  <si>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</si>
  <si>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</si>
  <si>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</si>
  <si>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</si>
  <si>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</si>
  <si>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</si>
  <si>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</si>
  <si>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</si>
  <si>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</si>
  <si>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</si>
  <si>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</si>
  <si>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</si>
  <si>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</si>
  <si>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</si>
  <si>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</si>
  <si>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</si>
  <si>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</si>
  <si>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</si>
  <si>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</si>
  <si>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</si>
  <si>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</si>
  <si>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</si>
  <si>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</si>
  <si>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Londrina</t>
  </si>
  <si>
    <t>Envi.</t>
  </si>
  <si>
    <t>Atra.</t>
  </si>
  <si>
    <t>Atra. &gt;= 2</t>
  </si>
  <si>
    <t>Dup.</t>
  </si>
  <si>
    <t>Out. Ocor.</t>
  </si>
  <si>
    <t>Sem Tec.</t>
  </si>
  <si>
    <t>Paranavaí</t>
  </si>
  <si>
    <t>Enviados</t>
  </si>
  <si>
    <t>Curitiba</t>
  </si>
  <si>
    <t>Atrasados</t>
  </si>
  <si>
    <t>Francisco Beltrão</t>
  </si>
  <si>
    <t>Atrasados &gt;= 2</t>
  </si>
  <si>
    <t>Guarapuava</t>
  </si>
  <si>
    <t>Duplicados</t>
  </si>
  <si>
    <t>Outas Ocorrências</t>
  </si>
  <si>
    <t>Maringá</t>
  </si>
  <si>
    <t>Laranjeiras do Sul</t>
  </si>
  <si>
    <t>% Validação</t>
  </si>
  <si>
    <t>Regionais (Validações)</t>
  </si>
  <si>
    <t>Envios - Acumulado (Total)</t>
  </si>
  <si>
    <t>Validados</t>
  </si>
  <si>
    <t>Não Validados</t>
  </si>
  <si>
    <t>% Val.</t>
  </si>
  <si>
    <t>% Validados</t>
  </si>
  <si>
    <t>Formulários </t>
  </si>
  <si>
    <t>Enviado </t>
  </si>
  <si>
    <t>Atrasado </t>
  </si>
  <si>
    <t>Sem Téc </t>
  </si>
  <si>
    <t>Outras</t>
  </si>
  <si>
    <t>4 - Receitas (11/24)</t>
  </si>
  <si>
    <t>-</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</si>
  <si>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</si>
  <si>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</si>
  <si>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</si>
  <si>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</si>
  <si>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</si>
  <si>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</si>
  <si>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</si>
  <si>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</si>
  <si>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</si>
  <si>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</si>
  <si>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</si>
  <si>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</si>
  <si>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</si>
  <si>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Kelly</t>
  </si>
  <si>
    <t>Municípios</t>
  </si>
  <si>
    <t>UVR</t>
  </si>
  <si>
    <t>Campo Largo</t>
  </si>
  <si>
    <t>01</t>
  </si>
  <si>
    <t>02</t>
  </si>
  <si>
    <t>03</t>
  </si>
  <si>
    <t>04</t>
  </si>
  <si>
    <t>05</t>
  </si>
  <si>
    <t>Campo Magro</t>
  </si>
  <si>
    <t>Cerro Azul</t>
  </si>
  <si>
    <t>Lapa</t>
  </si>
  <si>
    <t xml:space="preserve">Rio Branco Do Sul </t>
  </si>
  <si>
    <t>Rio Negro</t>
  </si>
  <si>
    <t>São João Do Triunfo</t>
  </si>
  <si>
    <t>Tijucas Do Sul</t>
  </si>
  <si>
    <t>Vanessa</t>
  </si>
  <si>
    <t>Barracão</t>
  </si>
  <si>
    <t>Capanema</t>
  </si>
  <si>
    <t>Enéas Marques</t>
  </si>
  <si>
    <t>Marmeleiro</t>
  </si>
  <si>
    <t>Realeza</t>
  </si>
  <si>
    <t>Salgado Filho</t>
  </si>
  <si>
    <t>Juliane</t>
  </si>
  <si>
    <t>Campina Da Lagoa</t>
  </si>
  <si>
    <t>Mato Rico</t>
  </si>
  <si>
    <t>Nova Tebas</t>
  </si>
  <si>
    <t>Coronel Vivida</t>
  </si>
  <si>
    <t>General Carneiro</t>
  </si>
  <si>
    <t>Laranjeiras Do Sul</t>
  </si>
  <si>
    <t>Palmital</t>
  </si>
  <si>
    <t>Quedas Do Iguaçu</t>
  </si>
  <si>
    <t>Reserva Do Iguaçu</t>
  </si>
  <si>
    <t>Santa Maria Do Oeste</t>
  </si>
  <si>
    <t>São João</t>
  </si>
  <si>
    <t>Johvanny</t>
  </si>
  <si>
    <t>Cambará</t>
  </si>
  <si>
    <t>Ibaiti</t>
  </si>
  <si>
    <t>Jaguapitã</t>
  </si>
  <si>
    <t>Jaguariaíva</t>
  </si>
  <si>
    <t>Ortigueira</t>
  </si>
  <si>
    <t>Ribeirão Claro</t>
  </si>
  <si>
    <t>Santa Mariana</t>
  </si>
  <si>
    <t>Santana Do Itararé</t>
  </si>
  <si>
    <t>Diana</t>
  </si>
  <si>
    <t>Apucarana</t>
  </si>
  <si>
    <t>Borrazópolis</t>
  </si>
  <si>
    <t>Jardim Alegre</t>
  </si>
  <si>
    <t>Kaloré</t>
  </si>
  <si>
    <t>Mandaguaçu</t>
  </si>
  <si>
    <t>Mandaguari</t>
  </si>
  <si>
    <t>Presidente Castelo Branco</t>
  </si>
  <si>
    <t>São João Do Ivaí</t>
  </si>
  <si>
    <t>Mário</t>
  </si>
  <si>
    <t>Alto Paraná</t>
  </si>
  <si>
    <t>Paranavai</t>
  </si>
  <si>
    <t>Amaporã</t>
  </si>
  <si>
    <t>Atalaia</t>
  </si>
  <si>
    <t>Colorado</t>
  </si>
  <si>
    <t>Cruzeiro Do Sul</t>
  </si>
  <si>
    <t>Paraíso Do Norte</t>
  </si>
  <si>
    <t>Santa Mônica</t>
  </si>
  <si>
    <t>São João Do Caiuá</t>
  </si>
  <si>
    <t>Município</t>
  </si>
  <si>
    <t>Técnico de UVR</t>
  </si>
  <si>
    <t>Situação</t>
  </si>
  <si>
    <t>Data de Envio</t>
  </si>
  <si>
    <t>Validado pelo Regional</t>
  </si>
  <si>
    <t>Observações</t>
  </si>
  <si>
    <t>Formulários para Deletar (ID)</t>
  </si>
  <si>
    <t>Validado Equip de TI</t>
  </si>
  <si>
    <t>Resposta Equipe de TI</t>
  </si>
  <si>
    <t>Marcia do Nascimento</t>
  </si>
  <si>
    <t>Sim</t>
  </si>
  <si>
    <t>Sem acesso aos dados e informações. Técnica impossibilitada atuar na UVR</t>
  </si>
  <si>
    <t>Não</t>
  </si>
  <si>
    <t xml:space="preserve">Maria Regina Willers </t>
  </si>
  <si>
    <t>27/03/2025</t>
  </si>
  <si>
    <t>Justificado via email sobre não ter sido realizado vendas em Jan25</t>
  </si>
  <si>
    <t>Claudete Rodrigues Scarpelini</t>
  </si>
  <si>
    <t>06/02/2025</t>
  </si>
  <si>
    <t>Vagner Perseti Alves</t>
  </si>
  <si>
    <t>10/02/2025</t>
  </si>
  <si>
    <t>Tania Grespan</t>
  </si>
  <si>
    <t>Daniele de Souza Lima Mei</t>
  </si>
  <si>
    <t xml:space="preserve">Eunice Fernandes Gonzaga </t>
  </si>
  <si>
    <t>Rafaelly Custódio</t>
  </si>
  <si>
    <t>25/03/2025</t>
  </si>
  <si>
    <t>Hayana dos Santos Jaines</t>
  </si>
  <si>
    <t>26/03/2025</t>
  </si>
  <si>
    <t>28/03/2025</t>
  </si>
  <si>
    <t xml:space="preserve">Formulário duplicado (considerar ID 4483) </t>
  </si>
  <si>
    <t>Remover ID4482</t>
  </si>
  <si>
    <t>Esses formulários são referentes à UVR 02. Removido ID 4482</t>
  </si>
  <si>
    <t>Evellyn Renata Bereza Bueno</t>
  </si>
  <si>
    <t>Anandra da Silva</t>
  </si>
  <si>
    <t xml:space="preserve">Carlos Jorge de Oliveira Moreira  </t>
  </si>
  <si>
    <t>Técnico retirar arquivo inserido como Nota fiscal - arquivo errado (já solicitado)</t>
  </si>
  <si>
    <t>Jéssica da Silva Bortolozzo</t>
  </si>
  <si>
    <t>26/02/2025</t>
  </si>
  <si>
    <t>Em revisão havia enviado no simplificado</t>
  </si>
  <si>
    <t>Tássia Castelli</t>
  </si>
  <si>
    <t>Associação ainda não iniciou suas atividades</t>
  </si>
  <si>
    <t>Bianca Monteiro</t>
  </si>
  <si>
    <t>07/02/2025</t>
  </si>
  <si>
    <t>Augusto Nunes</t>
  </si>
  <si>
    <t>04/06/2025</t>
  </si>
  <si>
    <t>Amanda Cristina Beal Acosta</t>
  </si>
  <si>
    <t>24/02/2025</t>
  </si>
  <si>
    <t xml:space="preserve">Marcos Alexandre Esmocoviski </t>
  </si>
  <si>
    <t>Rodrigo Lima</t>
  </si>
  <si>
    <t>11/02/2025</t>
  </si>
  <si>
    <t>Savana Lemes Rodrigues</t>
  </si>
  <si>
    <t>20/03/2025</t>
  </si>
  <si>
    <t>Tudo zerado, dificuldade na obtenção de dados com tesoureiro</t>
  </si>
  <si>
    <t>Letícia Diniz</t>
  </si>
  <si>
    <t>Tais Muller</t>
  </si>
  <si>
    <t>Fernando Henrique Ferreira</t>
  </si>
  <si>
    <t xml:space="preserve">Isadora Bussmann Barsotti </t>
  </si>
  <si>
    <t>Osair Wrublak</t>
  </si>
  <si>
    <t>Gislaine Souza Rosa</t>
  </si>
  <si>
    <t>Leticia Framesche</t>
  </si>
  <si>
    <t xml:space="preserve">Suzana Gotardo de Meira </t>
  </si>
  <si>
    <t>Vinicius Patriota dos Santos</t>
  </si>
  <si>
    <t>Patricia Teixeira dos Santos</t>
  </si>
  <si>
    <t xml:space="preserve">Anderson Batista Siqueira </t>
  </si>
  <si>
    <t xml:space="preserve">Aramis Vinicius de Paula Oliveira </t>
  </si>
  <si>
    <t>Julliane Gonçalves</t>
  </si>
  <si>
    <t>Gustavo Henrique de Andrade</t>
  </si>
  <si>
    <t>Ricardo Pyc</t>
  </si>
  <si>
    <t xml:space="preserve">Camila Maytana Flores da Silva </t>
  </si>
  <si>
    <t>Claudiana Andria</t>
  </si>
  <si>
    <t>Daiana Aparecida Dias</t>
  </si>
  <si>
    <t>05/02/2025</t>
  </si>
  <si>
    <t>Maysa Fernanda Back</t>
  </si>
  <si>
    <t>14/04/2025</t>
  </si>
  <si>
    <t>Jean Eriksen de Miranda</t>
  </si>
  <si>
    <t>Ana Paula Cigolini</t>
  </si>
  <si>
    <t>Vilmar Ribeiro</t>
  </si>
  <si>
    <t>Ana Carolina Bertolaccini</t>
  </si>
  <si>
    <t>Maristela de Oliveira Melo</t>
  </si>
  <si>
    <t>29/03/2025</t>
  </si>
  <si>
    <t>Dados inconsistentes com troca de valores das colunas prec</t>
  </si>
  <si>
    <t xml:space="preserve">Yuri Luiz de Oliveira </t>
  </si>
  <si>
    <t>Eliane Stefani Dantas Dias</t>
  </si>
  <si>
    <t xml:space="preserve">Diego Batista </t>
  </si>
  <si>
    <t>Fernanda Naiara Voinarski</t>
  </si>
  <si>
    <t xml:space="preserve">Ausência da dados de despesas da UVR, Cooperativa (União da Vitória) não informou </t>
  </si>
  <si>
    <t>Pablo Bruno Rosa Oliveira</t>
  </si>
  <si>
    <t xml:space="preserve">Formulário triplicado (considerar ID 4220) </t>
  </si>
  <si>
    <t>4314 e 4322</t>
  </si>
  <si>
    <t>Removidos 4314 e 4322</t>
  </si>
  <si>
    <t>Remover ID4488</t>
  </si>
  <si>
    <t>Removido 4488</t>
  </si>
  <si>
    <t>12/03/2025</t>
  </si>
  <si>
    <t>05/03/2025</t>
  </si>
  <si>
    <t>10/03/2025</t>
  </si>
  <si>
    <t>07/04/2025</t>
  </si>
  <si>
    <t>11/03/2025</t>
  </si>
  <si>
    <t>Como triavam tudo o quantitativo de rejeito é tudo que foi para o transbordo no mês</t>
  </si>
  <si>
    <t>30/03/2025</t>
  </si>
  <si>
    <t>enviará até dia 28/03</t>
  </si>
  <si>
    <t>21/03/2025</t>
  </si>
  <si>
    <t xml:space="preserve">Deletar duplicados </t>
  </si>
  <si>
    <t>ID5466 e ID5465</t>
  </si>
  <si>
    <t>Deletado 5466 e 5465</t>
  </si>
  <si>
    <t>13/03/2025</t>
  </si>
  <si>
    <t>06/03/2025</t>
  </si>
  <si>
    <t>07/03/2025</t>
  </si>
  <si>
    <t xml:space="preserve">Inserir Notas fiscais </t>
  </si>
  <si>
    <t>02/04/2025</t>
  </si>
  <si>
    <t>Revisado</t>
  </si>
  <si>
    <t>Remover ID4538</t>
  </si>
  <si>
    <t>Removido 4538</t>
  </si>
  <si>
    <t>09/04/2025</t>
  </si>
  <si>
    <t xml:space="preserve">Revisado e refeito havia enviado no simplificado </t>
  </si>
  <si>
    <t>ID 4570 e ID 4488</t>
  </si>
  <si>
    <t>Removido 4570. 4488 removido no mês anterior</t>
  </si>
  <si>
    <t>25/09/2025</t>
  </si>
  <si>
    <t>Técnica está impossibilidade de visitar a UVR e/ou conseguir os dados</t>
  </si>
  <si>
    <t>08/04/2025</t>
  </si>
  <si>
    <t>10/04/2025</t>
  </si>
  <si>
    <t xml:space="preserve">Vai inserir as Notas </t>
  </si>
  <si>
    <t>Inserir despesas - comunicado ao técnico</t>
  </si>
  <si>
    <t xml:space="preserve">Incompleto </t>
  </si>
  <si>
    <t>Inserir Notas fiscais e despesas - comunicado ao técnico</t>
  </si>
  <si>
    <t>04/04/2025</t>
  </si>
  <si>
    <t>Técnico retirar arquivo inserido como Nota fiscal - arquivo errado</t>
  </si>
  <si>
    <t>25/04/2025</t>
  </si>
  <si>
    <t>Pararam de triar RSU por isso a queda nos recicláveis comercializados</t>
  </si>
  <si>
    <t>31/03/2025</t>
  </si>
  <si>
    <t>03/04/2025</t>
  </si>
  <si>
    <t>11/04/2025</t>
  </si>
  <si>
    <t>Não houve rejeito declarado visto que município está sem contrato com aterro sanitário e todo o rejeito esta indo para uma vala</t>
  </si>
  <si>
    <t>Adicionar valor do contrato com a Prefeitura - comunicado ao técnico</t>
  </si>
  <si>
    <t xml:space="preserve">Associação ainda não iniciou suas atividades sem dados </t>
  </si>
  <si>
    <t>01/04/2025</t>
  </si>
  <si>
    <t xml:space="preserve">Inserir valor do contrato com a Prefeitura </t>
  </si>
  <si>
    <t>05/05/2025</t>
  </si>
  <si>
    <t>Excluir ID4577</t>
  </si>
  <si>
    <t>Deletar ID4577</t>
  </si>
  <si>
    <t>Deletado ID4577</t>
  </si>
  <si>
    <t>Foi efetuada correção de dados inconsistentes. Troca de valores nas colunas peso e venda</t>
  </si>
  <si>
    <t>08/05/2025</t>
  </si>
  <si>
    <t>12/05/2025</t>
  </si>
  <si>
    <t>22/05/2025</t>
  </si>
  <si>
    <t xml:space="preserve">DUPLICADO EXCLUIR OS FORMULÁRIOS </t>
  </si>
  <si>
    <t>ID 4769 ID4768 ID4464</t>
  </si>
  <si>
    <t>Deletado 4464 - Fev/2025; 4769 e 4768 - Abr/2025</t>
  </si>
  <si>
    <t>13/05/2025</t>
  </si>
  <si>
    <t xml:space="preserve">Preenchimento incompleto - comunicado a técnica </t>
  </si>
  <si>
    <t>02/05/2025</t>
  </si>
  <si>
    <t>09/05/2025</t>
  </si>
  <si>
    <t>07/05/2025</t>
  </si>
  <si>
    <t>06/05/2025</t>
  </si>
  <si>
    <t xml:space="preserve">Fazer alterações nos dados </t>
  </si>
  <si>
    <t>15/05/2025</t>
  </si>
  <si>
    <t>ID4713</t>
  </si>
  <si>
    <t>Deletado 4713</t>
  </si>
  <si>
    <t>30/04/2025</t>
  </si>
  <si>
    <t>19/05/2025</t>
  </si>
  <si>
    <t xml:space="preserve">Sem dados do Rejeito - comunicado ao técnico </t>
  </si>
  <si>
    <t xml:space="preserve">Associação ainda não iniciou suas atividades sem dados . Aguardando entrega equipamentos </t>
  </si>
  <si>
    <t>29/04/2025</t>
  </si>
  <si>
    <t>Novo Técnico entrou dia 12/05 - dados do mês 04 deverão ser preenchidos até final do mês</t>
  </si>
  <si>
    <t>03/06/2025</t>
  </si>
  <si>
    <t>Sem técnico</t>
  </si>
  <si>
    <t>05/06/2025</t>
  </si>
  <si>
    <t>02/06/2025</t>
  </si>
  <si>
    <t>06/06/2025</t>
  </si>
  <si>
    <t>28/05/2025</t>
  </si>
  <si>
    <t>09/06/2025</t>
  </si>
  <si>
    <t>Solicitei tecnica revisar taxa de rejeito</t>
  </si>
  <si>
    <t>10/07/2025</t>
  </si>
  <si>
    <t xml:space="preserve">Não preenchido completo </t>
  </si>
  <si>
    <t>ID 4868</t>
  </si>
  <si>
    <t>Deletado o 4869 (4868 estava incorreto)</t>
  </si>
  <si>
    <t>10/06/2025</t>
  </si>
  <si>
    <t xml:space="preserve">Falta inserir as Notas fiscais </t>
  </si>
  <si>
    <t>16/06/2025</t>
  </si>
  <si>
    <t>Analisado no dia 13</t>
  </si>
  <si>
    <t>11/06/2025</t>
  </si>
  <si>
    <t>12/06/2025</t>
  </si>
  <si>
    <t>02/07/2025</t>
  </si>
  <si>
    <t>Não tem dados</t>
  </si>
  <si>
    <t>08/07/2025</t>
  </si>
  <si>
    <t>07/06/2025</t>
  </si>
  <si>
    <t>excluir o ID 4841</t>
  </si>
  <si>
    <t>Excluir 4841</t>
  </si>
  <si>
    <t>Deletado o 4841</t>
  </si>
  <si>
    <t>Aguardando correções</t>
  </si>
  <si>
    <t>03/07/2025</t>
  </si>
  <si>
    <t>Correção do fundo de caixa</t>
  </si>
  <si>
    <t>09/07/2025</t>
  </si>
  <si>
    <t>06/07/2025</t>
  </si>
  <si>
    <t>07/07/2025</t>
  </si>
  <si>
    <t xml:space="preserve">Falta Atualizar dados ja falei com tecnica </t>
  </si>
  <si>
    <t>14/07/2025</t>
  </si>
  <si>
    <t>04/07/2025</t>
  </si>
  <si>
    <t>11/07/2025</t>
  </si>
  <si>
    <t>Formulário duplicado - excluir o ID4995</t>
  </si>
  <si>
    <t>Foi preenchido porém não corresponde com a realidade comercializada por falta de dados do presidente</t>
  </si>
  <si>
    <t>01/07/2025</t>
  </si>
  <si>
    <t>09/10/2025</t>
  </si>
  <si>
    <t>Técnico saiu</t>
  </si>
  <si>
    <t>06/08/2025</t>
  </si>
  <si>
    <t>Não terá lançamento por enquanto, técnica nova.</t>
  </si>
  <si>
    <t>Despesas estão mal detalhadas pedi revisão.</t>
  </si>
  <si>
    <t>UVR não está em operação</t>
  </si>
  <si>
    <t>05/08/2025</t>
  </si>
  <si>
    <t>04/08/2025</t>
  </si>
  <si>
    <t>08/08/2025</t>
  </si>
  <si>
    <t>07/08/2025</t>
  </si>
  <si>
    <t>11/08/2025</t>
  </si>
  <si>
    <t>falta dados</t>
  </si>
  <si>
    <t>excluir o ID 5157</t>
  </si>
  <si>
    <t>Deletado o 5157</t>
  </si>
  <si>
    <t>13/08/2025</t>
  </si>
  <si>
    <t>12/08/2025</t>
  </si>
  <si>
    <t>27/08/2025</t>
  </si>
  <si>
    <t>17/07/2025</t>
  </si>
  <si>
    <t>Duplicado listado para deleção</t>
  </si>
  <si>
    <t>Deletado 5512</t>
  </si>
  <si>
    <t>29/08/2025</t>
  </si>
  <si>
    <t>01/08/2025</t>
  </si>
  <si>
    <t>01/09/2025</t>
  </si>
  <si>
    <t>25/07/2025</t>
  </si>
  <si>
    <t>31/07/2025</t>
  </si>
  <si>
    <t xml:space="preserve">Sem técnico </t>
  </si>
  <si>
    <t>28/07/2025</t>
  </si>
  <si>
    <t>Solicitei a revisão no dia</t>
  </si>
  <si>
    <t>O técnico preencheu tudo como "Outros materiais" já solicitei a correção. Outro ponto são as despesas que não estão bem detalhadas (solicitei revisão 28/08/2025)</t>
  </si>
  <si>
    <t>ID5185</t>
  </si>
  <si>
    <t>Deletado o 5185</t>
  </si>
  <si>
    <t>24/07/2025</t>
  </si>
  <si>
    <t>26/09/2025</t>
  </si>
  <si>
    <t>09/09/2025</t>
  </si>
  <si>
    <t>04/09/2025</t>
  </si>
  <si>
    <t>02/09/2025</t>
  </si>
  <si>
    <t>08/09/2025</t>
  </si>
  <si>
    <t>10/10/2025</t>
  </si>
  <si>
    <t>10/09/2025</t>
  </si>
  <si>
    <t>05/09/2025</t>
  </si>
  <si>
    <t>03/09/2025</t>
  </si>
  <si>
    <t>11/09/2025</t>
  </si>
  <si>
    <t>17/11/2025</t>
  </si>
  <si>
    <t>25/08/2025</t>
  </si>
  <si>
    <t>Para Outubro passará a pesar o rejeito</t>
  </si>
  <si>
    <t>26/08/2025</t>
  </si>
  <si>
    <t>17/09/2025</t>
  </si>
  <si>
    <t>Técnico entregou mas sem detalhamento de nada e apenas com 1 tonelada de resíduos. Claramente não está atualizado. Técnico se afastou por problemas de saúde</t>
  </si>
  <si>
    <t>03/10/2025</t>
  </si>
  <si>
    <t>a técnica não esta na UVR</t>
  </si>
  <si>
    <t>07/10/2025</t>
  </si>
  <si>
    <t>08/10/2025</t>
  </si>
  <si>
    <t>15/10/2025</t>
  </si>
  <si>
    <t>06/10/2025</t>
  </si>
  <si>
    <t>Dados inconsistentes. Necessita revisão!</t>
  </si>
  <si>
    <t>atualizar os eletronicos</t>
  </si>
  <si>
    <t>13/10/2025</t>
  </si>
  <si>
    <t>atualizar as vendas dos reciclaveis</t>
  </si>
  <si>
    <t>16/09/2025</t>
  </si>
  <si>
    <t>excluir ID 5477</t>
  </si>
  <si>
    <t>ID 5477</t>
  </si>
  <si>
    <t>Deletado 5477</t>
  </si>
  <si>
    <t>01/10/2025</t>
  </si>
  <si>
    <t>30/09/2025</t>
  </si>
  <si>
    <t>Associação ainda não iniciou suas atividades sem dados</t>
  </si>
  <si>
    <t>02/10/2025</t>
  </si>
  <si>
    <t>Validado, porém associação não quis passar o fundo de caixa</t>
  </si>
  <si>
    <t>Técnico afastado por motivos de saúde</t>
  </si>
  <si>
    <t>Não houve comercialização. Transferência da estrutura antiga para nova UVR iniciou atividades em 21 de outubro</t>
  </si>
  <si>
    <t>13/11/2025</t>
  </si>
  <si>
    <t xml:space="preserve">Mudança de técnico </t>
  </si>
  <si>
    <t>05/11/2025</t>
  </si>
  <si>
    <t>04/11/2025</t>
  </si>
  <si>
    <t>11/11/2025</t>
  </si>
  <si>
    <t>10/11/2025</t>
  </si>
  <si>
    <t>07/11/2025</t>
  </si>
  <si>
    <t>14/11/2025</t>
  </si>
  <si>
    <t>Está em processode mudança de técnica, Enviará até 14/11</t>
  </si>
  <si>
    <t>Associação iniciou suas atividades em 27/10, logo sem dados para esse mês</t>
  </si>
  <si>
    <t>30/10/2025</t>
  </si>
  <si>
    <t>06/11/2025</t>
  </si>
  <si>
    <t>12/11/2025</t>
  </si>
  <si>
    <t>03/11/2025</t>
  </si>
  <si>
    <t>09/11/2025</t>
  </si>
  <si>
    <t>02/11/2025</t>
  </si>
  <si>
    <t>sem atividades</t>
  </si>
  <si>
    <t>28/10/2025</t>
  </si>
  <si>
    <t>Técnico afastado</t>
  </si>
  <si>
    <t>Mês de referência</t>
  </si>
  <si>
    <t>Validado Equipe de TI</t>
  </si>
  <si>
    <t>1</t>
  </si>
  <si>
    <t>Jéssica Bortolozzo</t>
  </si>
  <si>
    <t>09/02/2025</t>
  </si>
  <si>
    <t>12.24</t>
  </si>
  <si>
    <t>06.05</t>
  </si>
  <si>
    <t>Eunice Fernandes Gonzaga</t>
  </si>
  <si>
    <t>10.24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</si>
</sst>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22">
    <font>
      <sz val="11"/>
      <color theme="1"/>
      <name val="Calibri"/>
      <family val="2"/>
      <scheme val="minor"/>
    </font>
    <font>
      <sz val="14"/>
      <color theme="0"/>
      <name val="Aptos Narrow"/>
    </font>
    <font>
      <b/>
      <sz val="14"/>
      <color theme="0"/>
      <name val="Aptos Narrow"/>
    </font>
    <font>
      <sz val="12"/>
      <color theme="1"/>
      <name val="Aptos Narrow"/>
    </font>
    <font>
      <sz val="11"/>
      <color theme="1"/>
      <name val="Calibri"/>
    </font>
    <font>
      <b/>
      <sz val="11"/>
      <color theme="1"/>
      <name val="Calibri"/>
    </font>
    <font>
      <b/>
      <sz val="12"/>
      <color theme="1"/>
      <name val="Aptos Narrow"/>
    </font>
    <font>
      <sz val="14"/>
      <color theme="0"/>
      <name val="Calibri"/>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sz val="11"/>
      <name val="Arial"/>
    </font>
    <font>
      <sz val="12"/>
      <color theme="0"/>
      <name val="Aptos Narrow"/>
    </font>
    <font>
      <sz val="11"/>
      <color theme="1"/>
      <name val="Arial"/>
    </font>
    <font>
      <sz val="11"/>
      <color rgb="FF000000"/>
      <name val="Arial"/>
    </font>
    <font>
      <b/>
      <sz val="11"/>
      <color rgb="FFFFFFFF"/>
      <name val="Arial"/>
    </font>
    <font>
      <sz val="11"/>
      <color rgb="FFFFFFFF"/>
      <name val="Arial"/>
    </font>
  </fonts>
  <fills count="61">
    <fill>
      <patternFill patternType="none"/>
    </fill>
    <fill>
      <patternFill patternType="gray125"/>
    </fill>
    <fill>
      <patternFill patternType="solid">
        <fgColor theme="4" tint="-0.249977111117893"/>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rgb="FFC680FF"/>
        <bgColor indexed="64"/>
      </patternFill>
    </fill>
    <fill>
      <patternFill patternType="solid">
        <fgColor rgb="FFC4D79B"/>
        <bgColor indexed="64"/>
      </patternFill>
    </fill>
    <fill>
      <patternFill patternType="solid">
        <fgColor rgb="FFFFFF00"/>
        <bgColor indexed="64"/>
      </patternFill>
    </fill>
    <fill>
      <patternFill patternType="solid">
        <fgColor rgb="FFFFC000"/>
        <bgColor indexed="64"/>
      </patternFill>
    </fill>
    <fill>
      <patternFill patternType="solid">
        <fgColor rgb="FFB7DEE8"/>
        <bgColor indexed="64"/>
      </patternFill>
    </fill>
    <fill>
      <patternFill patternType="solid">
        <fgColor rgb="FFFF0000"/>
        <bgColor indexed="64"/>
      </patternFill>
    </fill>
    <fill>
      <patternFill patternType="solid">
        <fgColor rgb="FFBFBFBF"/>
        <bgColor indexed="64"/>
      </patternFill>
    </fill>
    <fill>
      <patternFill patternType="solid">
        <fgColor rgb="FF0070C0"/>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9" tint="-0.249977111117893"/>
        <bgColor indexed="64"/>
      </patternFill>
    </fill>
    <fill>
      <patternFill patternType="solid">
        <fgColor rgb="FFFF00FB"/>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4D93D9"/>
        <bgColor indexed="64"/>
      </patternFill>
    </fill>
    <fill>
      <patternFill patternType="solid">
        <fgColor theme="3" tint="0.749992370372631"/>
        <bgColor indexed="64"/>
      </patternFill>
    </fill>
    <fill>
      <patternFill patternType="solid">
        <fgColor rgb="FFFFF7C9"/>
        <bgColor indexed="64"/>
      </patternFill>
    </fill>
    <fill>
      <patternFill patternType="solid">
        <fgColor rgb="FF91F0D3"/>
        <bgColor indexed="64"/>
      </patternFill>
    </fill>
    <fill>
      <patternFill patternType="solid">
        <fgColor rgb="FF94DCF8"/>
        <bgColor indexed="64"/>
      </patternFill>
    </fill>
    <fill>
      <patternFill patternType="solid">
        <fgColor theme="7" tint="0.59999389629810485"/>
        <bgColor indexed="64"/>
      </patternFill>
    </fill>
    <fill>
      <patternFill patternType="solid">
        <fgColor rgb="FFEBC99F"/>
        <bgColor indexed="64"/>
      </patternFill>
    </fill>
    <fill>
      <patternFill patternType="solid">
        <fgColor rgb="FFA3DDFF"/>
        <bgColor indexed="64"/>
      </patternFill>
    </fill>
    <fill>
      <patternFill patternType="solid">
        <fgColor theme="9" tint="0.59999389629810485"/>
        <bgColor indexed="64"/>
      </patternFill>
    </fill>
    <fill>
      <patternFill patternType="solid">
        <fgColor rgb="FFFFD2DE"/>
        <bgColor indexed="64"/>
      </patternFill>
    </fill>
    <fill>
      <patternFill patternType="solid">
        <fgColor theme="8" tint="0.59999389629810485"/>
        <bgColor indexed="64"/>
      </patternFill>
    </fill>
    <fill>
      <patternFill patternType="solid">
        <fgColor rgb="FFE49EDD"/>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3366"/>
        <bgColor rgb="FF003366"/>
      </patternFill>
    </fill>
    <fill>
      <patternFill patternType="solid">
        <fgColor rgb="FF66FF66"/>
        <bgColor rgb="FF66FF66"/>
      </patternFill>
    </fill>
    <fill>
      <patternFill patternType="solid">
        <fgColor rgb="FF9B59B6"/>
        <bgColor rgb="FF9B59B6"/>
      </patternFill>
    </fill>
    <fill>
      <patternFill patternType="solid">
        <fgColor rgb="FFFFCCFF"/>
        <bgColor rgb="FFFFCCFF"/>
      </patternFill>
    </fill>
    <fill>
      <patternFill patternType="solid">
        <fgColor rgb="FFB2FFFF"/>
        <bgColor rgb="FFB2FFFF"/>
      </patternFill>
    </fill>
    <fill>
      <patternFill patternType="solid">
        <fgColor rgb="FFA9C5E6"/>
        <bgColor rgb="FFA9C5E6"/>
      </patternFill>
    </fill>
    <fill>
      <patternFill patternType="solid">
        <fgColor rgb="FFF1E0C6"/>
        <bgColor rgb="FFF1E0C6"/>
      </patternFill>
    </fill>
    <fill>
      <patternFill patternType="solid">
        <fgColor rgb="FFFFFF99"/>
        <bgColor rgb="FFFFFF99"/>
      </patternFill>
    </fill>
    <fill>
      <patternFill patternType="solid">
        <fgColor rgb="FFFF6666"/>
        <bgColor rgb="FFFF6666"/>
      </patternFill>
    </fill>
    <fill>
      <patternFill patternType="solid">
        <fgColor rgb="FFFFD3AC"/>
        <bgColor rgb="FFFFD3AC"/>
      </patternFill>
    </fill>
    <fill>
      <patternFill patternType="solid">
        <fgColor rgb="FFA020F0"/>
        <bgColor rgb="FFA020F0"/>
      </patternFill>
    </fill>
    <fill>
      <patternFill patternType="solid">
        <fgColor rgb="FF006400"/>
        <bgColor rgb="FF006400"/>
      </patternFill>
    </fill>
    <fill>
      <patternFill patternType="solid">
        <fgColor rgb="FF808080"/>
        <bgColor rgb="FF808080"/>
      </patternFill>
    </fill>
    <fill>
      <patternFill patternType="solid">
        <fgColor rgb="FFFF0000"/>
        <bgColor rgb="FFFF0000"/>
      </patternFill>
    </fill>
    <fill>
      <patternFill patternType="solid">
        <fgColor rgb="FFFF6400"/>
        <bgColor rgb="FFFF6400"/>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5">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6" fillId="0" borderId="2" xfId="0" applyFont="1" applyBorder="1" applyAlignment="1">
      <alignment horizontal="center" vertical="center"/>
    </xf>
    <xf numFmtId="0" fontId="4" fillId="8" borderId="3" xfId="0" applyFont="1" applyFill="1" applyBorder="1" applyAlignment="1">
      <alignment vertical="center"/>
    </xf>
    <xf numFmtId="0" fontId="4" fillId="8" borderId="3" xfId="0" applyFont="1" applyFill="1" applyBorder="1"/>
    <xf numFmtId="0" fontId="4" fillId="0" borderId="4" xfId="0" applyFont="1" applyBorder="1" applyAlignment="1">
      <alignment horizontal="center" vertical="center"/>
    </xf>
    <xf numFmtId="0" fontId="4" fillId="15" borderId="4" xfId="0" applyFont="1" applyFill="1" applyBorder="1" applyAlignment="1">
      <alignment horizontal="center" vertical="center"/>
    </xf>
    <xf numFmtId="164" fontId="4" fillId="15" borderId="4" xfId="0" applyNumberFormat="1" applyFont="1" applyFill="1" applyBorder="1" applyAlignment="1">
      <alignment horizontal="center" vertical="center"/>
    </xf>
    <xf numFmtId="0" fontId="4" fillId="8" borderId="1" xfId="0" applyFont="1" applyFill="1" applyBorder="1" applyAlignment="1">
      <alignment horizontal="center" vertical="center"/>
    </xf>
    <xf numFmtId="164" fontId="4" fillId="8" borderId="1" xfId="0" applyNumberFormat="1" applyFont="1" applyFill="1" applyBorder="1" applyAlignment="1">
      <alignment horizontal="center" vertical="center"/>
    </xf>
    <xf numFmtId="0" fontId="4" fillId="0" borderId="5"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xf numFmtId="0" fontId="13" fillId="23" borderId="3" xfId="0" applyFont="1" applyFill="1" applyBorder="1" applyAlignment="1">
      <alignment horizontal="center" vertical="center"/>
    </xf>
    <xf numFmtId="0" fontId="17" fillId="25" borderId="2" xfId="0" applyFont="1" applyFill="1" applyBorder="1" applyAlignment="1">
      <alignment horizontal="center" vertical="center"/>
    </xf>
    <xf numFmtId="0" fontId="20" fillId="46" borderId="13" xfId="0" applyFont="1" applyFill="1" applyBorder="1" applyAlignment="1">
      <alignment horizontal="center" vertical="center"/>
    </xf>
    <xf numFmtId="0" fontId="16" fillId="48" borderId="13" xfId="0" applyFont="1" applyFill="1" applyBorder="1" applyAlignment="1">
      <alignment horizontal="center" vertical="center"/>
    </xf>
    <xf numFmtId="0" fontId="16" fillId="0" borderId="13" xfId="0" applyFont="1" applyBorder="1" applyAlignment="1">
      <alignment horizontal="center" vertical="center"/>
    </xf>
    <xf numFmtId="0" fontId="21" fillId="56" borderId="13" xfId="0" applyFont="1" applyFill="1" applyBorder="1" applyAlignment="1">
      <alignment horizontal="center" vertical="center"/>
    </xf>
    <xf numFmtId="0" fontId="16" fillId="47" borderId="13" xfId="0" applyFont="1" applyFill="1" applyBorder="1" applyAlignment="1">
      <alignment horizontal="center" vertical="center"/>
    </xf>
    <xf numFmtId="0" fontId="21" fillId="57" borderId="13" xfId="0" applyFont="1" applyFill="1" applyBorder="1" applyAlignment="1">
      <alignment horizontal="center" vertical="center"/>
    </xf>
    <xf numFmtId="0" fontId="16" fillId="49" borderId="13" xfId="0" applyFont="1" applyFill="1" applyBorder="1" applyAlignment="1">
      <alignment horizontal="center" vertical="center"/>
    </xf>
    <xf numFmtId="0" fontId="16" fillId="50" borderId="13" xfId="0" applyFont="1" applyFill="1" applyBorder="1" applyAlignment="1">
      <alignment horizontal="center" vertical="center"/>
    </xf>
    <xf numFmtId="0" fontId="16" fillId="51" borderId="13" xfId="0" applyFont="1" applyFill="1" applyBorder="1" applyAlignment="1">
      <alignment horizontal="center" vertical="center"/>
    </xf>
    <xf numFmtId="0" fontId="16" fillId="52" borderId="13" xfId="0" applyFont="1" applyFill="1" applyBorder="1" applyAlignment="1">
      <alignment horizontal="center" vertical="center"/>
    </xf>
    <xf numFmtId="0" fontId="16" fillId="53" borderId="13" xfId="0" applyFont="1" applyFill="1" applyBorder="1" applyAlignment="1">
      <alignment horizontal="center" vertical="center"/>
    </xf>
    <xf numFmtId="0" fontId="16" fillId="54" borderId="13" xfId="0" applyFont="1" applyFill="1" applyBorder="1" applyAlignment="1">
      <alignment horizontal="center" vertical="center"/>
    </xf>
    <xf numFmtId="0" fontId="16" fillId="55" borderId="13" xfId="0" applyFont="1" applyFill="1" applyBorder="1" applyAlignment="1">
      <alignment horizontal="center" vertical="center"/>
    </xf>
    <xf numFmtId="0" fontId="21" fillId="58" borderId="13" xfId="0" applyFont="1" applyFill="1" applyBorder="1" applyAlignment="1">
      <alignment horizontal="center" vertical="center"/>
    </xf>
    <xf numFmtId="0" fontId="16" fillId="0" borderId="13" xfId="0" applyFont="1" applyBorder="1" applyAlignment="1">
      <alignment horizontal="center"/>
    </xf>
    <xf numFmtId="0" fontId="21" fillId="59" borderId="13" xfId="0" applyFont="1" applyFill="1" applyBorder="1" applyAlignment="1">
      <alignment horizontal="center" vertical="center"/>
    </xf>
    <xf numFmtId="0" fontId="16" fillId="0" borderId="13" xfId="0" applyFont="1" applyBorder="1"/>
    <xf numFmtId="0" fontId="21" fillId="60" borderId="13" xfId="0" applyFont="1" applyFill="1" applyBorder="1" applyAlignment="1">
      <alignment horizontal="center" vertical="center"/>
    </xf>
    <xf numFmtId="165" fontId="16" fillId="0" borderId="13" xfId="0" applyNumberFormat="1" applyFont="1" applyBorder="1" applyAlignment="1">
      <alignment horizontal="center" vertical="center"/>
    </xf>
    <xf numFmtId="0" fontId="1" fillId="2" borderId="13" xfId="0" applyFont="1" applyFill="1" applyBorder="1" applyAlignment="1">
      <alignment horizontal="center" vertical="center"/>
    </xf>
    <xf numFmtId="0" fontId="4" fillId="3" borderId="13" xfId="0" applyFont="1" applyFill="1" applyBorder="1" applyAlignment="1">
      <alignment horizontal="center" vertical="center"/>
    </xf>
    <xf numFmtId="0" fontId="5" fillId="3" borderId="13" xfId="0" applyFont="1" applyFill="1" applyBorder="1" applyAlignment="1">
      <alignment horizontal="center" vertical="center"/>
    </xf>
    <xf numFmtId="0" fontId="4" fillId="4" borderId="13" xfId="0" applyFont="1" applyFill="1" applyBorder="1" applyAlignment="1">
      <alignment horizontal="center" vertical="center"/>
    </xf>
    <xf numFmtId="0" fontId="5" fillId="4" borderId="13" xfId="0" applyFont="1" applyFill="1" applyBorder="1" applyAlignment="1">
      <alignment horizontal="center" vertical="center"/>
    </xf>
    <xf numFmtId="0" fontId="4" fillId="5" borderId="13" xfId="0" applyFont="1" applyFill="1" applyBorder="1" applyAlignment="1">
      <alignment horizontal="center" vertical="center"/>
    </xf>
    <xf numFmtId="0" fontId="5" fillId="5" borderId="13" xfId="0" applyFont="1" applyFill="1" applyBorder="1" applyAlignment="1">
      <alignment horizontal="center" vertical="center"/>
    </xf>
    <xf numFmtId="0" fontId="4" fillId="6" borderId="13" xfId="0" applyFont="1" applyFill="1" applyBorder="1" applyAlignment="1">
      <alignment horizontal="center" vertical="center"/>
    </xf>
    <xf numFmtId="0" fontId="5" fillId="6" borderId="13" xfId="0" applyFont="1" applyFill="1" applyBorder="1" applyAlignment="1">
      <alignment horizontal="center" vertical="center"/>
    </xf>
    <xf numFmtId="0" fontId="4" fillId="7" borderId="13" xfId="0" applyFont="1" applyFill="1" applyBorder="1" applyAlignment="1">
      <alignment horizontal="center" vertical="center"/>
    </xf>
    <xf numFmtId="0" fontId="5" fillId="7" borderId="13" xfId="0" applyFont="1" applyFill="1" applyBorder="1" applyAlignment="1">
      <alignment horizontal="center" vertical="center"/>
    </xf>
    <xf numFmtId="0" fontId="4" fillId="8" borderId="13" xfId="0" applyFont="1" applyFill="1" applyBorder="1" applyAlignment="1">
      <alignment horizontal="center" vertical="center"/>
    </xf>
    <xf numFmtId="0" fontId="5" fillId="8" borderId="13" xfId="0" applyFont="1" applyFill="1" applyBorder="1" applyAlignment="1">
      <alignment horizontal="center" vertical="center"/>
    </xf>
    <xf numFmtId="0" fontId="5" fillId="0" borderId="13" xfId="0" applyFont="1" applyBorder="1" applyAlignment="1">
      <alignment horizontal="center" vertical="center"/>
    </xf>
    <xf numFmtId="0" fontId="4" fillId="11" borderId="13" xfId="0" applyFont="1" applyFill="1" applyBorder="1" applyAlignment="1">
      <alignment horizontal="center" vertical="center"/>
    </xf>
    <xf numFmtId="0" fontId="4" fillId="12" borderId="13" xfId="0" applyFont="1" applyFill="1" applyBorder="1" applyAlignment="1">
      <alignment horizontal="center" vertical="center"/>
    </xf>
    <xf numFmtId="0" fontId="4" fillId="14" borderId="13" xfId="0" applyFont="1" applyFill="1" applyBorder="1" applyAlignment="1">
      <alignment horizontal="center" vertical="center"/>
    </xf>
    <xf numFmtId="0" fontId="4" fillId="15" borderId="13" xfId="0" applyFont="1" applyFill="1" applyBorder="1" applyAlignment="1">
      <alignment horizontal="center" vertical="center"/>
    </xf>
    <xf numFmtId="0" fontId="4" fillId="16" borderId="13" xfId="0" applyFont="1" applyFill="1" applyBorder="1" applyAlignment="1">
      <alignment horizontal="center" vertical="center"/>
    </xf>
    <xf numFmtId="0" fontId="4" fillId="0" borderId="13" xfId="0" applyFont="1" applyBorder="1" applyAlignment="1">
      <alignment horizontal="center" vertical="center"/>
    </xf>
    <xf numFmtId="164" fontId="4" fillId="4" borderId="13" xfId="0" applyNumberFormat="1" applyFont="1" applyFill="1" applyBorder="1" applyAlignment="1">
      <alignment horizontal="center" vertical="center"/>
    </xf>
    <xf numFmtId="164" fontId="4" fillId="5" borderId="13" xfId="0" applyNumberFormat="1" applyFont="1" applyFill="1" applyBorder="1" applyAlignment="1">
      <alignment horizontal="center" vertical="center"/>
    </xf>
    <xf numFmtId="0" fontId="4" fillId="17" borderId="13" xfId="0" applyFont="1" applyFill="1" applyBorder="1" applyAlignment="1">
      <alignment horizontal="center" vertical="center"/>
    </xf>
    <xf numFmtId="164" fontId="4" fillId="6" borderId="13" xfId="0" applyNumberFormat="1" applyFont="1" applyFill="1" applyBorder="1" applyAlignment="1">
      <alignment horizontal="center" vertical="center"/>
    </xf>
    <xf numFmtId="164" fontId="4" fillId="7" borderId="13" xfId="0" applyNumberFormat="1" applyFont="1" applyFill="1" applyBorder="1" applyAlignment="1">
      <alignment horizontal="center" vertical="center"/>
    </xf>
    <xf numFmtId="0" fontId="4" fillId="18" borderId="13" xfId="0" applyFont="1" applyFill="1" applyBorder="1" applyAlignment="1">
      <alignment horizontal="center" vertical="center"/>
    </xf>
    <xf numFmtId="0" fontId="4" fillId="19" borderId="13" xfId="0" applyFont="1" applyFill="1" applyBorder="1"/>
    <xf numFmtId="164" fontId="4" fillId="0" borderId="13" xfId="0" applyNumberFormat="1" applyFont="1" applyBorder="1" applyAlignment="1">
      <alignment horizontal="center" vertical="center"/>
    </xf>
    <xf numFmtId="0" fontId="12" fillId="21" borderId="13" xfId="0" applyFont="1" applyFill="1" applyBorder="1" applyAlignment="1">
      <alignment horizontal="center" vertical="center" wrapText="1"/>
    </xf>
    <xf numFmtId="0" fontId="12" fillId="22" borderId="13" xfId="0" applyFont="1" applyFill="1" applyBorder="1" applyAlignment="1">
      <alignment horizontal="center" vertical="center" wrapText="1"/>
    </xf>
    <xf numFmtId="0" fontId="15" fillId="24" borderId="13" xfId="0" applyFont="1" applyFill="1" applyBorder="1" applyAlignment="1">
      <alignment horizontal="center" vertical="center" wrapText="1"/>
    </xf>
    <xf numFmtId="0" fontId="4" fillId="0" borderId="13" xfId="0" applyFont="1" applyBorder="1"/>
    <xf numFmtId="0" fontId="16" fillId="16" borderId="13" xfId="0" applyFont="1" applyFill="1" applyBorder="1" applyAlignment="1">
      <alignment horizontal="center" vertical="center"/>
    </xf>
    <xf numFmtId="0" fontId="17" fillId="25" borderId="13" xfId="0" applyFont="1" applyFill="1" applyBorder="1" applyAlignment="1">
      <alignment horizontal="center" vertical="center"/>
    </xf>
    <xf numFmtId="0" fontId="18" fillId="26" borderId="13" xfId="0" applyFont="1" applyFill="1" applyBorder="1" applyAlignment="1">
      <alignment horizontal="center" vertical="center"/>
    </xf>
    <xf numFmtId="0" fontId="18" fillId="27" borderId="13" xfId="0" applyFont="1" applyFill="1" applyBorder="1" applyAlignment="1">
      <alignment horizontal="center" vertical="center"/>
    </xf>
    <xf numFmtId="0" fontId="18" fillId="28" borderId="13" xfId="0" applyFont="1" applyFill="1" applyBorder="1" applyAlignment="1">
      <alignment horizontal="center" vertical="center"/>
    </xf>
    <xf numFmtId="0" fontId="16" fillId="17" borderId="13" xfId="0" applyFont="1" applyFill="1" applyBorder="1" applyAlignment="1">
      <alignment horizontal="center" vertical="center"/>
    </xf>
    <xf numFmtId="0" fontId="16" fillId="21" borderId="13" xfId="0" applyFont="1" applyFill="1" applyBorder="1" applyAlignment="1">
      <alignment horizontal="center" vertical="center"/>
    </xf>
    <xf numFmtId="0" fontId="16" fillId="29" borderId="13" xfId="0" applyFont="1" applyFill="1" applyBorder="1" applyAlignment="1">
      <alignment horizontal="center" vertical="center"/>
    </xf>
    <xf numFmtId="0" fontId="16" fillId="30" borderId="13" xfId="0" applyFont="1" applyFill="1" applyBorder="1" applyAlignment="1">
      <alignment horizontal="center" vertical="center"/>
    </xf>
    <xf numFmtId="0" fontId="18" fillId="31" borderId="13" xfId="0" applyFont="1" applyFill="1" applyBorder="1" applyAlignment="1">
      <alignment horizontal="center" vertical="center"/>
    </xf>
    <xf numFmtId="0" fontId="18" fillId="14" borderId="13" xfId="0" applyFont="1" applyFill="1" applyBorder="1" applyAlignment="1">
      <alignment horizontal="center" vertical="center"/>
    </xf>
    <xf numFmtId="0" fontId="19" fillId="32" borderId="13" xfId="0" applyFont="1" applyFill="1" applyBorder="1" applyAlignment="1">
      <alignment horizontal="center" vertical="center"/>
    </xf>
    <xf numFmtId="0" fontId="18" fillId="33" borderId="13" xfId="0" applyFont="1" applyFill="1" applyBorder="1" applyAlignment="1">
      <alignment horizontal="center" vertical="center"/>
    </xf>
    <xf numFmtId="0" fontId="18" fillId="34" borderId="13" xfId="0" applyFont="1" applyFill="1" applyBorder="1" applyAlignment="1">
      <alignment horizontal="center" vertical="center"/>
    </xf>
    <xf numFmtId="0" fontId="18" fillId="16" borderId="13" xfId="0" applyFont="1" applyFill="1" applyBorder="1" applyAlignment="1">
      <alignment horizontal="center" vertical="center"/>
    </xf>
    <xf numFmtId="0" fontId="19" fillId="16" borderId="13" xfId="0" applyFont="1" applyFill="1" applyBorder="1" applyAlignment="1">
      <alignment horizontal="center" vertical="center"/>
    </xf>
    <xf numFmtId="0" fontId="18" fillId="35" borderId="13" xfId="0" applyFont="1" applyFill="1" applyBorder="1" applyAlignment="1">
      <alignment horizontal="center" vertical="center"/>
    </xf>
    <xf numFmtId="0" fontId="18" fillId="3" borderId="13" xfId="0" applyFont="1" applyFill="1" applyBorder="1" applyAlignment="1">
      <alignment horizontal="center" vertical="center"/>
    </xf>
    <xf numFmtId="0" fontId="19" fillId="36" borderId="13" xfId="0" applyFont="1" applyFill="1" applyBorder="1" applyAlignment="1">
      <alignment horizontal="center" vertical="center"/>
    </xf>
    <xf numFmtId="0" fontId="18" fillId="37" borderId="13" xfId="0" applyFont="1" applyFill="1" applyBorder="1" applyAlignment="1">
      <alignment horizontal="center" vertical="center"/>
    </xf>
    <xf numFmtId="0" fontId="18" fillId="38" borderId="13" xfId="0" applyFont="1" applyFill="1" applyBorder="1" applyAlignment="1">
      <alignment horizontal="center" vertical="center"/>
    </xf>
    <xf numFmtId="0" fontId="18" fillId="17" borderId="13" xfId="0" applyFont="1" applyFill="1" applyBorder="1" applyAlignment="1">
      <alignment horizontal="center" vertical="center"/>
    </xf>
    <xf numFmtId="0" fontId="19" fillId="19" borderId="13" xfId="0" applyFont="1" applyFill="1" applyBorder="1" applyAlignment="1">
      <alignment horizontal="center" vertical="center"/>
    </xf>
    <xf numFmtId="0" fontId="18" fillId="5" borderId="13" xfId="0" applyFont="1" applyFill="1" applyBorder="1" applyAlignment="1">
      <alignment horizontal="center" vertical="center"/>
    </xf>
    <xf numFmtId="0" fontId="18" fillId="39" borderId="13" xfId="0" applyFont="1" applyFill="1" applyBorder="1" applyAlignment="1">
      <alignment horizontal="center" vertical="center"/>
    </xf>
    <xf numFmtId="0" fontId="18" fillId="10" borderId="13" xfId="0" applyFont="1" applyFill="1" applyBorder="1" applyAlignment="1">
      <alignment horizontal="center" vertical="center"/>
    </xf>
    <xf numFmtId="0" fontId="19" fillId="3" borderId="13" xfId="0" applyFont="1" applyFill="1" applyBorder="1" applyAlignment="1">
      <alignment horizontal="center" vertical="center"/>
    </xf>
    <xf numFmtId="0" fontId="18" fillId="40" borderId="13" xfId="0" applyFont="1" applyFill="1" applyBorder="1" applyAlignment="1">
      <alignment horizontal="center" vertical="center"/>
    </xf>
    <xf numFmtId="0" fontId="18" fillId="41" borderId="13" xfId="0" applyFont="1" applyFill="1" applyBorder="1" applyAlignment="1">
      <alignment horizontal="center" vertical="center"/>
    </xf>
    <xf numFmtId="0" fontId="19" fillId="42" borderId="13" xfId="0" applyFont="1" applyFill="1" applyBorder="1" applyAlignment="1">
      <alignment horizontal="center" vertical="center"/>
    </xf>
    <xf numFmtId="0" fontId="19" fillId="43" borderId="13" xfId="0" applyFont="1" applyFill="1" applyBorder="1" applyAlignment="1">
      <alignment horizontal="center" vertical="center"/>
    </xf>
    <xf numFmtId="0" fontId="18" fillId="44" borderId="13" xfId="0" applyFont="1" applyFill="1" applyBorder="1" applyAlignment="1">
      <alignment horizontal="center" vertical="center"/>
    </xf>
    <xf numFmtId="0" fontId="19" fillId="17" borderId="13" xfId="0" applyFont="1" applyFill="1" applyBorder="1" applyAlignment="1">
      <alignment horizontal="center" vertical="center"/>
    </xf>
    <xf numFmtId="0" fontId="18" fillId="45" borderId="13" xfId="0" applyFont="1" applyFill="1" applyBorder="1" applyAlignment="1">
      <alignment horizontal="center" vertical="center"/>
    </xf>
    <xf numFmtId="0" fontId="4" fillId="15" borderId="13" xfId="0" applyFont="1" applyFill="1" applyBorder="1" applyAlignment="1">
      <alignment horizontal="center"/>
    </xf>
    <xf numFmtId="0" fontId="4" fillId="5" borderId="13" xfId="0" applyFont="1" applyFill="1" applyBorder="1" applyAlignment="1">
      <alignment horizontal="center"/>
    </xf>
    <xf numFmtId="0" fontId="10" fillId="2" borderId="13" xfId="0" applyFont="1" applyFill="1" applyBorder="1" applyAlignment="1">
      <alignment horizontal="center" vertical="center"/>
    </xf>
    <xf numFmtId="0" fontId="14" fillId="0" borderId="13" xfId="0" applyFont="1" applyBorder="1" applyAlignment="1">
      <alignment horizontal="center" vertical="center" wrapText="1"/>
    </xf>
    <xf numFmtId="164" fontId="4" fillId="0" borderId="13" xfId="0" applyNumberFormat="1" applyFont="1" applyBorder="1" applyAlignment="1">
      <alignment horizontal="center"/>
    </xf>
    <xf numFmtId="0" fontId="4" fillId="12" borderId="13" xfId="0" applyFont="1" applyFill="1" applyBorder="1" applyAlignment="1">
      <alignment horizontal="center" vertical="center"/>
    </xf>
    <xf numFmtId="0" fontId="4" fillId="18" borderId="13" xfId="0" applyFont="1" applyFill="1" applyBorder="1" applyAlignment="1">
      <alignment horizontal="center"/>
    </xf>
    <xf numFmtId="0" fontId="7" fillId="9" borderId="1" xfId="0" applyFont="1" applyFill="1" applyBorder="1" applyAlignment="1">
      <alignment horizontal="center" vertical="center" wrapText="1"/>
    </xf>
    <xf numFmtId="0" fontId="4" fillId="19" borderId="13" xfId="0" applyFont="1" applyFill="1" applyBorder="1" applyAlignment="1">
      <alignment horizontal="center"/>
    </xf>
    <xf numFmtId="0" fontId="8" fillId="9" borderId="13" xfId="0" applyFont="1" applyFill="1" applyBorder="1" applyAlignment="1">
      <alignment horizontal="center" vertical="center"/>
    </xf>
    <xf numFmtId="0" fontId="10" fillId="13" borderId="13" xfId="0" applyFont="1" applyFill="1" applyBorder="1" applyAlignment="1">
      <alignment horizontal="center" vertical="center"/>
    </xf>
    <xf numFmtId="0" fontId="7" fillId="9" borderId="13" xfId="0" applyFont="1" applyFill="1" applyBorder="1" applyAlignment="1">
      <alignment horizontal="center" vertical="center"/>
    </xf>
    <xf numFmtId="0" fontId="4" fillId="11" borderId="13" xfId="0" applyFont="1" applyFill="1" applyBorder="1" applyAlignment="1">
      <alignment horizontal="center" vertical="center"/>
    </xf>
    <xf numFmtId="10" fontId="4" fillId="0" borderId="1" xfId="0" applyNumberFormat="1" applyFont="1" applyBorder="1" applyAlignment="1">
      <alignment horizontal="center" vertical="center"/>
    </xf>
    <xf numFmtId="10" fontId="4" fillId="0" borderId="13" xfId="0" applyNumberFormat="1" applyFont="1" applyBorder="1" applyAlignment="1">
      <alignment horizontal="center" vertical="center"/>
    </xf>
    <xf numFmtId="0" fontId="4" fillId="14" borderId="13" xfId="0" applyFont="1" applyFill="1" applyBorder="1" applyAlignment="1">
      <alignment horizontal="center" vertical="center"/>
    </xf>
    <xf numFmtId="49" fontId="9" fillId="10" borderId="13" xfId="0" applyNumberFormat="1" applyFont="1" applyFill="1" applyBorder="1" applyAlignment="1">
      <alignment horizontal="center" vertical="center"/>
    </xf>
    <xf numFmtId="0" fontId="4" fillId="16" borderId="13" xfId="0" applyFont="1" applyFill="1" applyBorder="1" applyAlignment="1">
      <alignment horizontal="center" vertical="center"/>
    </xf>
    <xf numFmtId="0" fontId="11" fillId="20" borderId="13" xfId="0" applyFont="1" applyFill="1" applyBorder="1" applyAlignment="1">
      <alignment horizontal="center" vertical="center" wrapText="1"/>
    </xf>
    <xf numFmtId="0" fontId="4" fillId="17" borderId="13" xfId="0" applyFont="1" applyFill="1" applyBorder="1" applyAlignment="1">
      <alignment horizontal="center" vertical="center"/>
    </xf>
    <xf numFmtId="0" fontId="4" fillId="15" borderId="13" xfId="0" applyFont="1" applyFill="1" applyBorder="1" applyAlignment="1">
      <alignment horizontal="center" vertical="center"/>
    </xf>
    <xf numFmtId="0" fontId="0" fillId="0" borderId="6" xfId="0" applyBorder="1" applyAlignment="1"/>
    <xf numFmtId="0" fontId="0" fillId="0" borderId="8" xfId="0" applyBorder="1" applyAlignment="1"/>
    <xf numFmtId="0" fontId="0" fillId="0" borderId="7"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cellXfs>
  <cellStyles count="1">
    <cellStyle name="Normal" xfId="0" builtinId="0"/>
  </cellStyles>
  <dxfs count="307">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95B3D7"/>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rgb="FFFFD2DE"/>
        </patternFill>
      </fill>
    </dxf>
    <dxf>
      <font>
        <color theme="1"/>
      </font>
      <fill>
        <patternFill patternType="solid">
          <bgColor rgb="FF91F0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
  <sheetViews>
    <sheetView workbookViewId="0"/>
  </sheetViews>
  <sheetFormatPr defaultRowHeight="15"/>
  <cols>
    <col min="1" max="1" width="18.28515625" customWidth="1"/>
    <col min="2" max="2" width="12.5703125" customWidth="1"/>
    <col min="3" max="3" width="16.140625" customWidth="1"/>
    <col min="18" max="18" width="17.42578125" customWidth="1"/>
    <col min="20" max="20" width="16.28515625" customWidth="1"/>
  </cols>
  <sheetData>
    <row r="1" spans="1:21" ht="18.75" customHeight="1">
      <c r="A1" s="41" t="s">
        <v>0</v>
      </c>
      <c r="B1" s="1" t="s">
        <v>1</v>
      </c>
      <c r="C1" s="1" t="s">
        <v>2</v>
      </c>
      <c r="D1" s="1" t="s">
        <v>3</v>
      </c>
      <c r="E1" s="1" t="s">
        <v>4</v>
      </c>
      <c r="F1" s="1" t="s">
        <v>5</v>
      </c>
      <c r="G1" s="1" t="s">
        <v>6</v>
      </c>
      <c r="H1" s="1" t="s">
        <v>7</v>
      </c>
      <c r="I1" s="1" t="s">
        <v>8</v>
      </c>
      <c r="J1" s="1" t="s">
        <v>9</v>
      </c>
      <c r="K1" s="1" t="s">
        <v>10</v>
      </c>
      <c r="L1" s="1" t="s">
        <v>11</v>
      </c>
      <c r="M1" s="1" t="s">
        <v>12</v>
      </c>
      <c r="N1" s="2" t="s">
        <v>13</v>
      </c>
    </row>
    <row r="2" spans="1:21" ht="15.75" customHeight="1">
      <c r="A2" s="3" t="s">
        <v>14</v>
      </c>
      <c r="B2" s="42">
        <f ca="1">COUNTIF(INDIRECT(B$1&amp;"!E2:E1000"),$A2)</f>
        <v>52</v>
      </c>
      <c r="C2" s="42">
        <f ca="1">COUNTIF(INDIRECT(C$1&amp;"!E2:E1000"),$A2)</f>
        <v>53</v>
      </c>
      <c r="D2" s="42">
        <f ca="1">COUNTIF(INDIRECT(D$1&amp;"!E2:E1000"),$A2)</f>
        <v>53</v>
      </c>
      <c r="E2" s="42">
        <f ca="1">COUNTIF(INDIRECT(E$1&amp;"!E2:E1000"),$A2)</f>
        <v>52</v>
      </c>
      <c r="F2" s="42">
        <f ca="1">COUNTIF(INDIRECT(F$1&amp;"!E2:E1000"),$A2)</f>
        <v>52</v>
      </c>
      <c r="G2" s="42">
        <f ca="1">COUNTIF(INDIRECT(G$1&amp;"!E2:E1000"),$A2)</f>
        <v>52</v>
      </c>
      <c r="H2" s="42">
        <f ca="1">COUNTIF(INDIRECT(H$1&amp;"!E2:E1000"),$A2)</f>
        <v>52</v>
      </c>
      <c r="I2" s="42">
        <f ca="1">COUNTIF(INDIRECT(I$1&amp;"!E2:E1000"),$A2)</f>
        <v>53</v>
      </c>
      <c r="J2" s="42">
        <f ca="1">COUNTIF(INDIRECT(J$1&amp;"!E2:E1000"),$A2)</f>
        <v>50</v>
      </c>
      <c r="K2" s="42">
        <f ca="1">COUNTIF(INDIRECT(K$1&amp;"!E2:E1000"),$A2)</f>
        <v>47</v>
      </c>
      <c r="L2" s="42">
        <f ca="1">COUNTIF(INDIRECT(L$1&amp;"!E2:E1000"),$A2)</f>
        <v>0</v>
      </c>
      <c r="M2" s="42">
        <f ca="1">COUNTIF(INDIRECT(M$1&amp;"!E2:E1000"),$A2)</f>
        <v>0</v>
      </c>
      <c r="N2" s="43">
        <f ca="1">SUM(B2:M2)</f>
        <v>516</v>
      </c>
    </row>
    <row r="3" spans="1:21" ht="15.75" customHeight="1">
      <c r="A3" s="4" t="s">
        <v>15</v>
      </c>
      <c r="B3" s="44">
        <f ca="1">COUNTIF(INDIRECT(B$1&amp;"!E2:E1000"),$A3)</f>
        <v>0</v>
      </c>
      <c r="C3" s="44">
        <f ca="1">COUNTIF(INDIRECT(C$1&amp;"!E2:E1000"),$A3)</f>
        <v>0</v>
      </c>
      <c r="D3" s="44">
        <f ca="1">COUNTIF(INDIRECT(D$1&amp;"!E2:E1000"),$A3)</f>
        <v>0</v>
      </c>
      <c r="E3" s="44">
        <f ca="1">COUNTIF(INDIRECT(E$1&amp;"!E2:E1000"),$A3)</f>
        <v>0</v>
      </c>
      <c r="F3" s="44">
        <f ca="1">COUNTIF(INDIRECT(F$1&amp;"!E2:E1000"),$A3)</f>
        <v>0</v>
      </c>
      <c r="G3" s="44">
        <f ca="1">COUNTIF(INDIRECT(G$1&amp;"!E2:E1000"),$A3)</f>
        <v>0</v>
      </c>
      <c r="H3" s="44">
        <f ca="1">COUNTIF(INDIRECT(H$1&amp;"!E2:E1000"),$A3)</f>
        <v>0</v>
      </c>
      <c r="I3" s="44">
        <f ca="1">COUNTIF(INDIRECT(I$1&amp;"!E2:E1000"),$A3)</f>
        <v>0</v>
      </c>
      <c r="J3" s="44">
        <f ca="1">COUNTIF(INDIRECT(J$1&amp;"!E2:E1000"),$A3)</f>
        <v>0</v>
      </c>
      <c r="K3" s="44">
        <f ca="1">COUNTIF(INDIRECT(K$1&amp;"!E2:E1000"),$A3)</f>
        <v>6</v>
      </c>
      <c r="L3" s="44">
        <f ca="1">COUNTIF(INDIRECT(L$1&amp;"!E2:E1000"),$A3)</f>
        <v>0</v>
      </c>
      <c r="M3" s="44">
        <f ca="1">COUNTIF(INDIRECT(M$1&amp;"!E2:E1000"),$A3)</f>
        <v>0</v>
      </c>
      <c r="N3" s="45">
        <f ca="1">SUM(B3:M3)</f>
        <v>6</v>
      </c>
    </row>
    <row r="4" spans="1:21" ht="15.75" customHeight="1">
      <c r="A4" s="5" t="s">
        <v>16</v>
      </c>
      <c r="B4" s="46">
        <f ca="1">COUNTIF(INDIRECT(B$1&amp;"!E2:E1000"),$A4)</f>
        <v>0</v>
      </c>
      <c r="C4" s="46">
        <f ca="1">COUNTIF(INDIRECT(C$1&amp;"!E2:E1000"),$A4)</f>
        <v>0</v>
      </c>
      <c r="D4" s="46">
        <f ca="1">COUNTIF(INDIRECT(D$1&amp;"!E2:E1000"),$A4)</f>
        <v>0</v>
      </c>
      <c r="E4" s="46">
        <f ca="1">COUNTIF(INDIRECT(E$1&amp;"!E2:E1000"),$A4)</f>
        <v>0</v>
      </c>
      <c r="F4" s="46">
        <f ca="1">COUNTIF(INDIRECT(F$1&amp;"!E2:E1000"),$A4)</f>
        <v>0</v>
      </c>
      <c r="G4" s="46">
        <f ca="1">COUNTIF(INDIRECT(G$1&amp;"!E2:E1000"),$A4)</f>
        <v>1</v>
      </c>
      <c r="H4" s="46">
        <f ca="1">COUNTIF(INDIRECT(H$1&amp;"!E2:E1000"),$A4)</f>
        <v>1</v>
      </c>
      <c r="I4" s="46">
        <f ca="1">COUNTIF(INDIRECT(I$1&amp;"!E2:E1000"),$A4)</f>
        <v>0</v>
      </c>
      <c r="J4" s="46">
        <f ca="1">COUNTIF(INDIRECT(J$1&amp;"!E2:E1000"),$A4)</f>
        <v>3</v>
      </c>
      <c r="K4" s="46">
        <f ca="1">COUNTIF(INDIRECT(K$1&amp;"!E2:E1000"),$A4)</f>
        <v>0</v>
      </c>
      <c r="L4" s="46">
        <f ca="1">COUNTIF(INDIRECT(L$1&amp;"!E2:E1000"),$A4)</f>
        <v>0</v>
      </c>
      <c r="M4" s="46">
        <f ca="1">COUNTIF(INDIRECT(M$1&amp;"!E2:E1000"),$A4)</f>
        <v>0</v>
      </c>
      <c r="N4" s="47">
        <f ca="1">SUM(B4:M4)</f>
        <v>5</v>
      </c>
    </row>
    <row r="5" spans="1:21" ht="15.75" customHeight="1">
      <c r="A5" s="6" t="s">
        <v>17</v>
      </c>
      <c r="B5" s="48">
        <f ca="1">COUNTIF(INDIRECT(B$1&amp;"!E2:E1000"),$A5)</f>
        <v>0</v>
      </c>
      <c r="C5" s="48">
        <f ca="1">COUNTIF(INDIRECT(C$1&amp;"!E2:E1000"),$A5)</f>
        <v>0</v>
      </c>
      <c r="D5" s="48">
        <f ca="1">COUNTIF(INDIRECT(D$1&amp;"!E2:E1000"),$A5)</f>
        <v>0</v>
      </c>
      <c r="E5" s="48">
        <f ca="1">COUNTIF(INDIRECT(E$1&amp;"!E2:E1000"),$A5)</f>
        <v>0</v>
      </c>
      <c r="F5" s="48">
        <f ca="1">COUNTIF(INDIRECT(F$1&amp;"!E2:E1000"),$A5)</f>
        <v>0</v>
      </c>
      <c r="G5" s="48">
        <f ca="1">COUNTIF(INDIRECT(G$1&amp;"!E2:E1000"),$A5)</f>
        <v>0</v>
      </c>
      <c r="H5" s="48">
        <f ca="1">COUNTIF(INDIRECT(H$1&amp;"!E2:E1000"),$A5)</f>
        <v>0</v>
      </c>
      <c r="I5" s="48">
        <f ca="1">COUNTIF(INDIRECT(I$1&amp;"!E2:E1000"),$A5)</f>
        <v>0</v>
      </c>
      <c r="J5" s="48">
        <f ca="1">COUNTIF(INDIRECT(J$1&amp;"!E2:E1000"),$A5)</f>
        <v>0</v>
      </c>
      <c r="K5" s="48">
        <f ca="1">COUNTIF(INDIRECT(K$1&amp;"!E2:E1000"),$A5)</f>
        <v>0</v>
      </c>
      <c r="L5" s="48">
        <f ca="1">COUNTIF(INDIRECT(L$1&amp;"!E2:E1000"),$A5)</f>
        <v>0</v>
      </c>
      <c r="M5" s="48">
        <f ca="1">COUNTIF(INDIRECT(M$1&amp;"!E2:E1000"),$A5)</f>
        <v>0</v>
      </c>
      <c r="N5" s="49">
        <f ca="1">SUM(B5:M5)</f>
        <v>0</v>
      </c>
    </row>
    <row r="6" spans="1:21" ht="15.75" customHeight="1">
      <c r="A6" s="7" t="s">
        <v>18</v>
      </c>
      <c r="B6" s="50">
        <f ca="1">COUNTIF(INDIRECT(B$1&amp;"!E2:E1000"),$A6)</f>
        <v>4</v>
      </c>
      <c r="C6" s="50">
        <f ca="1">COUNTIF(INDIRECT(C$1&amp;"!E2:E1000"),$A6)</f>
        <v>3</v>
      </c>
      <c r="D6" s="50">
        <f ca="1">COUNTIF(INDIRECT(D$1&amp;"!E2:E1000"),$A6)</f>
        <v>3</v>
      </c>
      <c r="E6" s="50">
        <f ca="1">COUNTIF(INDIRECT(E$1&amp;"!E2:E1000"),$A6)</f>
        <v>3</v>
      </c>
      <c r="F6" s="50">
        <f ca="1">COUNTIF(INDIRECT(F$1&amp;"!E2:E1000"),$A6)</f>
        <v>3</v>
      </c>
      <c r="G6" s="50">
        <f ca="1">COUNTIF(INDIRECT(G$1&amp;"!E2:E1000"),$A6)</f>
        <v>3</v>
      </c>
      <c r="H6" s="50">
        <f ca="1">COUNTIF(INDIRECT(H$1&amp;"!E2:E1000"),$A6)</f>
        <v>3</v>
      </c>
      <c r="I6" s="50">
        <f ca="1">COUNTIF(INDIRECT(I$1&amp;"!E2:E1000"),$A6)</f>
        <v>3</v>
      </c>
      <c r="J6" s="50">
        <f ca="1">COUNTIF(INDIRECT(J$1&amp;"!E2:E1000"),$A6)</f>
        <v>3</v>
      </c>
      <c r="K6" s="50">
        <f ca="1">COUNTIF(INDIRECT(K$1&amp;"!E2:E1000"),$A6)</f>
        <v>3</v>
      </c>
      <c r="L6" s="50">
        <f ca="1">COUNTIF(INDIRECT(L$1&amp;"!E2:E1000"),$A6)</f>
        <v>1</v>
      </c>
      <c r="M6" s="50">
        <f ca="1">COUNTIF(INDIRECT(M$1&amp;"!E2:E1000"),$A6)</f>
        <v>1</v>
      </c>
      <c r="N6" s="51">
        <f ca="1">SUM(B6:M6)</f>
        <v>33</v>
      </c>
    </row>
    <row r="7" spans="1:21" ht="15.75" customHeight="1">
      <c r="A7" s="8" t="s">
        <v>19</v>
      </c>
      <c r="B7" s="52">
        <f ca="1">COUNTIF(INDIRECT(B$1&amp;"!E2:E1000"),$A7)</f>
        <v>1</v>
      </c>
      <c r="C7" s="52">
        <f ca="1">COUNTIF(INDIRECT(C$1&amp;"!E2:E1000"),$A7)</f>
        <v>1</v>
      </c>
      <c r="D7" s="52">
        <f ca="1">COUNTIF(INDIRECT(D$1&amp;"!E2:E1000"),$A7)</f>
        <v>1</v>
      </c>
      <c r="E7" s="52">
        <f ca="1">COUNTIF(INDIRECT(E$1&amp;"!E2:E1000"),$A7)</f>
        <v>2</v>
      </c>
      <c r="F7" s="52">
        <f ca="1">COUNTIF(INDIRECT(F$1&amp;"!E2:E1000"),$A7)</f>
        <v>2</v>
      </c>
      <c r="G7" s="52">
        <f ca="1">COUNTIF(INDIRECT(G$1&amp;"!E2:E1000"),$A7)</f>
        <v>1</v>
      </c>
      <c r="H7" s="52">
        <f ca="1">COUNTIF(INDIRECT(H$1&amp;"!E2:E1000"),$A7)</f>
        <v>1</v>
      </c>
      <c r="I7" s="52">
        <f ca="1">COUNTIF(INDIRECT(I$1&amp;"!E2:E1000"),$A7)</f>
        <v>1</v>
      </c>
      <c r="J7" s="52">
        <f ca="1">COUNTIF(INDIRECT(J$1&amp;"!E2:E1000"),$A7)</f>
        <v>1</v>
      </c>
      <c r="K7" s="52">
        <f ca="1">COUNTIF(INDIRECT(K$1&amp;"!E2:E1000"),$A7)</f>
        <v>1</v>
      </c>
      <c r="L7" s="52">
        <f ca="1">COUNTIF(INDIRECT(L$1&amp;"!E2:E1000"),$A7)</f>
        <v>1</v>
      </c>
      <c r="M7" s="52">
        <f ca="1">COUNTIF(INDIRECT(M$1&amp;"!E2:E1000"),$A7)</f>
        <v>1</v>
      </c>
      <c r="N7" s="53">
        <f ca="1">SUM(B7:M7)</f>
        <v>14</v>
      </c>
    </row>
    <row r="8" spans="1:21" ht="15.75" customHeight="1">
      <c r="A8" s="9" t="s">
        <v>13</v>
      </c>
      <c r="B8" s="54">
        <f ca="1">SUM(B2:B7)</f>
        <v>57</v>
      </c>
      <c r="C8" s="54">
        <f ca="1">SUM(C2:C7)</f>
        <v>57</v>
      </c>
      <c r="D8" s="54">
        <f ca="1">SUM(D2:D7)</f>
        <v>57</v>
      </c>
      <c r="E8" s="54">
        <f ca="1">SUM(E2:E7)</f>
        <v>57</v>
      </c>
      <c r="F8" s="54">
        <f ca="1">SUM(F2:F7)</f>
        <v>57</v>
      </c>
      <c r="G8" s="54">
        <f ca="1">SUM(G2:G7)</f>
        <v>57</v>
      </c>
      <c r="H8" s="54">
        <f ca="1">SUM(H2:H7)</f>
        <v>57</v>
      </c>
      <c r="I8" s="54">
        <f ca="1">SUM(I2:I7)</f>
        <v>57</v>
      </c>
      <c r="J8" s="54">
        <f ca="1">SUM(J2:J7)</f>
        <v>57</v>
      </c>
      <c r="K8" s="54">
        <f ca="1">SUM(K2:K7)</f>
        <v>57</v>
      </c>
      <c r="L8" s="54">
        <f ca="1">SUM(L2:L7)</f>
        <v>2</v>
      </c>
      <c r="M8" s="54">
        <f ca="1">SUM(M2:M7)</f>
        <v>2</v>
      </c>
      <c r="N8" s="54">
        <f ca="1">SUM(B8:M8)</f>
        <v>574</v>
      </c>
    </row>
    <row r="10" spans="1:21">
      <c r="A10" s="10"/>
      <c r="B10" s="10"/>
      <c r="C10" s="10"/>
      <c r="D10" s="10"/>
      <c r="E10" s="10"/>
      <c r="F10" s="10"/>
      <c r="G10" s="10"/>
      <c r="H10" s="10"/>
      <c r="I10" s="10"/>
      <c r="J10" s="10"/>
      <c r="K10" s="10"/>
      <c r="L10" s="10"/>
      <c r="M10" s="10"/>
      <c r="N10" s="10"/>
      <c r="O10" s="10"/>
      <c r="P10" s="10"/>
      <c r="Q10" s="10"/>
      <c r="R10" s="10"/>
      <c r="S10" s="10"/>
      <c r="T10" s="10"/>
      <c r="U10" s="10"/>
    </row>
    <row r="11" spans="1:21" ht="23.25" customHeight="1">
      <c r="A11" s="114" t="s">
        <v>20</v>
      </c>
      <c r="B11" s="128"/>
      <c r="C11" s="118" t="s">
        <v>21</v>
      </c>
      <c r="D11" s="129"/>
      <c r="E11" s="129"/>
      <c r="F11" s="129"/>
      <c r="G11" s="129"/>
      <c r="H11" s="129"/>
      <c r="I11" s="130"/>
      <c r="J11" s="10"/>
      <c r="K11" s="118" t="s">
        <v>22</v>
      </c>
      <c r="L11" s="129"/>
      <c r="M11" s="129"/>
      <c r="N11" s="129"/>
      <c r="O11" s="129"/>
      <c r="P11" s="130"/>
      <c r="Q11" s="11"/>
      <c r="R11" s="116" t="s">
        <v>23</v>
      </c>
      <c r="S11" s="129"/>
      <c r="T11" s="130"/>
      <c r="U11" s="10"/>
    </row>
    <row r="12" spans="1:21" ht="15.75" customHeight="1">
      <c r="A12" s="123" t="s">
        <v>10</v>
      </c>
      <c r="B12" s="128"/>
      <c r="C12" s="109" t="s">
        <v>24</v>
      </c>
      <c r="D12" s="129"/>
      <c r="E12" s="129"/>
      <c r="F12" s="129"/>
      <c r="G12" s="129"/>
      <c r="H12" s="129"/>
      <c r="I12" s="130"/>
      <c r="J12" s="10"/>
      <c r="K12" s="109" t="s">
        <v>24</v>
      </c>
      <c r="L12" s="129"/>
      <c r="M12" s="129"/>
      <c r="N12" s="129"/>
      <c r="O12" s="129"/>
      <c r="P12" s="130"/>
      <c r="Q12" s="11"/>
      <c r="R12" s="119" t="s">
        <v>25</v>
      </c>
      <c r="S12" s="130"/>
      <c r="T12" s="56" t="s">
        <v>26</v>
      </c>
      <c r="U12" s="10"/>
    </row>
    <row r="13" spans="1:21" ht="15.75" customHeight="1">
      <c r="A13" s="131"/>
      <c r="B13" s="132"/>
      <c r="C13" s="55" t="s">
        <v>25</v>
      </c>
      <c r="D13" s="55" t="s">
        <v>27</v>
      </c>
      <c r="E13" s="55" t="s">
        <v>28</v>
      </c>
      <c r="F13" s="55" t="s">
        <v>29</v>
      </c>
      <c r="G13" s="55" t="s">
        <v>30</v>
      </c>
      <c r="H13" s="55" t="s">
        <v>31</v>
      </c>
      <c r="I13" s="55" t="s">
        <v>32</v>
      </c>
      <c r="J13" s="10"/>
      <c r="K13" s="55" t="s">
        <v>27</v>
      </c>
      <c r="L13" s="55" t="s">
        <v>28</v>
      </c>
      <c r="M13" s="55" t="s">
        <v>29</v>
      </c>
      <c r="N13" s="55" t="s">
        <v>30</v>
      </c>
      <c r="O13" s="55" t="s">
        <v>31</v>
      </c>
      <c r="P13" s="55" t="s">
        <v>32</v>
      </c>
      <c r="Q13" s="11"/>
      <c r="R13" s="117" t="str">
        <f>_xlfn.CONCAT("Envios - Mês de Referência - ", A12)</f>
        <v>Envios - Mês de Referência - 10.25</v>
      </c>
      <c r="S13" s="129"/>
      <c r="T13" s="130"/>
      <c r="U13" s="10"/>
    </row>
    <row r="14" spans="1:21" ht="15" customHeight="1">
      <c r="A14" s="131"/>
      <c r="B14" s="132"/>
      <c r="C14" s="57" t="s">
        <v>33</v>
      </c>
      <c r="D14" s="58">
        <f t="array" aca="1" ref="D14" ca="1">IFERROR(ROWS(_xlfn._xlws.FILTER(INDIRECT($A$12&amp;"!A2:E100"),(INDIRECT($A$12&amp;"!A2:A100")=$C14)*(INDIRECT($A$12&amp;"!E2:E100")="Enviado"))), 0)</f>
        <v>6</v>
      </c>
      <c r="E14" s="44">
        <f t="array" aca="1" ref="E14" ca="1">IFERROR(ROWS(_xlfn._xlws.FILTER(INDIRECT($A$12&amp;"!A2:E100"),(INDIRECT($A$12&amp;"!A2:A100")=$C14)*(INDIRECT($A$12&amp;"!E2:E100")="Atrasado"))), 0)</f>
        <v>1</v>
      </c>
      <c r="F14" s="46">
        <f t="array" aca="1" ref="F14" ca="1">IFERROR(ROWS(_xlfn._xlws.FILTER(INDIRECT($A$12&amp;"!A2:E100"),(INDIRECT($A$12&amp;"!A2:A100")=$C14)*(INDIRECT($A$12&amp;"!E2:E100")="Atrasado &gt;= 2"))), 0)</f>
        <v>0</v>
      </c>
      <c r="G14" s="48">
        <f t="array" aca="1" ref="G14" ca="1">IFERROR(ROWS(_xlfn._xlws.FILTER(INDIRECT($A$12&amp;"!A2:E100"),(INDIRECT($A$12&amp;"!A2:A100")=$C14)*(INDIRECT($A$12&amp;"!E2:E100")="Duplicado"))), 0)</f>
        <v>0</v>
      </c>
      <c r="H14" s="50">
        <f t="array" aca="1" ref="H14" ca="1">IFERROR(ROWS(_xlfn._xlws.FILTER(INDIRECT($A$12&amp;"!A2:E100"),(INDIRECT($A$12&amp;"!A2:A100")=$C14)*(INDIRECT($A$12&amp;"!E2:E100")="Outras Ocorrências"))), 0)</f>
        <v>1</v>
      </c>
      <c r="I14" s="52">
        <f t="array" aca="1" ref="I14" ca="1">IFERROR(ROWS(_xlfn._xlws.FILTER(INDIRECT($A$12&amp;"!A2:E100"),(INDIRECT($A$12&amp;"!A2:A100")=$C14)*(INDIRECT($A$12&amp;"!E2:E100")="UVR Sem Técnico"))), 0)</f>
        <v>0</v>
      </c>
      <c r="J14" s="10"/>
      <c r="K14" s="58">
        <f ca="1">COUNTIF(INDIRECT("Monitoramento!$D$2:$P$9"), "Enviado")</f>
        <v>79</v>
      </c>
      <c r="L14" s="44">
        <f ca="1">COUNTIF(INDIRECT("Monitoramento!$D$2:$P$9"), "Atrasado")</f>
        <v>1</v>
      </c>
      <c r="M14" s="46">
        <f ca="1">COUNTIF(INDIRECT("Monitoramento!$D$2:$P$9"), "Atrasado &gt;= 2")</f>
        <v>0</v>
      </c>
      <c r="N14" s="48">
        <f ca="1">COUNTIF(INDIRECT("Monitoramento!$D$2:$P$9"), "Duplicado")</f>
        <v>0</v>
      </c>
      <c r="O14" s="50">
        <f ca="1">COUNTIF(INDIRECT("Monitoramento!$D$2:$P$9"), "Outras Ocorrências")</f>
        <v>0</v>
      </c>
      <c r="P14" s="52">
        <f ca="1">COUNTIF(INDIRECT("Monitoramento!$D$2:$P$9"), "UVR Sem Técnico")</f>
        <v>0</v>
      </c>
      <c r="Q14" s="11"/>
      <c r="R14" s="12" t="s">
        <v>34</v>
      </c>
      <c r="S14" s="13">
        <f ca="1">VLOOKUP($T$12,$C$14:$I$18,2, FALSE)</f>
        <v>6</v>
      </c>
      <c r="T14" s="14">
        <f ca="1">S14/SUM($S$14:$S$19)</f>
        <v>0.75</v>
      </c>
      <c r="U14" s="10"/>
    </row>
    <row r="15" spans="1:21" ht="15" customHeight="1">
      <c r="A15" s="131"/>
      <c r="B15" s="132"/>
      <c r="C15" s="59" t="s">
        <v>35</v>
      </c>
      <c r="D15" s="58">
        <f t="array" aca="1" ref="D15" ca="1">IFERROR(ROWS(_xlfn._xlws.FILTER(INDIRECT($A$12&amp;"!A2:E100"),(INDIRECT($A$12&amp;"!A2:A100")=$C15)*(INDIRECT($A$12&amp;"!E2:E100")="Enviado"))), 0)</f>
        <v>11</v>
      </c>
      <c r="E15" s="44">
        <f t="array" aca="1" ref="E15" ca="1">IFERROR(ROWS(_xlfn._xlws.FILTER(INDIRECT($A$12&amp;"!A2:E100"),(INDIRECT($A$12&amp;"!A2:A100")=$C15)*(INDIRECT($A$12&amp;"!E2:E100")="Atrasado"))), 0)</f>
        <v>1</v>
      </c>
      <c r="F15" s="46">
        <f t="array" aca="1" ref="F15" ca="1">IFERROR(ROWS(_xlfn._xlws.FILTER(INDIRECT($A$12&amp;"!A2:E100"),(INDIRECT($A$12&amp;"!A2:A100")=$C15)*(INDIRECT($A$12&amp;"!E2:E100")="Atrasado &gt;= 2"))), 0)</f>
        <v>0</v>
      </c>
      <c r="G15" s="48">
        <f t="array" aca="1" ref="G15" ca="1">IFERROR(ROWS(_xlfn._xlws.FILTER(INDIRECT($A$12&amp;"!A2:E100"),(INDIRECT($A$12&amp;"!A2:A100")=$C15)*(INDIRECT($A$12&amp;"!E2:E100")="Duplicado"))), 0)</f>
        <v>0</v>
      </c>
      <c r="H15" s="50">
        <f t="array" aca="1" ref="H15" ca="1">IFERROR(ROWS(_xlfn._xlws.FILTER(INDIRECT($A$12&amp;"!A2:E100"),(INDIRECT($A$12&amp;"!A2:A100")=$C15)*(INDIRECT($A$12&amp;"!E2:E100")="Outras Ocorrências"))), 0)</f>
        <v>1</v>
      </c>
      <c r="I15" s="52">
        <f t="array" aca="1" ref="I15" ca="1">IFERROR(ROWS(_xlfn._xlws.FILTER(INDIRECT($A$12&amp;"!A2:E100"),(INDIRECT($A$12&amp;"!A2:A100")=$C15)*(INDIRECT($A$12&amp;"!E2:E100")="UVR Sem Técnico"))), 0)</f>
        <v>0</v>
      </c>
      <c r="J15" s="10"/>
      <c r="K15" s="58">
        <f ca="1">COUNTIF(INDIRECT("Monitoramento!$D$12:$P$24"), "Enviado")</f>
        <v>110</v>
      </c>
      <c r="L15" s="44">
        <f ca="1">COUNTIF(INDIRECT("Monitoramento!$D$12:$P$24"), "Atrasado")</f>
        <v>0</v>
      </c>
      <c r="M15" s="46">
        <f ca="1">COUNTIF(INDIRECT("Monitoramento!$D$12:$P$24"), "Atrasado &gt;= 2")</f>
        <v>0</v>
      </c>
      <c r="N15" s="48">
        <f ca="1">COUNTIF(INDIRECT("Monitoramento!$D$12:$P$24"), "Duplicado")</f>
        <v>0</v>
      </c>
      <c r="O15" s="50">
        <f ca="1">COUNTIF(INDIRECT("Monitoramento!$D$12:$P$24"), "Outras Ocorrências")</f>
        <v>0</v>
      </c>
      <c r="P15" s="52">
        <f ca="1">COUNTIF(INDIRECT("Monitoramento!$D$12:$P$24"), "UVR Sem Técnico")</f>
        <v>0</v>
      </c>
      <c r="Q15" s="11"/>
      <c r="R15" s="60" t="s">
        <v>36</v>
      </c>
      <c r="S15" s="44">
        <f ca="1">VLOOKUP($T$12,$C$14:$I$18,3,FALSE)</f>
        <v>2</v>
      </c>
      <c r="T15" s="61">
        <f ca="1">S15/SUM($S$14:$S$19)</f>
        <v>0.25</v>
      </c>
      <c r="U15" s="10"/>
    </row>
    <row r="16" spans="1:21" ht="15" customHeight="1">
      <c r="A16" s="131"/>
      <c r="B16" s="132"/>
      <c r="C16" s="58" t="s">
        <v>37</v>
      </c>
      <c r="D16" s="58">
        <f t="array" aca="1" ref="D16" ca="1">IFERROR(ROWS(_xlfn._xlws.FILTER(INDIRECT($A$12&amp;"!A2:E100"),(INDIRECT($A$12&amp;"!A2:A100")=$C16)*(INDIRECT($A$12&amp;"!E2:E100")="Enviado"))), 0)</f>
        <v>9</v>
      </c>
      <c r="E16" s="44">
        <f t="array" aca="1" ref="E16" ca="1">IFERROR(ROWS(_xlfn._xlws.FILTER(INDIRECT($A$12&amp;"!A2:E100"),(INDIRECT($A$12&amp;"!A2:A100")=$C16)*(INDIRECT($A$12&amp;"!E2:E100")="Atrasado"))), 0)</f>
        <v>0</v>
      </c>
      <c r="F16" s="46">
        <f t="array" aca="1" ref="F16" ca="1">IFERROR(ROWS(_xlfn._xlws.FILTER(INDIRECT($A$12&amp;"!A2:E100"),(INDIRECT($A$12&amp;"!A2:A100")=$C16)*(INDIRECT($A$12&amp;"!E2:E100")="Atrasado &gt;= 2"))), 0)</f>
        <v>0</v>
      </c>
      <c r="G16" s="48">
        <f t="array" aca="1" ref="G16" ca="1">IFERROR(ROWS(_xlfn._xlws.FILTER(INDIRECT($A$12&amp;"!A2:E100"),(INDIRECT($A$12&amp;"!A2:A100")=$C16)*(INDIRECT($A$12&amp;"!E2:E100")="Duplicado"))), 0)</f>
        <v>0</v>
      </c>
      <c r="H16" s="50">
        <f t="array" aca="1" ref="H16" ca="1">IFERROR(ROWS(_xlfn._xlws.FILTER(INDIRECT($A$12&amp;"!A2:E100"),(INDIRECT($A$12&amp;"!A2:A100")=$C16)*(INDIRECT($A$12&amp;"!E2:E100")="Outras Ocorrências"))), 0)</f>
        <v>0</v>
      </c>
      <c r="I16" s="52">
        <f t="array" aca="1" ref="I16" ca="1">IFERROR(ROWS(_xlfn._xlws.FILTER(INDIRECT($A$12&amp;"!A2:E100"),(INDIRECT($A$12&amp;"!A2:A100")=$C16)*(INDIRECT($A$12&amp;"!E2:E100")="UVR Sem Técnico"))), 0)</f>
        <v>0</v>
      </c>
      <c r="J16" s="10"/>
      <c r="K16" s="58">
        <f ca="1">COUNTIF(INDIRECT("Monitoramento!$D$27:$P$35"), "Enviado")</f>
        <v>48</v>
      </c>
      <c r="L16" s="44">
        <f ca="1">COUNTIF(INDIRECT("Monitoramento!$D$27:$P$35"), "Atrasado")</f>
        <v>1</v>
      </c>
      <c r="M16" s="46">
        <f ca="1">COUNTIF(INDIRECT("Monitoramento!$D$27:$P$35"), "Atrasado &gt;= 2")</f>
        <v>1</v>
      </c>
      <c r="N16" s="48">
        <f ca="1">COUNTIF(INDIRECT("Monitoramento!$D$27:$P$35"), "Duplicado")</f>
        <v>0</v>
      </c>
      <c r="O16" s="50">
        <f ca="1">COUNTIF(INDIRECT("Monitoramento!$D$27:$P$35"), "Outras Ocorrências")</f>
        <v>10</v>
      </c>
      <c r="P16" s="52">
        <f ca="1">COUNTIF(INDIRECT("Monitoramento!$D$27:$P$35"), "UVR Sem Técnico")</f>
        <v>0</v>
      </c>
      <c r="Q16" s="11"/>
      <c r="R16" s="60" t="s">
        <v>38</v>
      </c>
      <c r="S16" s="46">
        <f ca="1">VLOOKUP($T$12,$C$14:$I$18,4,FALSE)</f>
        <v>0</v>
      </c>
      <c r="T16" s="62">
        <f ca="1">S16/SUM($S$14:$S$19)</f>
        <v>0</v>
      </c>
      <c r="U16" s="10"/>
    </row>
    <row r="17" spans="1:21" ht="15" customHeight="1">
      <c r="A17" s="131"/>
      <c r="B17" s="132"/>
      <c r="C17" s="63" t="s">
        <v>39</v>
      </c>
      <c r="D17" s="58">
        <f t="array" aca="1" ref="D17" ca="1">IFERROR(ROWS(_xlfn._xlws.FILTER(INDIRECT($A$12&amp;"!A2:E100"),(INDIRECT($A$12&amp;"!A2:A100")=$C17)*(INDIRECT($A$12&amp;"!E2:E100")="Enviado"))), 0)</f>
        <v>3</v>
      </c>
      <c r="E17" s="44">
        <f t="array" aca="1" ref="E17" ca="1">IFERROR(ROWS(_xlfn._xlws.FILTER(INDIRECT($A$12&amp;"!A2:E100"),(INDIRECT($A$12&amp;"!A2:A100")=$C17)*(INDIRECT($A$12&amp;"!E2:E100")="Atrasado"))), 0)</f>
        <v>0</v>
      </c>
      <c r="F17" s="46">
        <f t="array" aca="1" ref="F17" ca="1">IFERROR(ROWS(_xlfn._xlws.FILTER(INDIRECT($A$12&amp;"!A2:E100"),(INDIRECT($A$12&amp;"!A2:A100")=$C17)*(INDIRECT($A$12&amp;"!E2:E100")="Atrasado &gt;= 2"))), 0)</f>
        <v>0</v>
      </c>
      <c r="G17" s="48">
        <f t="array" aca="1" ref="G17" ca="1">IFERROR(ROWS(_xlfn._xlws.FILTER(INDIRECT($A$12&amp;"!A2:E100"),(INDIRECT($A$12&amp;"!A2:A100")=$C17)*(INDIRECT($A$12&amp;"!E2:E100")="Duplicado"))), 0)</f>
        <v>0</v>
      </c>
      <c r="H17" s="50">
        <f t="array" aca="1" ref="H17" ca="1">IFERROR(ROWS(_xlfn._xlws.FILTER(INDIRECT($A$12&amp;"!A2:E100"),(INDIRECT($A$12&amp;"!A2:A100")=$C17)*(INDIRECT($A$12&amp;"!E2:E100")="Outras Ocorrências"))), 0)</f>
        <v>0</v>
      </c>
      <c r="I17" s="52">
        <f t="array" aca="1" ref="I17" ca="1">IFERROR(ROWS(_xlfn._xlws.FILTER(INDIRECT($A$12&amp;"!A2:E100"),(INDIRECT($A$12&amp;"!A2:A100")=$C17)*(INDIRECT($A$12&amp;"!E2:E100")="UVR Sem Técnico"))), 0)</f>
        <v>0</v>
      </c>
      <c r="J17" s="10"/>
      <c r="K17" s="58">
        <f ca="1">COUNTIF(INDIRECT("Monitoramento!$D$38:$P$40"), "Enviado")</f>
        <v>20</v>
      </c>
      <c r="L17" s="44">
        <f ca="1">COUNTIF(INDIRECT("Monitoramento!$D$38:$P$40"), "Atrasado")</f>
        <v>0</v>
      </c>
      <c r="M17" s="46">
        <f ca="1">COUNTIF(INDIRECT("Monitoramento!$D$38:$P$40"), "Atrasado &gt;= 2")</f>
        <v>0</v>
      </c>
      <c r="N17" s="48">
        <f ca="1">COUNTIF(INDIRECT("Monitoramento!$D$38:$P$40"), "Duplicado")</f>
        <v>0</v>
      </c>
      <c r="O17" s="50">
        <f ca="1">COUNTIF(INDIRECT("Monitoramento!$D$38:$P$40"), "Outras Ocorrências")</f>
        <v>0</v>
      </c>
      <c r="P17" s="52">
        <f ca="1">COUNTIF(INDIRECT("Monitoramento!$D$38:$P$40"), "UVR Sem Técnico")</f>
        <v>0</v>
      </c>
      <c r="Q17" s="11"/>
      <c r="R17" s="60" t="s">
        <v>40</v>
      </c>
      <c r="S17" s="48">
        <f ca="1">VLOOKUP($T$12,$C$14:$I$18,5,FALSE)</f>
        <v>0</v>
      </c>
      <c r="T17" s="64">
        <f ca="1">S17/SUM($S$14:$S$19)</f>
        <v>0</v>
      </c>
      <c r="U17" s="10"/>
    </row>
    <row r="18" spans="1:21" ht="15" customHeight="1">
      <c r="A18" s="131"/>
      <c r="B18" s="132"/>
      <c r="C18" s="56" t="s">
        <v>26</v>
      </c>
      <c r="D18" s="58">
        <f t="array" aca="1" ref="D18" ca="1">IFERROR(ROWS(_xlfn._xlws.FILTER(INDIRECT($A$12&amp;"!A2:E100"),(INDIRECT($A$12&amp;"!A2:A100")=$C18)*(INDIRECT($A$12&amp;"!E2:E100")="Enviado"))), 0)</f>
        <v>6</v>
      </c>
      <c r="E18" s="44">
        <f t="array" aca="1" ref="E18" ca="1">IFERROR(ROWS(_xlfn._xlws.FILTER(INDIRECT($A$12&amp;"!A2:E100"),(INDIRECT($A$12&amp;"!A2:A100")=$C18)*(INDIRECT($A$12&amp;"!E2:E100")="Atrasado"))), 0)</f>
        <v>2</v>
      </c>
      <c r="F18" s="46">
        <f t="array" aca="1" ref="F18" ca="1">IFERROR(ROWS(_xlfn._xlws.FILTER(INDIRECT($A$12&amp;"!A2:E100"),(INDIRECT($A$12&amp;"!A2:A100")=$C18)*(INDIRECT($A$12&amp;"!E2:E100")="Atrasado &gt;= 2"))), 0)</f>
        <v>0</v>
      </c>
      <c r="G18" s="48">
        <f t="array" aca="1" ref="G18" ca="1">IFERROR(ROWS(_xlfn._xlws.FILTER(INDIRECT($A$12&amp;"!A2:E100"),(INDIRECT($A$12&amp;"!A2:A100")=$C18)*(INDIRECT($A$12&amp;"!E2:E100")="Duplicado"))), 0)</f>
        <v>0</v>
      </c>
      <c r="H18" s="50">
        <f t="array" aca="1" ref="H18" ca="1">IFERROR(ROWS(_xlfn._xlws.FILTER(INDIRECT($A$12&amp;"!A2:E100"),(INDIRECT($A$12&amp;"!A2:A100")=$C18)*(INDIRECT($A$12&amp;"!E2:E100")="Outras Ocorrências"))), 0)</f>
        <v>0</v>
      </c>
      <c r="I18" s="52">
        <f t="array" aca="1" ref="I18" ca="1">IFERROR(ROWS(_xlfn._xlws.FILTER(INDIRECT($A$12&amp;"!A2:E100"),(INDIRECT($A$12&amp;"!A2:A100")=$C18)*(INDIRECT($A$12&amp;"!E2:E100")="UVR Sem Técnico"))), 0)</f>
        <v>0</v>
      </c>
      <c r="J18" s="10"/>
      <c r="K18" s="58">
        <f ca="1">COUNTIF(INDIRECT("Monitoramento!$D$43:$P$50"), "Enviado")</f>
        <v>77</v>
      </c>
      <c r="L18" s="44">
        <f ca="1">COUNTIF(INDIRECT("Monitoramento!$D$43:$P$50"), "Atrasado")</f>
        <v>2</v>
      </c>
      <c r="M18" s="46">
        <f ca="1">COUNTIF(INDIRECT("Monitoramento!$D$43:$P$50"), "Atrasado &gt;= 2")</f>
        <v>1</v>
      </c>
      <c r="N18" s="48">
        <f ca="1">COUNTIF(INDIRECT("Monitoramento!$D$43:$P$50"), "Duplicado")</f>
        <v>0</v>
      </c>
      <c r="O18" s="50">
        <f ca="1">COUNTIF(INDIRECT("Monitoramento!$D$43:$P$50"), "Outras Ocorrências")</f>
        <v>0</v>
      </c>
      <c r="P18" s="52">
        <f ca="1">COUNTIF(INDIRECT("Monitoramento!$D$43:$P$50"), "UVR Sem Técnico")</f>
        <v>0</v>
      </c>
      <c r="Q18" s="11"/>
      <c r="R18" s="60" t="s">
        <v>41</v>
      </c>
      <c r="S18" s="50">
        <f ca="1">VLOOKUP($T$12,$C$14:$I$18,6,FALSE)</f>
        <v>0</v>
      </c>
      <c r="T18" s="65">
        <f ca="1">S18/SUM($S$14:$S$19)</f>
        <v>0</v>
      </c>
      <c r="U18" s="10"/>
    </row>
    <row r="19" spans="1:21" ht="15" customHeight="1">
      <c r="A19" s="131"/>
      <c r="B19" s="132"/>
      <c r="C19" s="66" t="s">
        <v>42</v>
      </c>
      <c r="D19" s="58">
        <f t="array" aca="1" ref="D19" ca="1">IFERROR(ROWS(_xlfn._xlws.FILTER(INDIRECT($A$12&amp;"!A2:E100"),(INDIRECT($A$12&amp;"!A2:A100")=$C19)*(INDIRECT($A$12&amp;"!E2:E100")="Enviado"))), 0)</f>
        <v>7</v>
      </c>
      <c r="E19" s="44">
        <f t="array" aca="1" ref="E19" ca="1">IFERROR(ROWS(_xlfn._xlws.FILTER(INDIRECT($A$12&amp;"!A2:E100"),(INDIRECT($A$12&amp;"!A2:A100")=$C19)*(INDIRECT($A$12&amp;"!E2:E100")="Atrasado"))), 0)</f>
        <v>1</v>
      </c>
      <c r="F19" s="46">
        <f t="array" aca="1" ref="F19" ca="1">IFERROR(ROWS(_xlfn._xlws.FILTER(INDIRECT($A$12&amp;"!A2:E100"),(INDIRECT($A$12&amp;"!A2:A100")=$C19)*(INDIRECT($A$12&amp;"!E2:E100")="Atrasado &gt;= 2"))), 0)</f>
        <v>0</v>
      </c>
      <c r="G19" s="48">
        <f t="array" aca="1" ref="G19" ca="1">IFERROR(ROWS(_xlfn._xlws.FILTER(INDIRECT($A$12&amp;"!A2:E100"),(INDIRECT($A$12&amp;"!A2:A100")=$C19)*(INDIRECT($A$12&amp;"!E2:E100")="Duplicado"))), 0)</f>
        <v>0</v>
      </c>
      <c r="H19" s="50">
        <f t="array" aca="1" ref="H19" ca="1">IFERROR(ROWS(_xlfn._xlws.FILTER(INDIRECT($A$12&amp;"!A2:E100"),(INDIRECT($A$12&amp;"!A2:A100")=$C19)*(INDIRECT($A$12&amp;"!E2:E100")="Outras Ocorrências"))), 0)</f>
        <v>0</v>
      </c>
      <c r="I19" s="52">
        <f t="array" aca="1" ref="I19" ca="1">IFERROR(ROWS(_xlfn._xlws.FILTER(INDIRECT($A$12&amp;"!A2:E100"),(INDIRECT($A$12&amp;"!A2:A100")=$C19)*(INDIRECT($A$12&amp;"!E2:E100")="UVR Sem Técnico"))), 0)</f>
        <v>0</v>
      </c>
      <c r="J19" s="10"/>
      <c r="K19" s="58">
        <f ca="1">COUNTIF(INDIRECT("Monitoramento!$D$53:$P$60"), "Enviado")</f>
        <v>73</v>
      </c>
      <c r="L19" s="44">
        <f ca="1">COUNTIF(INDIRECT("Monitoramento!$D$53:$P$60"), "Atrasado")</f>
        <v>1</v>
      </c>
      <c r="M19" s="46">
        <f ca="1">COUNTIF(INDIRECT("Monitoramento!$D$53:$P$60"), "Atrasado &gt;= 2")</f>
        <v>3</v>
      </c>
      <c r="N19" s="48">
        <f ca="1">COUNTIF(INDIRECT("Monitoramento!$D$53:$P$60"), "Duplicado")</f>
        <v>0</v>
      </c>
      <c r="O19" s="50">
        <f ca="1">COUNTIF(INDIRECT("Monitoramento!$D$53:$P$60"), "Outras Ocorrências")</f>
        <v>1</v>
      </c>
      <c r="P19" s="52">
        <f ca="1">COUNTIF(INDIRECT("Monitoramento!$D$53:$P$60"), "UVR Sem Técnico")</f>
        <v>0</v>
      </c>
      <c r="Q19" s="11"/>
      <c r="R19" s="60" t="s">
        <v>19</v>
      </c>
      <c r="S19" s="15">
        <f ca="1">VLOOKUP($T$12,$C$14:$I$18,7,FALSE)</f>
        <v>0</v>
      </c>
      <c r="T19" s="16">
        <f ca="1">S19/SUM($S$14:$S$19)</f>
        <v>0</v>
      </c>
      <c r="U19" s="10"/>
    </row>
    <row r="20" spans="1:21" ht="15.75" customHeight="1">
      <c r="A20" s="131"/>
      <c r="B20" s="132"/>
      <c r="C20" s="67" t="s">
        <v>43</v>
      </c>
      <c r="D20" s="58">
        <f t="array" aca="1" ref="D20" ca="1">IFERROR(ROWS(_xlfn._xlws.FILTER(INDIRECT($A$12&amp;"!A2:E100"),(INDIRECT($A$12&amp;"!A2:A100")=$C20)*(INDIRECT($A$12&amp;"!E2:E100")="Enviado"))), 0)</f>
        <v>5</v>
      </c>
      <c r="E20" s="44">
        <f t="array" aca="1" ref="E20" ca="1">IFERROR(ROWS(_xlfn._xlws.FILTER(INDIRECT($A$12&amp;"!A2:E100"),(INDIRECT($A$12&amp;"!A2:A100")=$C20)*(INDIRECT($A$12&amp;"!E2:E100")="Atrasado"))), 0)</f>
        <v>1</v>
      </c>
      <c r="F20" s="46">
        <f t="array" aca="1" ref="F20" ca="1">IFERROR(ROWS(_xlfn._xlws.FILTER(INDIRECT($A$12&amp;"!A2:E100"),(INDIRECT($A$12&amp;"!A2:A100")=$C20)*(INDIRECT($A$12&amp;"!E2:E100")="Atrasado &gt;= 2"))), 0)</f>
        <v>0</v>
      </c>
      <c r="G20" s="48">
        <f t="array" aca="1" ref="G20" ca="1">IFERROR(ROWS(_xlfn._xlws.FILTER(INDIRECT($A$12&amp;"!A2:E100"),(INDIRECT($A$12&amp;"!A2:A100")=$C20)*(INDIRECT($A$12&amp;"!E2:E100")="Duplicado"))), 0)</f>
        <v>0</v>
      </c>
      <c r="H20" s="50">
        <f t="array" aca="1" ref="H20" ca="1">IFERROR(ROWS(_xlfn._xlws.FILTER(INDIRECT($A$12&amp;"!A2:E100"),(INDIRECT($A$12&amp;"!A2:A100")=$C20)*(INDIRECT($A$12&amp;"!E2:E100")="Outras Ocorrências"))), 0)</f>
        <v>1</v>
      </c>
      <c r="I20" s="52">
        <f t="array" aca="1" ref="I20" ca="1">IFERROR(ROWS(_xlfn._xlws.FILTER(INDIRECT($A$12&amp;"!A2:E100"),(INDIRECT($A$12&amp;"!A2:A100")=$C20)*(INDIRECT($A$12&amp;"!E2:E100")="UVR Sem Técnico"))), 0)</f>
        <v>0</v>
      </c>
      <c r="J20" s="10"/>
      <c r="K20" s="58">
        <f ca="1">COUNTIF(INDIRECT("Monitoramento!$D$63:$Q$70"), "Enviado")</f>
        <v>69</v>
      </c>
      <c r="L20" s="44">
        <f ca="1">COUNTIF(INDIRECT("Monitoramento!$D$63:$Q$70"), "Atrasado")</f>
        <v>1</v>
      </c>
      <c r="M20" s="46">
        <f ca="1">COUNTIF(INDIRECT("Monitoramento!$D$63:$Q$70"), "Atrasado &gt;= 2")</f>
        <v>0</v>
      </c>
      <c r="N20" s="48">
        <f ca="1">COUNTIF(INDIRECT("Monitoramento!$D$63:$Q$70"), "Duplicado")</f>
        <v>0</v>
      </c>
      <c r="O20" s="50">
        <f ca="1">COUNTIF(INDIRECT("Monitoramento!$D$63:$Q$70"), "Outras Ocorrências")</f>
        <v>12</v>
      </c>
      <c r="P20" s="52">
        <f ca="1">COUNTIF(INDIRECT("Monitoramento!$D$63:$Q$70"), "UVR Sem Técnico")</f>
        <v>0</v>
      </c>
      <c r="Q20" s="11"/>
      <c r="R20" s="17" t="s">
        <v>44</v>
      </c>
      <c r="S20" s="120">
        <f ca="1">VLOOKUP($T$12,$C$23:$I$27,7,FALSE)</f>
        <v>1.1666666666666667</v>
      </c>
      <c r="T20" s="128"/>
      <c r="U20" s="10"/>
    </row>
    <row r="21" spans="1:21" ht="15.75" customHeight="1">
      <c r="A21" s="131"/>
      <c r="B21" s="132"/>
      <c r="C21" s="109" t="s">
        <v>45</v>
      </c>
      <c r="D21" s="129"/>
      <c r="E21" s="129"/>
      <c r="F21" s="129"/>
      <c r="G21" s="129"/>
      <c r="H21" s="129"/>
      <c r="I21" s="130"/>
      <c r="J21" s="10"/>
      <c r="K21" s="109" t="s">
        <v>45</v>
      </c>
      <c r="L21" s="129"/>
      <c r="M21" s="129"/>
      <c r="N21" s="129"/>
      <c r="O21" s="129"/>
      <c r="P21" s="130"/>
      <c r="Q21" s="11"/>
      <c r="R21" s="117" t="s">
        <v>46</v>
      </c>
      <c r="S21" s="129"/>
      <c r="T21" s="130"/>
      <c r="U21" s="10"/>
    </row>
    <row r="22" spans="1:21" ht="15" customHeight="1">
      <c r="A22" s="131"/>
      <c r="B22" s="132"/>
      <c r="C22" s="119" t="s">
        <v>25</v>
      </c>
      <c r="D22" s="130"/>
      <c r="E22" s="119" t="s">
        <v>47</v>
      </c>
      <c r="F22" s="130"/>
      <c r="G22" s="119" t="s">
        <v>48</v>
      </c>
      <c r="H22" s="130"/>
      <c r="I22" s="55" t="s">
        <v>49</v>
      </c>
      <c r="J22" s="10"/>
      <c r="K22" s="119" t="s">
        <v>47</v>
      </c>
      <c r="L22" s="130"/>
      <c r="M22" s="119" t="s">
        <v>48</v>
      </c>
      <c r="N22" s="130"/>
      <c r="O22" s="119" t="s">
        <v>50</v>
      </c>
      <c r="P22" s="130"/>
      <c r="Q22" s="11"/>
      <c r="R22" s="12" t="s">
        <v>34</v>
      </c>
      <c r="S22" s="13">
        <f ca="1">VLOOKUP($T$12,$C$13:$P$18,9,FALSE)</f>
        <v>77</v>
      </c>
      <c r="T22" s="14">
        <f ca="1">S22/SUM($S$22:$S$27)</f>
        <v>0.96250000000000002</v>
      </c>
      <c r="U22" s="10"/>
    </row>
    <row r="23" spans="1:21" ht="15" customHeight="1">
      <c r="A23" s="131"/>
      <c r="B23" s="132"/>
      <c r="C23" s="122" t="s">
        <v>33</v>
      </c>
      <c r="D23" s="130"/>
      <c r="E23" s="107">
        <f t="array" aca="1" ref="E23" ca="1">IFERROR(ROWS(_xlfn._xlws.FILTER(INDIRECT($A$12&amp;"!A2:E100"),(INDIRECT($A$12&amp;"!A2:A100")=$C23)*(INDIRECT($A$12&amp;"!G2:G100")="Sim"))), 0)</f>
        <v>4</v>
      </c>
      <c r="F23" s="130"/>
      <c r="G23" s="108">
        <f t="array" aca="1" ref="G23" ca="1">IFERROR(ROWS(_xlfn._xlws.FILTER(INDIRECT($A$12&amp;"!A2:E100"),(INDIRECT($A$12&amp;"!A2:A100")=$C23)*(INDIRECT($A$12&amp;"!G2:G100")="Não")))-E14, 0)</f>
        <v>3</v>
      </c>
      <c r="H23" s="130"/>
      <c r="I23" s="68">
        <f ca="1">IFERROR(E23/SUM(E23:H23),0)</f>
        <v>0.5714285714285714</v>
      </c>
      <c r="J23" s="10"/>
      <c r="K23" s="107">
        <f ca="1">COUNTIF(INDIRECT("Regionais!D2:P9"), "Sim")</f>
        <v>79</v>
      </c>
      <c r="L23" s="130"/>
      <c r="M23" s="108">
        <f ca="1">COUNTIF(INDIRECT("Regionais!D2:P9"), "Não")-SUM(L14:M14)</f>
        <v>8</v>
      </c>
      <c r="N23" s="130"/>
      <c r="O23" s="111">
        <f ca="1">IFERROR(K23/SUM(K23:N23), 0)</f>
        <v>0.90804597701149425</v>
      </c>
      <c r="P23" s="130"/>
      <c r="Q23" s="11"/>
      <c r="R23" s="60" t="s">
        <v>36</v>
      </c>
      <c r="S23" s="44">
        <f ca="1">VLOOKUP($T$12,$C$13:$P$18,10,FALSE)</f>
        <v>2</v>
      </c>
      <c r="T23" s="61">
        <f ca="1">S23/SUM($S$22:$S$27)</f>
        <v>2.5000000000000001E-2</v>
      </c>
      <c r="U23" s="10"/>
    </row>
    <row r="24" spans="1:21" ht="15" customHeight="1">
      <c r="A24" s="131"/>
      <c r="B24" s="132"/>
      <c r="C24" s="124" t="s">
        <v>35</v>
      </c>
      <c r="D24" s="130"/>
      <c r="E24" s="107">
        <f t="array" aca="1" ref="E24" ca="1">IFERROR(ROWS(_xlfn._xlws.FILTER(INDIRECT($A$12&amp;"!A2:E100"),(INDIRECT($A$12&amp;"!A2:A100")=$C24)*(INDIRECT($A$12&amp;"!G2:G100")="Sim"))), 0)</f>
        <v>5</v>
      </c>
      <c r="F24" s="130"/>
      <c r="G24" s="108">
        <f t="array" aca="1" ref="G24" ca="1">IFERROR(ROWS(_xlfn._xlws.FILTER(INDIRECT($A$12&amp;"!A2:E100"),(INDIRECT($A$12&amp;"!A2:A100")=$C24)*(INDIRECT($A$12&amp;"!G2:G100")="Não")))-E15, 0)</f>
        <v>7</v>
      </c>
      <c r="H24" s="130"/>
      <c r="I24" s="68">
        <f ca="1">IFERROR(E24/SUM(E24:H24),0)</f>
        <v>0.41666666666666669</v>
      </c>
      <c r="J24" s="10"/>
      <c r="K24" s="107">
        <f ca="1">COUNTIF(INDIRECT("Regionais!D12:P24"), "Sim")</f>
        <v>109</v>
      </c>
      <c r="L24" s="130"/>
      <c r="M24" s="108">
        <f ca="1">COUNTIF(INDIRECT("Regionais!D12:P24"), "Não")-SUM(L15:M15)</f>
        <v>12</v>
      </c>
      <c r="N24" s="130"/>
      <c r="O24" s="111">
        <f ca="1">IFERROR(K24/SUM(K24:N24), 0)</f>
        <v>0.90082644628099173</v>
      </c>
      <c r="P24" s="130"/>
      <c r="Q24" s="11"/>
      <c r="R24" s="60" t="s">
        <v>38</v>
      </c>
      <c r="S24" s="46">
        <f ca="1">VLOOKUP($T$12,$C$13:$P$18,11,FALSE)</f>
        <v>1</v>
      </c>
      <c r="T24" s="62">
        <f ca="1">S24/SUM($S$22:$S$27)</f>
        <v>1.2500000000000001E-2</v>
      </c>
      <c r="U24" s="10"/>
    </row>
    <row r="25" spans="1:21" ht="15" customHeight="1">
      <c r="A25" s="131"/>
      <c r="B25" s="132"/>
      <c r="C25" s="127" t="s">
        <v>37</v>
      </c>
      <c r="D25" s="130"/>
      <c r="E25" s="107">
        <f t="array" aca="1" ref="E25" ca="1">IFERROR(ROWS(_xlfn._xlws.FILTER(INDIRECT($A$12&amp;"!A2:E100"),(INDIRECT($A$12&amp;"!A2:A100")=$C25)*(INDIRECT($A$12&amp;"!G2:G100")="Sim"))), 0)</f>
        <v>6</v>
      </c>
      <c r="F25" s="130"/>
      <c r="G25" s="108">
        <f t="array" aca="1" ref="G25" ca="1">IFERROR(ROWS(_xlfn._xlws.FILTER(INDIRECT($A$12&amp;"!A2:E100"),(INDIRECT($A$12&amp;"!A2:A100")=$C25)*(INDIRECT($A$12&amp;"!G2:G100")="Não")))-E16, 0)</f>
        <v>3</v>
      </c>
      <c r="H25" s="130"/>
      <c r="I25" s="68">
        <f ca="1">IFERROR(E25/SUM(E25:H25),0)</f>
        <v>0.66666666666666663</v>
      </c>
      <c r="J25" s="10"/>
      <c r="K25" s="107">
        <f ca="1">COUNTIF(INDIRECT("Regionais!D27:P35"), "Sim")</f>
        <v>42</v>
      </c>
      <c r="L25" s="130"/>
      <c r="M25" s="108">
        <f ca="1">COUNTIF(INDIRECT("Regionais!D27:P35"), "Não")-SUM(L16:M16)</f>
        <v>22</v>
      </c>
      <c r="N25" s="130"/>
      <c r="O25" s="111">
        <f ca="1">IFERROR(K25/SUM(K25:N25), 0)</f>
        <v>0.65625</v>
      </c>
      <c r="P25" s="130"/>
      <c r="Q25" s="11"/>
      <c r="R25" s="60" t="s">
        <v>40</v>
      </c>
      <c r="S25" s="48">
        <f ca="1">VLOOKUP($T$12,$C$13:$P$18,12,FALSE)</f>
        <v>0</v>
      </c>
      <c r="T25" s="64">
        <f ca="1">S25/SUM($S$22:$S$27)</f>
        <v>0</v>
      </c>
      <c r="U25" s="10"/>
    </row>
    <row r="26" spans="1:21" ht="15" customHeight="1">
      <c r="A26" s="131"/>
      <c r="B26" s="132"/>
      <c r="C26" s="126" t="s">
        <v>39</v>
      </c>
      <c r="D26" s="130"/>
      <c r="E26" s="107">
        <f t="array" aca="1" ref="E26" ca="1">IFERROR(ROWS(_xlfn._xlws.FILTER(INDIRECT($A$12&amp;"!A2:E100"),(INDIRECT($A$12&amp;"!A2:A100")=$C26)*(INDIRECT($A$12&amp;"!G2:G100")="Sim"))), 0)</f>
        <v>0</v>
      </c>
      <c r="F26" s="130"/>
      <c r="G26" s="108">
        <f t="array" aca="1" ref="G26" ca="1">IFERROR(ROWS(_xlfn._xlws.FILTER(INDIRECT($A$12&amp;"!A2:E100"),(INDIRECT($A$12&amp;"!A2:A100")=$C26)*(INDIRECT($A$12&amp;"!G2:G100")="Não")))-E17, 0)</f>
        <v>3</v>
      </c>
      <c r="H26" s="130"/>
      <c r="I26" s="68">
        <f ca="1">IFERROR(E26/SUM(E26:H26),0)</f>
        <v>0</v>
      </c>
      <c r="J26" s="10"/>
      <c r="K26" s="107">
        <f ca="1">COUNTIF(INDIRECT("Regionais!D38:P40"), "Sim")</f>
        <v>20</v>
      </c>
      <c r="L26" s="130"/>
      <c r="M26" s="108">
        <f ca="1">COUNTIF(INDIRECT("Regionais!D38:P40"), "Não")-SUM(L17:M17)</f>
        <v>15</v>
      </c>
      <c r="N26" s="130"/>
      <c r="O26" s="111">
        <f ca="1">IFERROR(K26/SUM(K26:N26), 0)</f>
        <v>0.5714285714285714</v>
      </c>
      <c r="P26" s="130"/>
      <c r="Q26" s="11"/>
      <c r="R26" s="60" t="s">
        <v>41</v>
      </c>
      <c r="S26" s="50">
        <f ca="1">VLOOKUP($T$12,$C$13:$P$18,13,FALSE)</f>
        <v>0</v>
      </c>
      <c r="T26" s="65">
        <f ca="1">S26/SUM($S$22:$S$27)</f>
        <v>0</v>
      </c>
      <c r="U26" s="10"/>
    </row>
    <row r="27" spans="1:21" ht="15" customHeight="1">
      <c r="A27" s="131"/>
      <c r="B27" s="132"/>
      <c r="C27" s="112" t="s">
        <v>26</v>
      </c>
      <c r="D27" s="130"/>
      <c r="E27" s="107">
        <f t="array" aca="1" ref="E27" ca="1">IFERROR(ROWS(_xlfn._xlws.FILTER(INDIRECT($A$12&amp;"!A2:E100"),(INDIRECT($A$12&amp;"!A2:A100")=$C27)*(INDIRECT($A$12&amp;"!G2:G100")="Sim"))), 0)</f>
        <v>7</v>
      </c>
      <c r="F27" s="130"/>
      <c r="G27" s="108">
        <f t="array" aca="1" ref="G27" ca="1">IFERROR(ROWS(_xlfn._xlws.FILTER(INDIRECT($A$12&amp;"!A2:E100"),(INDIRECT($A$12&amp;"!A2:A100")=$C27)*(INDIRECT($A$12&amp;"!G2:G100")="Não")))-E18, 0)</f>
        <v>-1</v>
      </c>
      <c r="H27" s="130"/>
      <c r="I27" s="68">
        <f ca="1">IFERROR(E27/SUM(E27:H27),0)</f>
        <v>1.1666666666666667</v>
      </c>
      <c r="J27" s="10"/>
      <c r="K27" s="107">
        <f ca="1">COUNTIF(INDIRECT("Regionais!D43:P50"), "Sim")</f>
        <v>82</v>
      </c>
      <c r="L27" s="130"/>
      <c r="M27" s="108">
        <f ca="1">COUNTIF(INDIRECT("Regionais!D43:P50"), "Não")-SUM(L18:M18)</f>
        <v>3</v>
      </c>
      <c r="N27" s="130"/>
      <c r="O27" s="111">
        <f ca="1">IFERROR(K27/SUM(K27:N27), 0)</f>
        <v>0.96470588235294119</v>
      </c>
      <c r="P27" s="130"/>
      <c r="Q27" s="11"/>
      <c r="R27" s="60" t="s">
        <v>19</v>
      </c>
      <c r="S27" s="15">
        <f ca="1">VLOOKUP($T$12,$C$13:$P$18,14,FALSE)</f>
        <v>0</v>
      </c>
      <c r="T27" s="16">
        <f ca="1">S27/SUM($S$22:$S$27)</f>
        <v>0</v>
      </c>
      <c r="U27" s="10"/>
    </row>
    <row r="28" spans="1:21" ht="15" customHeight="1">
      <c r="A28" s="131"/>
      <c r="B28" s="132"/>
      <c r="C28" s="113" t="s">
        <v>42</v>
      </c>
      <c r="D28" s="130"/>
      <c r="E28" s="107">
        <f t="array" aca="1" ref="E28" ca="1">IFERROR(ROWS(_xlfn._xlws.FILTER(INDIRECT($A$12&amp;"!A2:E100"),(INDIRECT($A$12&amp;"!A2:A100")=$C28)*(INDIRECT($A$12&amp;"!G2:G100")="Sim"))), 0)</f>
        <v>0</v>
      </c>
      <c r="F28" s="130"/>
      <c r="G28" s="108">
        <f t="array" aca="1" ref="G28" ca="1">IFERROR(ROWS(_xlfn._xlws.FILTER(INDIRECT($A$12&amp;"!A2:E100"),(INDIRECT($A$12&amp;"!A2:A100")=$C28)*(INDIRECT($A$12&amp;"!G2:G100")="Não")))-E19, 0)</f>
        <v>7</v>
      </c>
      <c r="H28" s="130"/>
      <c r="I28" s="68">
        <f ca="1">IFERROR(E28/SUM(E28:H28),0)</f>
        <v>0</v>
      </c>
      <c r="J28" s="10"/>
      <c r="K28" s="107">
        <f ca="1">COUNTIF(INDIRECT("Regionais!D53:P60"), "Sim")</f>
        <v>75</v>
      </c>
      <c r="L28" s="130"/>
      <c r="M28" s="108">
        <f ca="1">COUNTIF(INDIRECT("Regionais!D53:P60"), "Não")-SUM(L19:M19)</f>
        <v>9</v>
      </c>
      <c r="N28" s="130"/>
      <c r="O28" s="111">
        <f ca="1">IFERROR(K28/SUM(K28:N28), 0)</f>
        <v>0.8928571428571429</v>
      </c>
      <c r="P28" s="130"/>
      <c r="Q28" s="11"/>
      <c r="R28" s="18" t="s">
        <v>44</v>
      </c>
      <c r="S28" s="121">
        <f ca="1">VLOOKUP($T$12,$C$22:$P$29,13,FALSE)</f>
        <v>0.96470588235294119</v>
      </c>
      <c r="T28" s="130"/>
      <c r="U28" s="10"/>
    </row>
    <row r="29" spans="1:21">
      <c r="A29" s="133"/>
      <c r="B29" s="134"/>
      <c r="C29" s="115" t="s">
        <v>43</v>
      </c>
      <c r="D29" s="130"/>
      <c r="E29" s="107">
        <f t="array" aca="1" ref="E29" ca="1">IFERROR(ROWS(_xlfn._xlws.FILTER(INDIRECT($A$12&amp;"!A2:E100"),(INDIRECT($A$12&amp;"!A2:A100")=$C29)*(INDIRECT($A$12&amp;"!G2:G100")="Sim"))), 0)</f>
        <v>0</v>
      </c>
      <c r="F29" s="130"/>
      <c r="G29" s="108">
        <f t="array" aca="1" ref="G29" ca="1">IFERROR(ROWS(_xlfn._xlws.FILTER(INDIRECT($A$12&amp;"!A2:E100"),(INDIRECT($A$12&amp;"!A2:A100")=$C29)*(INDIRECT($A$12&amp;"!G2:G100")="Não")))-E20, 0)</f>
        <v>7</v>
      </c>
      <c r="H29" s="130"/>
      <c r="I29" s="68">
        <f ca="1">IFERROR(E29/SUM(E29:H29),0)</f>
        <v>0</v>
      </c>
      <c r="J29" s="10"/>
      <c r="K29" s="107">
        <f ca="1">COUNTIF(INDIRECT("Regionais!D63:P70"), "Sim")</f>
        <v>79</v>
      </c>
      <c r="L29" s="130"/>
      <c r="M29" s="108">
        <f ca="1">COUNTIF(INDIRECT("Regionais!D63:P70"), "Não")-SUM(L20:M20)</f>
        <v>10</v>
      </c>
      <c r="N29" s="130"/>
      <c r="O29" s="111">
        <f ca="1">IFERROR(K29/SUM(K29:N29), 0)</f>
        <v>0.88764044943820219</v>
      </c>
      <c r="P29" s="130"/>
      <c r="Q29" s="10"/>
      <c r="R29" s="10"/>
      <c r="S29" s="10"/>
      <c r="T29" s="10"/>
      <c r="U29" s="10"/>
    </row>
    <row r="30" spans="1:21">
      <c r="A30" s="10"/>
      <c r="B30" s="10"/>
      <c r="C30" s="10"/>
      <c r="D30" s="10"/>
      <c r="E30" s="10"/>
      <c r="F30" s="10"/>
      <c r="G30" s="10"/>
      <c r="H30" s="10"/>
      <c r="I30" s="10"/>
      <c r="J30" s="10"/>
      <c r="K30" s="10"/>
      <c r="L30" s="10"/>
      <c r="M30" s="10"/>
      <c r="N30" s="10"/>
      <c r="O30" s="10"/>
      <c r="P30" s="10"/>
      <c r="Q30" s="10"/>
      <c r="R30" s="10"/>
      <c r="S30" s="10"/>
      <c r="T30" s="10"/>
      <c r="U30" s="10"/>
    </row>
    <row r="32" spans="1:21">
      <c r="C32" s="19"/>
      <c r="D32" s="19"/>
      <c r="E32" s="19"/>
      <c r="F32" s="19"/>
      <c r="G32" s="19"/>
    </row>
    <row r="33" spans="2:9">
      <c r="B33" s="19"/>
      <c r="C33" s="125" t="s">
        <v>51</v>
      </c>
      <c r="D33" s="130"/>
      <c r="E33" s="69" t="s">
        <v>52</v>
      </c>
      <c r="F33" s="69" t="s">
        <v>53</v>
      </c>
      <c r="G33" s="69" t="s">
        <v>54</v>
      </c>
      <c r="H33" s="70" t="s">
        <v>55</v>
      </c>
      <c r="I33" s="20" t="s">
        <v>13</v>
      </c>
    </row>
    <row r="34" spans="2:9">
      <c r="B34" s="19"/>
      <c r="C34" s="110" t="s">
        <v>56</v>
      </c>
      <c r="D34" s="130"/>
      <c r="E34" s="71" t="s">
        <v>57</v>
      </c>
      <c r="F34" s="71" t="s">
        <v>57</v>
      </c>
      <c r="G34" s="71" t="s">
        <v>57</v>
      </c>
      <c r="H34" s="71" t="s">
        <v>57</v>
      </c>
      <c r="I34" s="72"/>
    </row>
    <row r="35" spans="2:9">
      <c r="B35" s="19"/>
      <c r="C35" s="110" t="s">
        <v>58</v>
      </c>
      <c r="D35" s="130"/>
      <c r="E35" s="71" t="s">
        <v>57</v>
      </c>
      <c r="F35" s="71" t="s">
        <v>57</v>
      </c>
      <c r="G35" s="71" t="s">
        <v>57</v>
      </c>
      <c r="H35" s="71" t="s">
        <v>57</v>
      </c>
      <c r="I35" s="72"/>
    </row>
    <row r="36" spans="2:9" ht="15" customHeight="1">
      <c r="B36" s="19"/>
      <c r="C36" s="110" t="s">
        <v>59</v>
      </c>
      <c r="D36" s="130"/>
      <c r="E36" s="71">
        <f ca="1">B$2+B$5</f>
        <v>52</v>
      </c>
      <c r="F36" s="71">
        <f ca="1">B$3+B$4</f>
        <v>0</v>
      </c>
      <c r="G36" s="71">
        <f ca="1">B$7</f>
        <v>1</v>
      </c>
      <c r="H36" s="71">
        <f ca="1">B6</f>
        <v>4</v>
      </c>
      <c r="I36" s="60">
        <f ca="1">SUM(E36:H36)</f>
        <v>57</v>
      </c>
    </row>
    <row r="37" spans="2:9">
      <c r="B37" s="19"/>
      <c r="C37" s="110" t="s">
        <v>60</v>
      </c>
      <c r="D37" s="130"/>
      <c r="E37" s="71">
        <f ca="1">C$2+C$5</f>
        <v>53</v>
      </c>
      <c r="F37" s="71">
        <f ca="1">C$3+C$4</f>
        <v>0</v>
      </c>
      <c r="G37" s="71">
        <f ca="1">C$7</f>
        <v>1</v>
      </c>
      <c r="H37" s="71">
        <f ca="1">C$6</f>
        <v>3</v>
      </c>
      <c r="I37" s="60">
        <f ca="1">SUM(E37:H37)</f>
        <v>57</v>
      </c>
    </row>
    <row r="38" spans="2:9">
      <c r="B38" s="19"/>
      <c r="C38" s="110" t="s">
        <v>61</v>
      </c>
      <c r="D38" s="130"/>
      <c r="E38" s="71">
        <f ca="1">D$2+D$5</f>
        <v>53</v>
      </c>
      <c r="F38" s="71">
        <f ca="1">D$3+D$4</f>
        <v>0</v>
      </c>
      <c r="G38" s="71">
        <f ca="1">D$7</f>
        <v>1</v>
      </c>
      <c r="H38" s="71">
        <f ca="1">D$6</f>
        <v>3</v>
      </c>
      <c r="I38" s="60">
        <f ca="1">SUM(E38:H38)</f>
        <v>57</v>
      </c>
    </row>
    <row r="39" spans="2:9">
      <c r="B39" s="19"/>
      <c r="C39" s="110" t="s">
        <v>62</v>
      </c>
      <c r="D39" s="130"/>
      <c r="E39" s="71">
        <f ca="1">E$2+E$5</f>
        <v>52</v>
      </c>
      <c r="F39" s="71">
        <f ca="1">E$3+E$4</f>
        <v>0</v>
      </c>
      <c r="G39" s="71">
        <f ca="1">E$7</f>
        <v>2</v>
      </c>
      <c r="H39" s="71">
        <f ca="1">E$6</f>
        <v>3</v>
      </c>
      <c r="I39" s="60">
        <f ca="1">SUM(E39:H39)</f>
        <v>57</v>
      </c>
    </row>
    <row r="40" spans="2:9">
      <c r="B40" s="19"/>
      <c r="C40" s="110" t="s">
        <v>63</v>
      </c>
      <c r="D40" s="130"/>
      <c r="E40" s="71">
        <f ca="1">F$2+F$5</f>
        <v>52</v>
      </c>
      <c r="F40" s="71">
        <f ca="1">F$3+F$4</f>
        <v>0</v>
      </c>
      <c r="G40" s="71">
        <f ca="1">F$7</f>
        <v>2</v>
      </c>
      <c r="H40" s="71">
        <f ca="1">F$6</f>
        <v>3</v>
      </c>
      <c r="I40" s="60">
        <f ca="1">SUM(E40:H40)</f>
        <v>57</v>
      </c>
    </row>
    <row r="41" spans="2:9">
      <c r="B41" s="19"/>
      <c r="C41" s="110" t="s">
        <v>64</v>
      </c>
      <c r="D41" s="130"/>
      <c r="E41" s="71">
        <f ca="1">G$2+G$5</f>
        <v>52</v>
      </c>
      <c r="F41" s="71">
        <f ca="1">G$3+G$4</f>
        <v>1</v>
      </c>
      <c r="G41" s="71">
        <f ca="1">G$7</f>
        <v>1</v>
      </c>
      <c r="H41" s="71">
        <f ca="1">G$6</f>
        <v>3</v>
      </c>
      <c r="I41" s="60">
        <f ca="1">SUM(E41:H41)</f>
        <v>57</v>
      </c>
    </row>
    <row r="42" spans="2:9">
      <c r="B42" s="19"/>
      <c r="C42" s="110" t="s">
        <v>65</v>
      </c>
      <c r="D42" s="130"/>
      <c r="E42" s="71">
        <f ca="1">H$2+H$5</f>
        <v>52</v>
      </c>
      <c r="F42" s="71">
        <f ca="1">H$3+H$4</f>
        <v>1</v>
      </c>
      <c r="G42" s="71">
        <f ca="1">H$7</f>
        <v>1</v>
      </c>
      <c r="H42" s="71">
        <f ca="1">H$6</f>
        <v>3</v>
      </c>
      <c r="I42" s="60">
        <f ca="1">SUM(E42:H42)</f>
        <v>57</v>
      </c>
    </row>
    <row r="43" spans="2:9">
      <c r="B43" s="19"/>
      <c r="C43" s="110" t="s">
        <v>66</v>
      </c>
      <c r="D43" s="130"/>
      <c r="E43" s="71">
        <f ca="1">I$2+I$5</f>
        <v>53</v>
      </c>
      <c r="F43" s="71">
        <f ca="1">I$3+I$4</f>
        <v>0</v>
      </c>
      <c r="G43" s="71">
        <f ca="1">I$7</f>
        <v>1</v>
      </c>
      <c r="H43" s="71">
        <f ca="1">I$6</f>
        <v>3</v>
      </c>
      <c r="I43" s="60">
        <f ca="1">SUM(E43:H43)</f>
        <v>57</v>
      </c>
    </row>
    <row r="44" spans="2:9">
      <c r="B44" s="19"/>
      <c r="C44" s="110" t="s">
        <v>67</v>
      </c>
      <c r="D44" s="130"/>
      <c r="E44" s="71">
        <f ca="1">J$2+J$5</f>
        <v>50</v>
      </c>
      <c r="F44" s="71">
        <f ca="1">J$3+J$4</f>
        <v>3</v>
      </c>
      <c r="G44" s="71">
        <f ca="1">J$7</f>
        <v>1</v>
      </c>
      <c r="H44" s="71">
        <f ca="1">J$6</f>
        <v>3</v>
      </c>
      <c r="I44" s="60">
        <f ca="1">SUM(E44:H44)</f>
        <v>57</v>
      </c>
    </row>
    <row r="45" spans="2:9">
      <c r="B45" s="19"/>
      <c r="C45" s="110" t="s">
        <v>68</v>
      </c>
      <c r="D45" s="130"/>
      <c r="E45" s="71">
        <f ca="1">K$2+K$5</f>
        <v>47</v>
      </c>
      <c r="F45" s="71">
        <f ca="1">K$3+K$4</f>
        <v>6</v>
      </c>
      <c r="G45" s="71">
        <f ca="1">K$7</f>
        <v>1</v>
      </c>
      <c r="H45" s="71">
        <f ca="1">K$6</f>
        <v>3</v>
      </c>
      <c r="I45" s="60">
        <f ca="1">SUM(E45:H45)</f>
        <v>57</v>
      </c>
    </row>
    <row r="46" spans="2:9">
      <c r="B46" s="19"/>
      <c r="C46" s="110" t="s">
        <v>69</v>
      </c>
      <c r="D46" s="130"/>
      <c r="E46" s="71">
        <f ca="1">L$2+L$5</f>
        <v>0</v>
      </c>
      <c r="F46" s="71">
        <f ca="1">L$3+L$4</f>
        <v>0</v>
      </c>
      <c r="G46" s="71">
        <f ca="1">L$7</f>
        <v>1</v>
      </c>
      <c r="H46" s="71">
        <f ca="1">L$6</f>
        <v>1</v>
      </c>
      <c r="I46" s="60">
        <f ca="1">SUM(E46:H46)</f>
        <v>2</v>
      </c>
    </row>
    <row r="47" spans="2:9">
      <c r="B47" s="19"/>
      <c r="C47" s="110" t="s">
        <v>70</v>
      </c>
      <c r="D47" s="130"/>
      <c r="E47" s="71">
        <f ca="1">M$2+M$5</f>
        <v>0</v>
      </c>
      <c r="F47" s="71">
        <f ca="1">M$3+M$4</f>
        <v>0</v>
      </c>
      <c r="G47" s="71">
        <f ca="1">M$7</f>
        <v>1</v>
      </c>
      <c r="H47" s="71">
        <f ca="1">M$6</f>
        <v>1</v>
      </c>
      <c r="I47" s="60">
        <f ca="1">SUM(E47:H47)</f>
        <v>2</v>
      </c>
    </row>
    <row r="48" spans="2:9">
      <c r="C48" s="19"/>
      <c r="D48" s="19"/>
      <c r="E48" s="19"/>
      <c r="F48" s="19"/>
      <c r="G48" s="19"/>
    </row>
  </sheetData>
  <mergeCells count="77">
    <mergeCell ref="A12:B29"/>
    <mergeCell ref="C38:D38"/>
    <mergeCell ref="M29:N29"/>
    <mergeCell ref="M23:N23"/>
    <mergeCell ref="O23:P23"/>
    <mergeCell ref="C24:D24"/>
    <mergeCell ref="E24:F24"/>
    <mergeCell ref="C33:D33"/>
    <mergeCell ref="G27:H27"/>
    <mergeCell ref="O24:P24"/>
    <mergeCell ref="C26:D26"/>
    <mergeCell ref="C35:D35"/>
    <mergeCell ref="C25:D25"/>
    <mergeCell ref="E28:F28"/>
    <mergeCell ref="G28:H28"/>
    <mergeCell ref="K22:L22"/>
    <mergeCell ref="C44:D44"/>
    <mergeCell ref="C22:D22"/>
    <mergeCell ref="S28:T28"/>
    <mergeCell ref="O22:P22"/>
    <mergeCell ref="C46:D46"/>
    <mergeCell ref="K23:L23"/>
    <mergeCell ref="C23:D23"/>
    <mergeCell ref="M26:N26"/>
    <mergeCell ref="C42:D42"/>
    <mergeCell ref="M22:N22"/>
    <mergeCell ref="M28:N28"/>
    <mergeCell ref="C39:D39"/>
    <mergeCell ref="G29:H29"/>
    <mergeCell ref="C37:D37"/>
    <mergeCell ref="C41:D41"/>
    <mergeCell ref="O26:P26"/>
    <mergeCell ref="R11:T11"/>
    <mergeCell ref="E25:F25"/>
    <mergeCell ref="G25:H25"/>
    <mergeCell ref="R13:T13"/>
    <mergeCell ref="C12:I12"/>
    <mergeCell ref="K21:P21"/>
    <mergeCell ref="K25:L25"/>
    <mergeCell ref="R21:T21"/>
    <mergeCell ref="C11:I11"/>
    <mergeCell ref="K11:P11"/>
    <mergeCell ref="R12:S12"/>
    <mergeCell ref="S20:T20"/>
    <mergeCell ref="C21:I21"/>
    <mergeCell ref="E22:F22"/>
    <mergeCell ref="G22:H22"/>
    <mergeCell ref="K24:L24"/>
    <mergeCell ref="A11:B11"/>
    <mergeCell ref="C45:D45"/>
    <mergeCell ref="C47:D47"/>
    <mergeCell ref="O29:P29"/>
    <mergeCell ref="C40:D40"/>
    <mergeCell ref="G24:H24"/>
    <mergeCell ref="K27:L27"/>
    <mergeCell ref="M27:N27"/>
    <mergeCell ref="E26:F26"/>
    <mergeCell ref="G26:H26"/>
    <mergeCell ref="M24:N24"/>
    <mergeCell ref="C34:D34"/>
    <mergeCell ref="O28:P28"/>
    <mergeCell ref="K29:L29"/>
    <mergeCell ref="C29:D29"/>
    <mergeCell ref="E29:F29"/>
    <mergeCell ref="E23:F23"/>
    <mergeCell ref="G23:H23"/>
    <mergeCell ref="K12:P12"/>
    <mergeCell ref="K26:L26"/>
    <mergeCell ref="C43:D43"/>
    <mergeCell ref="M25:N25"/>
    <mergeCell ref="O25:P25"/>
    <mergeCell ref="C27:D27"/>
    <mergeCell ref="E27:F27"/>
    <mergeCell ref="C36:D36"/>
    <mergeCell ref="O27:P27"/>
    <mergeCell ref="K28:L28"/>
    <mergeCell ref="C28:D28"/>
  </mergeCells>
  <conditionalFormatting sqref="T12">
    <cfRule type="cellIs" dxfId="306" priority="5" operator="equal">
      <formula>"Valquiria"</formula>
    </cfRule>
    <cfRule type="cellIs" dxfId="305" priority="6" operator="equal">
      <formula>"Luana"</formula>
    </cfRule>
    <cfRule type="cellIs" dxfId="304" priority="7" operator="equal">
      <formula>"Larissa"</formula>
    </cfRule>
    <cfRule type="cellIs" dxfId="303" priority="8" operator="equal">
      <formula>"Bianca"</formula>
    </cfRule>
    <cfRule type="cellIs" dxfId="302" priority="9" operator="equal">
      <formula>"Gabriel"</formula>
    </cfRule>
  </conditionalFormatting>
  <conditionalFormatting sqref="I23:I29 O23:O29 S20 S28">
    <cfRule type="cellIs" dxfId="301" priority="1" operator="lessThanOrEqual">
      <formula>0.25</formula>
    </cfRule>
    <cfRule type="cellIs" dxfId="300" priority="2" operator="lessThanOrEqual">
      <formula>0.5</formula>
    </cfRule>
    <cfRule type="cellIs" dxfId="299" priority="3" operator="lessThanOrEqual">
      <formula>0.75</formula>
    </cfRule>
    <cfRule type="cellIs" dxfId="298" priority="4"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"Paranavaí,Curitiba,Francisco Beltrão,Guarapuava,Londrina,Maringá,Laranjeiras do Sul"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0"/>
  <sheetViews>
    <sheetView workbookViewId="0"/>
  </sheetViews>
  <sheetFormatPr defaultRowHeight="15"/>
  <cols>
    <col min="1" max="1" width="18.5703125" customWidth="1"/>
    <col min="2" max="2" width="31.140625" customWidth="1"/>
    <col min="3" max="3" width="8.5703125" customWidth="1"/>
    <col min="4" max="4" width="20.42578125" customWidth="1"/>
    <col min="5" max="5" width="21" customWidth="1"/>
    <col min="6" max="6" width="20.28515625" customWidth="1"/>
    <col min="7" max="7" width="21.28515625" customWidth="1"/>
    <col min="8" max="8" width="20" customWidth="1"/>
    <col min="9" max="9" width="17" customWidth="1"/>
    <col min="10" max="10" width="20.42578125" customWidth="1"/>
    <col min="11" max="11" width="20" customWidth="1"/>
    <col min="16" max="16" width="9.140625" customWidth="1"/>
    <col min="18" max="18" width="18.42578125" customWidth="1"/>
    <col min="19" max="19" width="22" customWidth="1"/>
    <col min="20" max="20" width="7.5703125" customWidth="1"/>
  </cols>
  <sheetData>
    <row r="1" spans="1:15" ht="15.75" customHeight="1">
      <c r="A1" s="73" t="s">
        <v>71</v>
      </c>
      <c r="B1" s="21" t="s">
        <v>72</v>
      </c>
      <c r="C1" s="21" t="s">
        <v>73</v>
      </c>
      <c r="D1" s="74" t="s">
        <v>1</v>
      </c>
      <c r="E1" s="74" t="s">
        <v>2</v>
      </c>
      <c r="F1" s="74" t="s">
        <v>3</v>
      </c>
      <c r="G1" s="74" t="s">
        <v>4</v>
      </c>
      <c r="H1" s="74" t="s">
        <v>5</v>
      </c>
      <c r="I1" s="74" t="s">
        <v>6</v>
      </c>
      <c r="J1" s="74" t="s">
        <v>7</v>
      </c>
      <c r="K1" s="74" t="s">
        <v>8</v>
      </c>
      <c r="L1" s="74" t="s">
        <v>9</v>
      </c>
      <c r="M1" s="74" t="s">
        <v>10</v>
      </c>
      <c r="N1" s="74" t="s">
        <v>11</v>
      </c>
      <c r="O1" s="74" t="s">
        <v>12</v>
      </c>
    </row>
    <row r="2" spans="1:15">
      <c r="A2" s="32" t="s">
        <v>35</v>
      </c>
      <c r="B2" s="60" t="s">
        <v>74</v>
      </c>
      <c r="C2" s="60" t="s">
        <v>75</v>
      </c>
      <c r="D2" s="75" t="str">
        <f t="array" aca="1" ref="D2" ca="1">IF(
    VLOOKUP(
        $A2,
        _xlfn._xlws.FILTER(
            INDIRECT("'"&amp;D$62&amp;"'!A2:E1000"), (INDIRECT("'"&amp;D$62&amp;"'!B2:B1000")=$B2) * (INDIRECT("'"&amp;D$62&amp;"'!C2:C1000")=$C2)
        ),
        5,
        FALSE
    )=0,
    "",
    VLOOKUP(
        $A2,
        _xlfn._xlws.FILTER(
            INDIRECT("'"&amp;D$62&amp;"'!A2:E1000"), (INDIRECT("'"&amp;D$62&amp;"'!B2:B1000")=$B2) * (INDIRECT("'"&amp;D$62&amp;"'!C2:C1000")=$C2)
        ),
        5,
        FALSE
    )
)</f>
        <v>Enviado</v>
      </c>
      <c r="E2" s="75" t="str">
        <f t="array" aca="1" ref="E2" ca="1">IF(
    VLOOKUP(
        $A2,
        _xlfn._xlws.FILTER(
            INDIRECT("'"&amp;E$62&amp;"'!A2:E1000"), (INDIRECT("'"&amp;E$62&amp;"'!B2:B1000")=$B2) * (INDIRECT("'"&amp;E$62&amp;"'!C2:C1000")=$C2)
        ),
        5,
        FALSE
    )=0,
    "",
    VLOOKUP(
        $A2,
        _xlfn._xlws.FILTER(
            INDIRECT("'"&amp;E$62&amp;"'!A2:E1000"), (INDIRECT("'"&amp;E$62&amp;"'!B2:B1000")=$B2) * (INDIRECT("'"&amp;E$62&amp;"'!C2:C1000")=$C2)
        ),
        5,
        FALSE
    )
)</f>
        <v>Enviado</v>
      </c>
      <c r="F2" s="75" t="str">
        <f t="array" aca="1" ref="F2" ca="1">IF(
    VLOOKUP(
        $A2,
        _xlfn._xlws.FILTER(
            INDIRECT("'"&amp;F$62&amp;"'!A2:E1000"), (INDIRECT("'"&amp;F$62&amp;"'!B2:B1000")=$B2) * (INDIRECT("'"&amp;F$62&amp;"'!C2:C1000")=$C2)
        ),
        5,
        FALSE
    )=0,
    "",
    VLOOKUP(
        $A2,
        _xlfn._xlws.FILTER(
            INDIRECT("'"&amp;F$62&amp;"'!A2:E1000"), (INDIRECT("'"&amp;F$62&amp;"'!B2:B1000")=$B2) * (INDIRECT("'"&amp;F$62&amp;"'!C2:C1000")=$C2)
        ),
        5,
        FALSE
    )
)</f>
        <v>Enviado</v>
      </c>
      <c r="G2" s="75" t="str">
        <f t="array" aca="1" ref="G2" ca="1">IF(
    VLOOKUP(
        $A2,
        _xlfn._xlws.FILTER(
            INDIRECT("'"&amp;G$62&amp;"'!A2:E1000"), (INDIRECT("'"&amp;G$62&amp;"'!B2:B1000")=$B2) * (INDIRECT("'"&amp;G$62&amp;"'!C2:C1000")=$C2)
        ),
        5,
        FALSE
    )=0,
    "",
    VLOOKUP(
        $A2,
        _xlfn._xlws.FILTER(
            INDIRECT("'"&amp;G$62&amp;"'!A2:E1000"), (INDIRECT("'"&amp;G$62&amp;"'!B2:B1000")=$B2) * (INDIRECT("'"&amp;G$62&amp;"'!C2:C1000")=$C2)
        ),
        5,
        FALSE
    )
)</f>
        <v>Enviado</v>
      </c>
      <c r="H2" s="75" t="str">
        <f t="array" aca="1" ref="H2" ca="1">IF(
    VLOOKUP(
        $A2,
        _xlfn._xlws.FILTER(
            INDIRECT("'"&amp;H$62&amp;"'!A2:E1000"), (INDIRECT("'"&amp;H$62&amp;"'!B2:B1000")=$B2) * (INDIRECT("'"&amp;H$62&amp;"'!C2:C1000")=$C2)
        ),
        5,
        FALSE
    )=0,
    "",
    VLOOKUP(
        $A2,
        _xlfn._xlws.FILTER(
            INDIRECT("'"&amp;H$62&amp;"'!A2:E1000"), (INDIRECT("'"&amp;H$62&amp;"'!B2:B1000")=$B2) * (INDIRECT("'"&amp;H$62&amp;"'!C2:C1000")=$C2)
        ),
        5,
        FALSE
    )
)</f>
        <v>Enviado</v>
      </c>
      <c r="I2" s="75" t="str">
        <f t="array" aca="1" ref="I2" ca="1">IF(
    VLOOKUP(
        $A2,
        _xlfn._xlws.FILTER(
            INDIRECT("'"&amp;I$62&amp;"'!A2:E1000"), (INDIRECT("'"&amp;I$62&amp;"'!B2:B1000")=$B2) * (INDIRECT("'"&amp;I$62&amp;"'!C2:C1000")=$C2)
        ),
        5,
        FALSE
    )=0,
    "",
    VLOOKUP(
        $A2,
        _xlfn._xlws.FILTER(
            INDIRECT("'"&amp;I$62&amp;"'!A2:E1000"), (INDIRECT("'"&amp;I$62&amp;"'!B2:B1000")=$B2) * (INDIRECT("'"&amp;I$62&amp;"'!C2:C1000")=$C2)
        ),
        5,
        FALSE
    )
)</f>
        <v>Enviado</v>
      </c>
      <c r="J2" s="75" t="str">
        <f t="array" aca="1" ref="J2" ca="1">IF(
    VLOOKUP(
        $A2,
        _xlfn._xlws.FILTER(
            INDIRECT("'"&amp;J$62&amp;"'!A2:E1000"), (INDIRECT("'"&amp;J$62&amp;"'!B2:B1000")=$B2) * (INDIRECT("'"&amp;J$62&amp;"'!C2:C1000")=$C2)
        ),
        5,
        FALSE
    )=0,
    "",
    VLOOKUP(
        $A2,
        _xlfn._xlws.FILTER(
            INDIRECT("'"&amp;J$62&amp;"'!A2:E1000"), (INDIRECT("'"&amp;J$62&amp;"'!B2:B1000")=$B2) * (INDIRECT("'"&amp;J$62&amp;"'!C2:C1000")=$C2)
        ),
        5,
        FALSE
    )
)</f>
        <v>Enviado</v>
      </c>
      <c r="K2" s="75" t="str">
        <f t="array" aca="1" ref="K2" ca="1">IF(
    VLOOKUP(
        $A2,
        _xlfn._xlws.FILTER(
            INDIRECT("'"&amp;K$62&amp;"'!A2:E1000"), (INDIRECT("'"&amp;K$62&amp;"'!B2:B1000")=$B2) * (INDIRECT("'"&amp;K$62&amp;"'!C2:C1000")=$C2)
        ),
        5,
        FALSE
    )=0,
    "",
    VLOOKUP(
        $A2,
        _xlfn._xlws.FILTER(
            INDIRECT("'"&amp;K$62&amp;"'!A2:E1000"), (INDIRECT("'"&amp;K$62&amp;"'!B2:B1000")=$B2) * (INDIRECT("'"&amp;K$62&amp;"'!C2:C1000")=$C2)
        ),
        5,
        FALSE
    )
)</f>
        <v>Enviado</v>
      </c>
      <c r="L2" s="75" t="str">
        <f t="array" aca="1" ref="L2" ca="1">IF(
    VLOOKUP(
        $A2,
        _xlfn._xlws.FILTER(
            INDIRECT("'"&amp;L$62&amp;"'!A2:E1000"), (INDIRECT("'"&amp;L$62&amp;"'!B2:B1000")=$B2) * (INDIRECT("'"&amp;L$62&amp;"'!C2:C1000")=$C2)
        ),
        5,
        FALSE
    )=0,
    "",
    VLOOKUP(
        $A2,
        _xlfn._xlws.FILTER(
            INDIRECT("'"&amp;L$62&amp;"'!A2:E1000"), (INDIRECT("'"&amp;L$62&amp;"'!B2:B1000")=$B2) * (INDIRECT("'"&amp;L$62&amp;"'!C2:C1000")=$C2)
        ),
        5,
        FALSE
    )
)</f>
        <v>Enviado</v>
      </c>
      <c r="M2" s="75" t="str">
        <f t="array" aca="1" ref="M2" ca="1">IF(
    VLOOKUP(
        $A2,
        _xlfn._xlws.FILTER(
            INDIRECT("'"&amp;M$62&amp;"'!A2:E1000"), (INDIRECT("'"&amp;M$62&amp;"'!B2:B1000")=$B2) * (INDIRECT("'"&amp;M$62&amp;"'!C2:C1000")=$C2)
        ),
        5,
        FALSE
    )=0,
    "",
    VLOOKUP(
        $A2,
        _xlfn._xlws.FILTER(
            INDIRECT("'"&amp;M$62&amp;"'!A2:E1000"), (INDIRECT("'"&amp;M$62&amp;"'!B2:B1000")=$B2) * (INDIRECT("'"&amp;M$62&amp;"'!C2:C1000")=$C2)
        ),
        5,
        FALSE
    )
)</f>
        <v>Enviado</v>
      </c>
      <c r="N2" s="75" t="str">
        <f t="array" aca="1" ref="N2" ca="1">IF(
    VLOOKUP(
        $A2,
        _xlfn._xlws.FILTER(
            INDIRECT("'"&amp;N$62&amp;"'!A2:E1000"), (INDIRECT("'"&amp;N$62&amp;"'!B2:B1000")=$B2) * (INDIRECT("'"&amp;N$62&amp;"'!C2:C1000")=$C2)
        ),
        5,
        FALSE
    )=0,
    "",
    VLOOKUP(
        $A2,
        _xlfn._xlws.FILTER(
            INDIRECT("'"&amp;N$62&amp;"'!A2:E1000"), (INDIRECT("'"&amp;N$62&amp;"'!B2:B1000")=$B2) * (INDIRECT("'"&amp;N$62&amp;"'!C2:C1000")=$C2)
        ),
        5,
        FALSE
    )
)</f>
        <v/>
      </c>
      <c r="O2" s="75" t="str">
        <f t="array" aca="1" ref="O2" ca="1">IF(
    VLOOKUP(
        $A2,
        _xlfn._xlws.FILTER(
            INDIRECT("'"&amp;O$62&amp;"'!A2:E1000"), (INDIRECT("'"&amp;O$62&amp;"'!B2:B1000")=$B2) * (INDIRECT("'"&amp;O$62&amp;"'!C2:C1000")=$C2)
        ),
        5,
        FALSE
    )=0,
    "",
    VLOOKUP(
        $A2,
        _xlfn._xlws.FILTER(
            INDIRECT("'"&amp;O$62&amp;"'!A2:E1000"), (INDIRECT("'"&amp;O$62&amp;"'!B2:B1000")=$B2) * (INDIRECT("'"&amp;O$62&amp;"'!C2:C1000")=$C2)
        ),
        5,
        FALSE
    )
)</f>
        <v/>
      </c>
    </row>
    <row r="3" spans="1:15">
      <c r="A3" s="32" t="s">
        <v>35</v>
      </c>
      <c r="B3" s="60" t="s">
        <v>74</v>
      </c>
      <c r="C3" s="60" t="s">
        <v>76</v>
      </c>
      <c r="D3" s="75" t="str">
        <f t="array" aca="1" ref="D3" ca="1">IF(
    VLOOKUP(
        $A3,
        _xlfn._xlws.FILTER(
            INDIRECT("'"&amp;D$62&amp;"'!A2:E1000"), (INDIRECT("'"&amp;D$62&amp;"'!B2:B1000")=$B3) * (INDIRECT("'"&amp;D$62&amp;"'!C2:C1000")=$C3)
        ),
        5,
        FALSE
    )=0,
    "",
    VLOOKUP(
        $A3,
        _xlfn._xlws.FILTER(
            INDIRECT("'"&amp;D$62&amp;"'!A2:E1000"), (INDIRECT("'"&amp;D$62&amp;"'!B2:B1000")=$B3) * (INDIRECT("'"&amp;D$62&amp;"'!C2:C1000")=$C3)
        ),
        5,
        FALSE
    )
)</f>
        <v>Enviado</v>
      </c>
      <c r="E3" s="75" t="str">
        <f t="array" aca="1" ref="E3" ca="1">IF(
    VLOOKUP(
        $A3,
        _xlfn._xlws.FILTER(
            INDIRECT("'"&amp;E$62&amp;"'!A2:E1000"), (INDIRECT("'"&amp;E$62&amp;"'!B2:B1000")=$B3) * (INDIRECT("'"&amp;E$62&amp;"'!C2:C1000")=$C3)
        ),
        5,
        FALSE
    )=0,
    "",
    VLOOKUP(
        $A3,
        _xlfn._xlws.FILTER(
            INDIRECT("'"&amp;E$62&amp;"'!A2:E1000"), (INDIRECT("'"&amp;E$62&amp;"'!B2:B1000")=$B3) * (INDIRECT("'"&amp;E$62&amp;"'!C2:C1000")=$C3)
        ),
        5,
        FALSE
    )
)</f>
        <v>Enviado</v>
      </c>
      <c r="F3" s="75" t="str">
        <f t="array" aca="1" ref="F3" ca="1">IF(
    VLOOKUP(
        $A3,
        _xlfn._xlws.FILTER(
            INDIRECT("'"&amp;F$62&amp;"'!A2:E1000"), (INDIRECT("'"&amp;F$62&amp;"'!B2:B1000")=$B3) * (INDIRECT("'"&amp;F$62&amp;"'!C2:C1000")=$C3)
        ),
        5,
        FALSE
    )=0,
    "",
    VLOOKUP(
        $A3,
        _xlfn._xlws.FILTER(
            INDIRECT("'"&amp;F$62&amp;"'!A2:E1000"), (INDIRECT("'"&amp;F$62&amp;"'!B2:B1000")=$B3) * (INDIRECT("'"&amp;F$62&amp;"'!C2:C1000")=$C3)
        ),
        5,
        FALSE
    )
)</f>
        <v>Enviado</v>
      </c>
      <c r="G3" s="75" t="str">
        <f t="array" aca="1" ref="G3" ca="1">IF(
    VLOOKUP(
        $A3,
        _xlfn._xlws.FILTER(
            INDIRECT("'"&amp;G$62&amp;"'!A2:E1000"), (INDIRECT("'"&amp;G$62&amp;"'!B2:B1000")=$B3) * (INDIRECT("'"&amp;G$62&amp;"'!C2:C1000")=$C3)
        ),
        5,
        FALSE
    )=0,
    "",
    VLOOKUP(
        $A3,
        _xlfn._xlws.FILTER(
            INDIRECT("'"&amp;G$62&amp;"'!A2:E1000"), (INDIRECT("'"&amp;G$62&amp;"'!B2:B1000")=$B3) * (INDIRECT("'"&amp;G$62&amp;"'!C2:C1000")=$C3)
        ),
        5,
        FALSE
    )
)</f>
        <v>Enviado</v>
      </c>
      <c r="H3" s="75" t="str">
        <f t="array" aca="1" ref="H3" ca="1">IF(
    VLOOKUP(
        $A3,
        _xlfn._xlws.FILTER(
            INDIRECT("'"&amp;H$62&amp;"'!A2:E1000"), (INDIRECT("'"&amp;H$62&amp;"'!B2:B1000")=$B3) * (INDIRECT("'"&amp;H$62&amp;"'!C2:C1000")=$C3)
        ),
        5,
        FALSE
    )=0,
    "",
    VLOOKUP(
        $A3,
        _xlfn._xlws.FILTER(
            INDIRECT("'"&amp;H$62&amp;"'!A2:E1000"), (INDIRECT("'"&amp;H$62&amp;"'!B2:B1000")=$B3) * (INDIRECT("'"&amp;H$62&amp;"'!C2:C1000")=$C3)
        ),
        5,
        FALSE
    )
)</f>
        <v>Enviado</v>
      </c>
      <c r="I3" s="75" t="str">
        <f t="array" aca="1" ref="I3" ca="1">IF(
    VLOOKUP(
        $A3,
        _xlfn._xlws.FILTER(
            INDIRECT("'"&amp;I$62&amp;"'!A2:E1000"), (INDIRECT("'"&amp;I$62&amp;"'!B2:B1000")=$B3) * (INDIRECT("'"&amp;I$62&amp;"'!C2:C1000")=$C3)
        ),
        5,
        FALSE
    )=0,
    "",
    VLOOKUP(
        $A3,
        _xlfn._xlws.FILTER(
            INDIRECT("'"&amp;I$62&amp;"'!A2:E1000"), (INDIRECT("'"&amp;I$62&amp;"'!B2:B1000")=$B3) * (INDIRECT("'"&amp;I$62&amp;"'!C2:C1000")=$C3)
        ),
        5,
        FALSE
    )
)</f>
        <v>Enviado</v>
      </c>
      <c r="J3" s="75" t="str">
        <f t="array" aca="1" ref="J3" ca="1">IF(
    VLOOKUP(
        $A3,
        _xlfn._xlws.FILTER(
            INDIRECT("'"&amp;J$62&amp;"'!A2:E1000"), (INDIRECT("'"&amp;J$62&amp;"'!B2:B1000")=$B3) * (INDIRECT("'"&amp;J$62&amp;"'!C2:C1000")=$C3)
        ),
        5,
        FALSE
    )=0,
    "",
    VLOOKUP(
        $A3,
        _xlfn._xlws.FILTER(
            INDIRECT("'"&amp;J$62&amp;"'!A2:E1000"), (INDIRECT("'"&amp;J$62&amp;"'!B2:B1000")=$B3) * (INDIRECT("'"&amp;J$62&amp;"'!C2:C1000")=$C3)
        ),
        5,
        FALSE
    )
)</f>
        <v>Enviado</v>
      </c>
      <c r="K3" s="75" t="str">
        <f t="array" aca="1" ref="K3" ca="1">IF(
    VLOOKUP(
        $A3,
        _xlfn._xlws.FILTER(
            INDIRECT("'"&amp;K$62&amp;"'!A2:E1000"), (INDIRECT("'"&amp;K$62&amp;"'!B2:B1000")=$B3) * (INDIRECT("'"&amp;K$62&amp;"'!C2:C1000")=$C3)
        ),
        5,
        FALSE
    )=0,
    "",
    VLOOKUP(
        $A3,
        _xlfn._xlws.FILTER(
            INDIRECT("'"&amp;K$62&amp;"'!A2:E1000"), (INDIRECT("'"&amp;K$62&amp;"'!B2:B1000")=$B3) * (INDIRECT("'"&amp;K$62&amp;"'!C2:C1000")=$C3)
        ),
        5,
        FALSE
    )
)</f>
        <v>Enviado</v>
      </c>
      <c r="L3" s="75" t="str">
        <f t="array" aca="1" ref="L3" ca="1">IF(
    VLOOKUP(
        $A3,
        _xlfn._xlws.FILTER(
            INDIRECT("'"&amp;L$62&amp;"'!A2:E1000"), (INDIRECT("'"&amp;L$62&amp;"'!B2:B1000")=$B3) * (INDIRECT("'"&amp;L$62&amp;"'!C2:C1000")=$C3)
        ),
        5,
        FALSE
    )=0,
    "",
    VLOOKUP(
        $A3,
        _xlfn._xlws.FILTER(
            INDIRECT("'"&amp;L$62&amp;"'!A2:E1000"), (INDIRECT("'"&amp;L$62&amp;"'!B2:B1000")=$B3) * (INDIRECT("'"&amp;L$62&amp;"'!C2:C1000")=$C3)
        ),
        5,
        FALSE
    )
)</f>
        <v>Enviado</v>
      </c>
      <c r="M3" s="75" t="str">
        <f t="array" aca="1" ref="M3" ca="1">IF(
    VLOOKUP(
        $A3,
        _xlfn._xlws.FILTER(
            INDIRECT("'"&amp;M$62&amp;"'!A2:E1000"), (INDIRECT("'"&amp;M$62&amp;"'!B2:B1000")=$B3) * (INDIRECT("'"&amp;M$62&amp;"'!C2:C1000")=$C3)
        ),
        5,
        FALSE
    )=0,
    "",
    VLOOKUP(
        $A3,
        _xlfn._xlws.FILTER(
            INDIRECT("'"&amp;M$62&amp;"'!A2:E1000"), (INDIRECT("'"&amp;M$62&amp;"'!B2:B1000")=$B3) * (INDIRECT("'"&amp;M$62&amp;"'!C2:C1000")=$C3)
        ),
        5,
        FALSE
    )
)</f>
        <v>Enviado</v>
      </c>
      <c r="N3" s="75" t="str">
        <f t="array" aca="1" ref="N3" ca="1">IF(
    VLOOKUP(
        $A3,
        _xlfn._xlws.FILTER(
            INDIRECT("'"&amp;N$62&amp;"'!A2:E1000"), (INDIRECT("'"&amp;N$62&amp;"'!B2:B1000")=$B3) * (INDIRECT("'"&amp;N$62&amp;"'!C2:C1000")=$C3)
        ),
        5,
        FALSE
    )=0,
    "",
    VLOOKUP(
        $A3,
        _xlfn._xlws.FILTER(
            INDIRECT("'"&amp;N$62&amp;"'!A2:E1000"), (INDIRECT("'"&amp;N$62&amp;"'!B2:B1000")=$B3) * (INDIRECT("'"&amp;N$62&amp;"'!C2:C1000")=$C3)
        ),
        5,
        FALSE
    )
)</f>
        <v/>
      </c>
      <c r="O3" s="75" t="str">
        <f t="array" aca="1" ref="O3" ca="1">IF(
    VLOOKUP(
        $A3,
        _xlfn._xlws.FILTER(
            INDIRECT("'"&amp;O$62&amp;"'!A2:E1000"), (INDIRECT("'"&amp;O$62&amp;"'!B2:B1000")=$B3) * (INDIRECT("'"&amp;O$62&amp;"'!C2:C1000")=$C3)
        ),
        5,
        FALSE
    )=0,
    "",
    VLOOKUP(
        $A3,
        _xlfn._xlws.FILTER(
            INDIRECT("'"&amp;O$62&amp;"'!A2:E1000"), (INDIRECT("'"&amp;O$62&amp;"'!B2:B1000")=$B3) * (INDIRECT("'"&amp;O$62&amp;"'!C2:C1000")=$C3)
        ),
        5,
        FALSE
    )
)</f>
        <v/>
      </c>
    </row>
    <row r="4" spans="1:15">
      <c r="A4" s="32" t="s">
        <v>35</v>
      </c>
      <c r="B4" s="60" t="s">
        <v>74</v>
      </c>
      <c r="C4" s="60" t="s">
        <v>77</v>
      </c>
      <c r="D4" s="75" t="str">
        <f t="array" aca="1" ref="D4" ca="1">IF(
    VLOOKUP(
        $A4,
        _xlfn._xlws.FILTER(
            INDIRECT("'"&amp;D$62&amp;"'!A2:E1000"), (INDIRECT("'"&amp;D$62&amp;"'!B2:B1000")=$B4) * (INDIRECT("'"&amp;D$62&amp;"'!C2:C1000")=$C4)
        ),
        5,
        FALSE
    )=0,
    "",
    VLOOKUP(
        $A4,
        _xlfn._xlws.FILTER(
            INDIRECT("'"&amp;D$62&amp;"'!A2:E1000"), (INDIRECT("'"&amp;D$62&amp;"'!B2:B1000")=$B4) * (INDIRECT("'"&amp;D$62&amp;"'!C2:C1000")=$C4)
        ),
        5,
        FALSE
    )
)</f>
        <v>Enviado</v>
      </c>
      <c r="E4" s="75" t="str">
        <f t="array" aca="1" ref="E4" ca="1">IF(
    VLOOKUP(
        $A4,
        _xlfn._xlws.FILTER(
            INDIRECT("'"&amp;E$62&amp;"'!A2:E1000"), (INDIRECT("'"&amp;E$62&amp;"'!B2:B1000")=$B4) * (INDIRECT("'"&amp;E$62&amp;"'!C2:C1000")=$C4)
        ),
        5,
        FALSE
    )=0,
    "",
    VLOOKUP(
        $A4,
        _xlfn._xlws.FILTER(
            INDIRECT("'"&amp;E$62&amp;"'!A2:E1000"), (INDIRECT("'"&amp;E$62&amp;"'!B2:B1000")=$B4) * (INDIRECT("'"&amp;E$62&amp;"'!C2:C1000")=$C4)
        ),
        5,
        FALSE
    )
)</f>
        <v>Enviado</v>
      </c>
      <c r="F4" s="75" t="str">
        <f t="array" aca="1" ref="F4" ca="1">IF(
    VLOOKUP(
        $A4,
        _xlfn._xlws.FILTER(
            INDIRECT("'"&amp;F$62&amp;"'!A2:E1000"), (INDIRECT("'"&amp;F$62&amp;"'!B2:B1000")=$B4) * (INDIRECT("'"&amp;F$62&amp;"'!C2:C1000")=$C4)
        ),
        5,
        FALSE
    )=0,
    "",
    VLOOKUP(
        $A4,
        _xlfn._xlws.FILTER(
            INDIRECT("'"&amp;F$62&amp;"'!A2:E1000"), (INDIRECT("'"&amp;F$62&amp;"'!B2:B1000")=$B4) * (INDIRECT("'"&amp;F$62&amp;"'!C2:C1000")=$C4)
        ),
        5,
        FALSE
    )
)</f>
        <v>Enviado</v>
      </c>
      <c r="G4" s="75" t="str">
        <f t="array" aca="1" ref="G4" ca="1">IF(
    VLOOKUP(
        $A4,
        _xlfn._xlws.FILTER(
            INDIRECT("'"&amp;G$62&amp;"'!A2:E1000"), (INDIRECT("'"&amp;G$62&amp;"'!B2:B1000")=$B4) * (INDIRECT("'"&amp;G$62&amp;"'!C2:C1000")=$C4)
        ),
        5,
        FALSE
    )=0,
    "",
    VLOOKUP(
        $A4,
        _xlfn._xlws.FILTER(
            INDIRECT("'"&amp;G$62&amp;"'!A2:E1000"), (INDIRECT("'"&amp;G$62&amp;"'!B2:B1000")=$B4) * (INDIRECT("'"&amp;G$62&amp;"'!C2:C1000")=$C4)
        ),
        5,
        FALSE
    )
)</f>
        <v>Enviado</v>
      </c>
      <c r="H4" s="75" t="str">
        <f t="array" aca="1" ref="H4" ca="1">IF(
    VLOOKUP(
        $A4,
        _xlfn._xlws.FILTER(
            INDIRECT("'"&amp;H$62&amp;"'!A2:E1000"), (INDIRECT("'"&amp;H$62&amp;"'!B2:B1000")=$B4) * (INDIRECT("'"&amp;H$62&amp;"'!C2:C1000")=$C4)
        ),
        5,
        FALSE
    )=0,
    "",
    VLOOKUP(
        $A4,
        _xlfn._xlws.FILTER(
            INDIRECT("'"&amp;H$62&amp;"'!A2:E1000"), (INDIRECT("'"&amp;H$62&amp;"'!B2:B1000")=$B4) * (INDIRECT("'"&amp;H$62&amp;"'!C2:C1000")=$C4)
        ),
        5,
        FALSE
    )
)</f>
        <v>Enviado</v>
      </c>
      <c r="I4" s="75" t="str">
        <f t="array" aca="1" ref="I4" ca="1">IF(
    VLOOKUP(
        $A4,
        _xlfn._xlws.FILTER(
            INDIRECT("'"&amp;I$62&amp;"'!A2:E1000"), (INDIRECT("'"&amp;I$62&amp;"'!B2:B1000")=$B4) * (INDIRECT("'"&amp;I$62&amp;"'!C2:C1000")=$C4)
        ),
        5,
        FALSE
    )=0,
    "",
    VLOOKUP(
        $A4,
        _xlfn._xlws.FILTER(
            INDIRECT("'"&amp;I$62&amp;"'!A2:E1000"), (INDIRECT("'"&amp;I$62&amp;"'!B2:B1000")=$B4) * (INDIRECT("'"&amp;I$62&amp;"'!C2:C1000")=$C4)
        ),
        5,
        FALSE
    )
)</f>
        <v>Enviado</v>
      </c>
      <c r="J4" s="75" t="str">
        <f t="array" aca="1" ref="J4" ca="1">IF(
    VLOOKUP(
        $A4,
        _xlfn._xlws.FILTER(
            INDIRECT("'"&amp;J$62&amp;"'!A2:E1000"), (INDIRECT("'"&amp;J$62&amp;"'!B2:B1000")=$B4) * (INDIRECT("'"&amp;J$62&amp;"'!C2:C1000")=$C4)
        ),
        5,
        FALSE
    )=0,
    "",
    VLOOKUP(
        $A4,
        _xlfn._xlws.FILTER(
            INDIRECT("'"&amp;J$62&amp;"'!A2:E1000"), (INDIRECT("'"&amp;J$62&amp;"'!B2:B1000")=$B4) * (INDIRECT("'"&amp;J$62&amp;"'!C2:C1000")=$C4)
        ),
        5,
        FALSE
    )
)</f>
        <v>Enviado</v>
      </c>
      <c r="K4" s="75" t="str">
        <f t="array" aca="1" ref="K4" ca="1">IF(
    VLOOKUP(
        $A4,
        _xlfn._xlws.FILTER(
            INDIRECT("'"&amp;K$62&amp;"'!A2:E1000"), (INDIRECT("'"&amp;K$62&amp;"'!B2:B1000")=$B4) * (INDIRECT("'"&amp;K$62&amp;"'!C2:C1000")=$C4)
        ),
        5,
        FALSE
    )=0,
    "",
    VLOOKUP(
        $A4,
        _xlfn._xlws.FILTER(
            INDIRECT("'"&amp;K$62&amp;"'!A2:E1000"), (INDIRECT("'"&amp;K$62&amp;"'!B2:B1000")=$B4) * (INDIRECT("'"&amp;K$62&amp;"'!C2:C1000")=$C4)
        ),
        5,
        FALSE
    )
)</f>
        <v>Enviado</v>
      </c>
      <c r="L4" s="75" t="str">
        <f t="array" aca="1" ref="L4" ca="1">IF(
    VLOOKUP(
        $A4,
        _xlfn._xlws.FILTER(
            INDIRECT("'"&amp;L$62&amp;"'!A2:E1000"), (INDIRECT("'"&amp;L$62&amp;"'!B2:B1000")=$B4) * (INDIRECT("'"&amp;L$62&amp;"'!C2:C1000")=$C4)
        ),
        5,
        FALSE
    )=0,
    "",
    VLOOKUP(
        $A4,
        _xlfn._xlws.FILTER(
            INDIRECT("'"&amp;L$62&amp;"'!A2:E1000"), (INDIRECT("'"&amp;L$62&amp;"'!B2:B1000")=$B4) * (INDIRECT("'"&amp;L$62&amp;"'!C2:C1000")=$C4)
        ),
        5,
        FALSE
    )
)</f>
        <v>Enviado</v>
      </c>
      <c r="M4" s="75" t="str">
        <f t="array" aca="1" ref="M4" ca="1">IF(
    VLOOKUP(
        $A4,
        _xlfn._xlws.FILTER(
            INDIRECT("'"&amp;M$62&amp;"'!A2:E1000"), (INDIRECT("'"&amp;M$62&amp;"'!B2:B1000")=$B4) * (INDIRECT("'"&amp;M$62&amp;"'!C2:C1000")=$C4)
        ),
        5,
        FALSE
    )=0,
    "",
    VLOOKUP(
        $A4,
        _xlfn._xlws.FILTER(
            INDIRECT("'"&amp;M$62&amp;"'!A2:E1000"), (INDIRECT("'"&amp;M$62&amp;"'!B2:B1000")=$B4) * (INDIRECT("'"&amp;M$62&amp;"'!C2:C1000")=$C4)
        ),
        5,
        FALSE
    )
)</f>
        <v>Enviado</v>
      </c>
      <c r="N4" s="75" t="str">
        <f t="array" aca="1" ref="N4" ca="1">IF(
    VLOOKUP(
        $A4,
        _xlfn._xlws.FILTER(
            INDIRECT("'"&amp;N$62&amp;"'!A2:E1000"), (INDIRECT("'"&amp;N$62&amp;"'!B2:B1000")=$B4) * (INDIRECT("'"&amp;N$62&amp;"'!C2:C1000")=$C4)
        ),
        5,
        FALSE
    )=0,
    "",
    VLOOKUP(
        $A4,
        _xlfn._xlws.FILTER(
            INDIRECT("'"&amp;N$62&amp;"'!A2:E1000"), (INDIRECT("'"&amp;N$62&amp;"'!B2:B1000")=$B4) * (INDIRECT("'"&amp;N$62&amp;"'!C2:C1000")=$C4)
        ),
        5,
        FALSE
    )
)</f>
        <v/>
      </c>
      <c r="O4" s="75" t="str">
        <f t="array" aca="1" ref="O4" ca="1">IF(
    VLOOKUP(
        $A4,
        _xlfn._xlws.FILTER(
            INDIRECT("'"&amp;O$62&amp;"'!A2:E1000"), (INDIRECT("'"&amp;O$62&amp;"'!B2:B1000")=$B4) * (INDIRECT("'"&amp;O$62&amp;"'!C2:C1000")=$C4)
        ),
        5,
        FALSE
    )=0,
    "",
    VLOOKUP(
        $A4,
        _xlfn._xlws.FILTER(
            INDIRECT("'"&amp;O$62&amp;"'!A2:E1000"), (INDIRECT("'"&amp;O$62&amp;"'!B2:B1000")=$B4) * (INDIRECT("'"&amp;O$62&amp;"'!C2:C1000")=$C4)
        ),
        5,
        FALSE
    )
)</f>
        <v/>
      </c>
    </row>
    <row r="5" spans="1:15">
      <c r="A5" s="32" t="s">
        <v>35</v>
      </c>
      <c r="B5" s="60" t="s">
        <v>74</v>
      </c>
      <c r="C5" s="60" t="s">
        <v>78</v>
      </c>
      <c r="D5" s="75" t="str">
        <f t="array" aca="1" ref="D5" ca="1">IF(
    VLOOKUP(
        $A5,
        _xlfn._xlws.FILTER(
            INDIRECT("'"&amp;D$62&amp;"'!A2:E1000"), (INDIRECT("'"&amp;D$62&amp;"'!B2:B1000")=$B5) * (INDIRECT("'"&amp;D$62&amp;"'!C2:C1000")=$C5)
        ),
        5,
        FALSE
    )=0,
    "",
    VLOOKUP(
        $A5,
        _xlfn._xlws.FILTER(
            INDIRECT("'"&amp;D$62&amp;"'!A2:E1000"), (INDIRECT("'"&amp;D$62&amp;"'!B2:B1000")=$B5) * (INDIRECT("'"&amp;D$62&amp;"'!C2:C1000")=$C5)
        ),
        5,
        FALSE
    )
)</f>
        <v>Enviado</v>
      </c>
      <c r="E5" s="75" t="str">
        <f t="array" aca="1" ref="E5" ca="1">IF(
    VLOOKUP(
        $A5,
        _xlfn._xlws.FILTER(
            INDIRECT("'"&amp;E$62&amp;"'!A2:E1000"), (INDIRECT("'"&amp;E$62&amp;"'!B2:B1000")=$B5) * (INDIRECT("'"&amp;E$62&amp;"'!C2:C1000")=$C5)
        ),
        5,
        FALSE
    )=0,
    "",
    VLOOKUP(
        $A5,
        _xlfn._xlws.FILTER(
            INDIRECT("'"&amp;E$62&amp;"'!A2:E1000"), (INDIRECT("'"&amp;E$62&amp;"'!B2:B1000")=$B5) * (INDIRECT("'"&amp;E$62&amp;"'!C2:C1000")=$C5)
        ),
        5,
        FALSE
    )
)</f>
        <v>Enviado</v>
      </c>
      <c r="F5" s="75" t="str">
        <f t="array" aca="1" ref="F5" ca="1">IF(
    VLOOKUP(
        $A5,
        _xlfn._xlws.FILTER(
            INDIRECT("'"&amp;F$62&amp;"'!A2:E1000"), (INDIRECT("'"&amp;F$62&amp;"'!B2:B1000")=$B5) * (INDIRECT("'"&amp;F$62&amp;"'!C2:C1000")=$C5)
        ),
        5,
        FALSE
    )=0,
    "",
    VLOOKUP(
        $A5,
        _xlfn._xlws.FILTER(
            INDIRECT("'"&amp;F$62&amp;"'!A2:E1000"), (INDIRECT("'"&amp;F$62&amp;"'!B2:B1000")=$B5) * (INDIRECT("'"&amp;F$62&amp;"'!C2:C1000")=$C5)
        ),
        5,
        FALSE
    )
)</f>
        <v>Enviado</v>
      </c>
      <c r="G5" s="75" t="str">
        <f t="array" aca="1" ref="G5" ca="1">IF(
    VLOOKUP(
        $A5,
        _xlfn._xlws.FILTER(
            INDIRECT("'"&amp;G$62&amp;"'!A2:E1000"), (INDIRECT("'"&amp;G$62&amp;"'!B2:B1000")=$B5) * (INDIRECT("'"&amp;G$62&amp;"'!C2:C1000")=$C5)
        ),
        5,
        FALSE
    )=0,
    "",
    VLOOKUP(
        $A5,
        _xlfn._xlws.FILTER(
            INDIRECT("'"&amp;G$62&amp;"'!A2:E1000"), (INDIRECT("'"&amp;G$62&amp;"'!B2:B1000")=$B5) * (INDIRECT("'"&amp;G$62&amp;"'!C2:C1000")=$C5)
        ),
        5,
        FALSE
    )
)</f>
        <v>Enviado</v>
      </c>
      <c r="H5" s="75" t="str">
        <f t="array" aca="1" ref="H5" ca="1">IF(
    VLOOKUP(
        $A5,
        _xlfn._xlws.FILTER(
            INDIRECT("'"&amp;H$62&amp;"'!A2:E1000"), (INDIRECT("'"&amp;H$62&amp;"'!B2:B1000")=$B5) * (INDIRECT("'"&amp;H$62&amp;"'!C2:C1000")=$C5)
        ),
        5,
        FALSE
    )=0,
    "",
    VLOOKUP(
        $A5,
        _xlfn._xlws.FILTER(
            INDIRECT("'"&amp;H$62&amp;"'!A2:E1000"), (INDIRECT("'"&amp;H$62&amp;"'!B2:B1000")=$B5) * (INDIRECT("'"&amp;H$62&amp;"'!C2:C1000")=$C5)
        ),
        5,
        FALSE
    )
)</f>
        <v>Enviado</v>
      </c>
      <c r="I5" s="75" t="str">
        <f t="array" aca="1" ref="I5" ca="1">IF(
    VLOOKUP(
        $A5,
        _xlfn._xlws.FILTER(
            INDIRECT("'"&amp;I$62&amp;"'!A2:E1000"), (INDIRECT("'"&amp;I$62&amp;"'!B2:B1000")=$B5) * (INDIRECT("'"&amp;I$62&amp;"'!C2:C1000")=$C5)
        ),
        5,
        FALSE
    )=0,
    "",
    VLOOKUP(
        $A5,
        _xlfn._xlws.FILTER(
            INDIRECT("'"&amp;I$62&amp;"'!A2:E1000"), (INDIRECT("'"&amp;I$62&amp;"'!B2:B1000")=$B5) * (INDIRECT("'"&amp;I$62&amp;"'!C2:C1000")=$C5)
        ),
        5,
        FALSE
    )
)</f>
        <v>Enviado</v>
      </c>
      <c r="J5" s="75" t="str">
        <f t="array" aca="1" ref="J5" ca="1">IF(
    VLOOKUP(
        $A5,
        _xlfn._xlws.FILTER(
            INDIRECT("'"&amp;J$62&amp;"'!A2:E1000"), (INDIRECT("'"&amp;J$62&amp;"'!B2:B1000")=$B5) * (INDIRECT("'"&amp;J$62&amp;"'!C2:C1000")=$C5)
        ),
        5,
        FALSE
    )=0,
    "",
    VLOOKUP(
        $A5,
        _xlfn._xlws.FILTER(
            INDIRECT("'"&amp;J$62&amp;"'!A2:E1000"), (INDIRECT("'"&amp;J$62&amp;"'!B2:B1000")=$B5) * (INDIRECT("'"&amp;J$62&amp;"'!C2:C1000")=$C5)
        ),
        5,
        FALSE
    )
)</f>
        <v>Enviado</v>
      </c>
      <c r="K5" s="75" t="str">
        <f t="array" aca="1" ref="K5" ca="1">IF(
    VLOOKUP(
        $A5,
        _xlfn._xlws.FILTER(
            INDIRECT("'"&amp;K$62&amp;"'!A2:E1000"), (INDIRECT("'"&amp;K$62&amp;"'!B2:B1000")=$B5) * (INDIRECT("'"&amp;K$62&amp;"'!C2:C1000")=$C5)
        ),
        5,
        FALSE
    )=0,
    "",
    VLOOKUP(
        $A5,
        _xlfn._xlws.FILTER(
            INDIRECT("'"&amp;K$62&amp;"'!A2:E1000"), (INDIRECT("'"&amp;K$62&amp;"'!B2:B1000")=$B5) * (INDIRECT("'"&amp;K$62&amp;"'!C2:C1000")=$C5)
        ),
        5,
        FALSE
    )
)</f>
        <v>Enviado</v>
      </c>
      <c r="L5" s="75" t="str">
        <f t="array" aca="1" ref="L5" ca="1">IF(
    VLOOKUP(
        $A5,
        _xlfn._xlws.FILTER(
            INDIRECT("'"&amp;L$62&amp;"'!A2:E1000"), (INDIRECT("'"&amp;L$62&amp;"'!B2:B1000")=$B5) * (INDIRECT("'"&amp;L$62&amp;"'!C2:C1000")=$C5)
        ),
        5,
        FALSE
    )=0,
    "",
    VLOOKUP(
        $A5,
        _xlfn._xlws.FILTER(
            INDIRECT("'"&amp;L$62&amp;"'!A2:E1000"), (INDIRECT("'"&amp;L$62&amp;"'!B2:B1000")=$B5) * (INDIRECT("'"&amp;L$62&amp;"'!C2:C1000")=$C5)
        ),
        5,
        FALSE
    )
)</f>
        <v>Enviado</v>
      </c>
      <c r="M5" s="75" t="str">
        <f t="array" aca="1" ref="M5" ca="1">IF(
    VLOOKUP(
        $A5,
        _xlfn._xlws.FILTER(
            INDIRECT("'"&amp;M$62&amp;"'!A2:E1000"), (INDIRECT("'"&amp;M$62&amp;"'!B2:B1000")=$B5) * (INDIRECT("'"&amp;M$62&amp;"'!C2:C1000")=$C5)
        ),
        5,
        FALSE
    )=0,
    "",
    VLOOKUP(
        $A5,
        _xlfn._xlws.FILTER(
            INDIRECT("'"&amp;M$62&amp;"'!A2:E1000"), (INDIRECT("'"&amp;M$62&amp;"'!B2:B1000")=$B5) * (INDIRECT("'"&amp;M$62&amp;"'!C2:C1000")=$C5)
        ),
        5,
        FALSE
    )
)</f>
        <v>Enviado</v>
      </c>
      <c r="N5" s="75" t="str">
        <f t="array" aca="1" ref="N5" ca="1">IF(
    VLOOKUP(
        $A5,
        _xlfn._xlws.FILTER(
            INDIRECT("'"&amp;N$62&amp;"'!A2:E1000"), (INDIRECT("'"&amp;N$62&amp;"'!B2:B1000")=$B5) * (INDIRECT("'"&amp;N$62&amp;"'!C2:C1000")=$C5)
        ),
        5,
        FALSE
    )=0,
    "",
    VLOOKUP(
        $A5,
        _xlfn._xlws.FILTER(
            INDIRECT("'"&amp;N$62&amp;"'!A2:E1000"), (INDIRECT("'"&amp;N$62&amp;"'!B2:B1000")=$B5) * (INDIRECT("'"&amp;N$62&amp;"'!C2:C1000")=$C5)
        ),
        5,
        FALSE
    )
)</f>
        <v/>
      </c>
      <c r="O5" s="75" t="str">
        <f t="array" aca="1" ref="O5" ca="1">IF(
    VLOOKUP(
        $A5,
        _xlfn._xlws.FILTER(
            INDIRECT("'"&amp;O$62&amp;"'!A2:E1000"), (INDIRECT("'"&amp;O$62&amp;"'!B2:B1000")=$B5) * (INDIRECT("'"&amp;O$62&amp;"'!C2:C1000")=$C5)
        ),
        5,
        FALSE
    )=0,
    "",
    VLOOKUP(
        $A5,
        _xlfn._xlws.FILTER(
            INDIRECT("'"&amp;O$62&amp;"'!A2:E1000"), (INDIRECT("'"&amp;O$62&amp;"'!B2:B1000")=$B5) * (INDIRECT("'"&amp;O$62&amp;"'!C2:C1000")=$C5)
        ),
        5,
        FALSE
    )
)</f>
        <v/>
      </c>
    </row>
    <row r="6" spans="1:15">
      <c r="A6" s="32" t="s">
        <v>35</v>
      </c>
      <c r="B6" s="60" t="s">
        <v>74</v>
      </c>
      <c r="C6" s="60" t="s">
        <v>79</v>
      </c>
      <c r="D6" s="75" t="str">
        <f t="array" aca="1" ref="D6" ca="1">IF(
    VLOOKUP(
        $A6,
        _xlfn._xlws.FILTER(
            INDIRECT("'"&amp;D$62&amp;"'!A2:E1000"), (INDIRECT("'"&amp;D$62&amp;"'!B2:B1000")=$B6) * (INDIRECT("'"&amp;D$62&amp;"'!C2:C1000")=$C6)
        ),
        5,
        FALSE
    )=0,
    "",
    VLOOKUP(
        $A6,
        _xlfn._xlws.FILTER(
            INDIRECT("'"&amp;D$62&amp;"'!A2:E1000"), (INDIRECT("'"&amp;D$62&amp;"'!B2:B1000")=$B6) * (INDIRECT("'"&amp;D$62&amp;"'!C2:C1000")=$C6)
        ),
        5,
        FALSE
    )
)</f>
        <v>Enviado</v>
      </c>
      <c r="E6" s="75" t="str">
        <f t="array" aca="1" ref="E6" ca="1">IF(
    VLOOKUP(
        $A6,
        _xlfn._xlws.FILTER(
            INDIRECT("'"&amp;E$62&amp;"'!A2:E1000"), (INDIRECT("'"&amp;E$62&amp;"'!B2:B1000")=$B6) * (INDIRECT("'"&amp;E$62&amp;"'!C2:C1000")=$C6)
        ),
        5,
        FALSE
    )=0,
    "",
    VLOOKUP(
        $A6,
        _xlfn._xlws.FILTER(
            INDIRECT("'"&amp;E$62&amp;"'!A2:E1000"), (INDIRECT("'"&amp;E$62&amp;"'!B2:B1000")=$B6) * (INDIRECT("'"&amp;E$62&amp;"'!C2:C1000")=$C6)
        ),
        5,
        FALSE
    )
)</f>
        <v>Enviado</v>
      </c>
      <c r="F6" s="75" t="str">
        <f t="array" aca="1" ref="F6" ca="1">IF(
    VLOOKUP(
        $A6,
        _xlfn._xlws.FILTER(
            INDIRECT("'"&amp;F$62&amp;"'!A2:E1000"), (INDIRECT("'"&amp;F$62&amp;"'!B2:B1000")=$B6) * (INDIRECT("'"&amp;F$62&amp;"'!C2:C1000")=$C6)
        ),
        5,
        FALSE
    )=0,
    "",
    VLOOKUP(
        $A6,
        _xlfn._xlws.FILTER(
            INDIRECT("'"&amp;F$62&amp;"'!A2:E1000"), (INDIRECT("'"&amp;F$62&amp;"'!B2:B1000")=$B6) * (INDIRECT("'"&amp;F$62&amp;"'!C2:C1000")=$C6)
        ),
        5,
        FALSE
    )
)</f>
        <v>Enviado</v>
      </c>
      <c r="G6" s="75" t="str">
        <f t="array" aca="1" ref="G6" ca="1">IF(
    VLOOKUP(
        $A6,
        _xlfn._xlws.FILTER(
            INDIRECT("'"&amp;G$62&amp;"'!A2:E1000"), (INDIRECT("'"&amp;G$62&amp;"'!B2:B1000")=$B6) * (INDIRECT("'"&amp;G$62&amp;"'!C2:C1000")=$C6)
        ),
        5,
        FALSE
    )=0,
    "",
    VLOOKUP(
        $A6,
        _xlfn._xlws.FILTER(
            INDIRECT("'"&amp;G$62&amp;"'!A2:E1000"), (INDIRECT("'"&amp;G$62&amp;"'!B2:B1000")=$B6) * (INDIRECT("'"&amp;G$62&amp;"'!C2:C1000")=$C6)
        ),
        5,
        FALSE
    )
)</f>
        <v>Enviado</v>
      </c>
      <c r="H6" s="75" t="str">
        <f t="array" aca="1" ref="H6" ca="1">IF(
    VLOOKUP(
        $A6,
        _xlfn._xlws.FILTER(
            INDIRECT("'"&amp;H$62&amp;"'!A2:E1000"), (INDIRECT("'"&amp;H$62&amp;"'!B2:B1000")=$B6) * (INDIRECT("'"&amp;H$62&amp;"'!C2:C1000")=$C6)
        ),
        5,
        FALSE
    )=0,
    "",
    VLOOKUP(
        $A6,
        _xlfn._xlws.FILTER(
            INDIRECT("'"&amp;H$62&amp;"'!A2:E1000"), (INDIRECT("'"&amp;H$62&amp;"'!B2:B1000")=$B6) * (INDIRECT("'"&amp;H$62&amp;"'!C2:C1000")=$C6)
        ),
        5,
        FALSE
    )
)</f>
        <v>Enviado</v>
      </c>
      <c r="I6" s="75" t="str">
        <f t="array" aca="1" ref="I6" ca="1">IF(
    VLOOKUP(
        $A6,
        _xlfn._xlws.FILTER(
            INDIRECT("'"&amp;I$62&amp;"'!A2:E1000"), (INDIRECT("'"&amp;I$62&amp;"'!B2:B1000")=$B6) * (INDIRECT("'"&amp;I$62&amp;"'!C2:C1000")=$C6)
        ),
        5,
        FALSE
    )=0,
    "",
    VLOOKUP(
        $A6,
        _xlfn._xlws.FILTER(
            INDIRECT("'"&amp;I$62&amp;"'!A2:E1000"), (INDIRECT("'"&amp;I$62&amp;"'!B2:B1000")=$B6) * (INDIRECT("'"&amp;I$62&amp;"'!C2:C1000")=$C6)
        ),
        5,
        FALSE
    )
)</f>
        <v>Enviado</v>
      </c>
      <c r="J6" s="75" t="str">
        <f t="array" aca="1" ref="J6" ca="1">IF(
    VLOOKUP(
        $A6,
        _xlfn._xlws.FILTER(
            INDIRECT("'"&amp;J$62&amp;"'!A2:E1000"), (INDIRECT("'"&amp;J$62&amp;"'!B2:B1000")=$B6) * (INDIRECT("'"&amp;J$62&amp;"'!C2:C1000")=$C6)
        ),
        5,
        FALSE
    )=0,
    "",
    VLOOKUP(
        $A6,
        _xlfn._xlws.FILTER(
            INDIRECT("'"&amp;J$62&amp;"'!A2:E1000"), (INDIRECT("'"&amp;J$62&amp;"'!B2:B1000")=$B6) * (INDIRECT("'"&amp;J$62&amp;"'!C2:C1000")=$C6)
        ),
        5,
        FALSE
    )
)</f>
        <v>Enviado</v>
      </c>
      <c r="K6" s="75" t="str">
        <f t="array" aca="1" ref="K6" ca="1">IF(
    VLOOKUP(
        $A6,
        _xlfn._xlws.FILTER(
            INDIRECT("'"&amp;K$62&amp;"'!A2:E1000"), (INDIRECT("'"&amp;K$62&amp;"'!B2:B1000")=$B6) * (INDIRECT("'"&amp;K$62&amp;"'!C2:C1000")=$C6)
        ),
        5,
        FALSE
    )=0,
    "",
    VLOOKUP(
        $A6,
        _xlfn._xlws.FILTER(
            INDIRECT("'"&amp;K$62&amp;"'!A2:E1000"), (INDIRECT("'"&amp;K$62&amp;"'!B2:B1000")=$B6) * (INDIRECT("'"&amp;K$62&amp;"'!C2:C1000")=$C6)
        ),
        5,
        FALSE
    )
)</f>
        <v>Enviado</v>
      </c>
      <c r="L6" s="75" t="str">
        <f t="array" aca="1" ref="L6" ca="1">IF(
    VLOOKUP(
        $A6,
        _xlfn._xlws.FILTER(
            INDIRECT("'"&amp;L$62&amp;"'!A2:E1000"), (INDIRECT("'"&amp;L$62&amp;"'!B2:B1000")=$B6) * (INDIRECT("'"&amp;L$62&amp;"'!C2:C1000")=$C6)
        ),
        5,
        FALSE
    )=0,
    "",
    VLOOKUP(
        $A6,
        _xlfn._xlws.FILTER(
            INDIRECT("'"&amp;L$62&amp;"'!A2:E1000"), (INDIRECT("'"&amp;L$62&amp;"'!B2:B1000")=$B6) * (INDIRECT("'"&amp;L$62&amp;"'!C2:C1000")=$C6)
        ),
        5,
        FALSE
    )
)</f>
        <v>Enviado</v>
      </c>
      <c r="M6" s="75" t="str">
        <f t="array" aca="1" ref="M6" ca="1">IF(
    VLOOKUP(
        $A6,
        _xlfn._xlws.FILTER(
            INDIRECT("'"&amp;M$62&amp;"'!A2:E1000"), (INDIRECT("'"&amp;M$62&amp;"'!B2:B1000")=$B6) * (INDIRECT("'"&amp;M$62&amp;"'!C2:C1000")=$C6)
        ),
        5,
        FALSE
    )=0,
    "",
    VLOOKUP(
        $A6,
        _xlfn._xlws.FILTER(
            INDIRECT("'"&amp;M$62&amp;"'!A2:E1000"), (INDIRECT("'"&amp;M$62&amp;"'!B2:B1000")=$B6) * (INDIRECT("'"&amp;M$62&amp;"'!C2:C1000")=$C6)
        ),
        5,
        FALSE
    )
)</f>
        <v>Enviado</v>
      </c>
      <c r="N6" s="75" t="str">
        <f t="array" aca="1" ref="N6" ca="1">IF(
    VLOOKUP(
        $A6,
        _xlfn._xlws.FILTER(
            INDIRECT("'"&amp;N$62&amp;"'!A2:E1000"), (INDIRECT("'"&amp;N$62&amp;"'!B2:B1000")=$B6) * (INDIRECT("'"&amp;N$62&amp;"'!C2:C1000")=$C6)
        ),
        5,
        FALSE
    )=0,
    "",
    VLOOKUP(
        $A6,
        _xlfn._xlws.FILTER(
            INDIRECT("'"&amp;N$62&amp;"'!A2:E1000"), (INDIRECT("'"&amp;N$62&amp;"'!B2:B1000")=$B6) * (INDIRECT("'"&amp;N$62&amp;"'!C2:C1000")=$C6)
        ),
        5,
        FALSE
    )
)</f>
        <v/>
      </c>
      <c r="O6" s="75" t="str">
        <f t="array" aca="1" ref="O6" ca="1">IF(
    VLOOKUP(
        $A6,
        _xlfn._xlws.FILTER(
            INDIRECT("'"&amp;O$62&amp;"'!A2:E1000"), (INDIRECT("'"&amp;O$62&amp;"'!B2:B1000")=$B6) * (INDIRECT("'"&amp;O$62&amp;"'!C2:C1000")=$C6)
        ),
        5,
        FALSE
    )=0,
    "",
    VLOOKUP(
        $A6,
        _xlfn._xlws.FILTER(
            INDIRECT("'"&amp;O$62&amp;"'!A2:E1000"), (INDIRECT("'"&amp;O$62&amp;"'!B2:B1000")=$B6) * (INDIRECT("'"&amp;O$62&amp;"'!C2:C1000")=$C6)
        ),
        5,
        FALSE
    )
)</f>
        <v/>
      </c>
    </row>
    <row r="7" spans="1:15">
      <c r="A7" s="32" t="s">
        <v>35</v>
      </c>
      <c r="B7" s="60" t="s">
        <v>80</v>
      </c>
      <c r="C7" s="60" t="s">
        <v>75</v>
      </c>
      <c r="D7" s="75" t="str">
        <f t="array" aca="1" ref="D7" ca="1">IF(
    VLOOKUP(
        $A7,
        _xlfn._xlws.FILTER(
            INDIRECT("'"&amp;D$62&amp;"'!A2:E1000"), (INDIRECT("'"&amp;D$62&amp;"'!B2:B1000")=$B7) * (INDIRECT("'"&amp;D$62&amp;"'!C2:C1000")=$C7)
        ),
        5,
        FALSE
    )=0,
    "",
    VLOOKUP(
        $A7,
        _xlfn._xlws.FILTER(
            INDIRECT("'"&amp;D$62&amp;"'!A2:E1000"), (INDIRECT("'"&amp;D$62&amp;"'!B2:B1000")=$B7) * (INDIRECT("'"&amp;D$62&amp;"'!C2:C1000")=$C7)
        ),
        5,
        FALSE
    )
)</f>
        <v>Enviado</v>
      </c>
      <c r="E7" s="75" t="str">
        <f t="array" aca="1" ref="E7" ca="1">IF(
    VLOOKUP(
        $A7,
        _xlfn._xlws.FILTER(
            INDIRECT("'"&amp;E$62&amp;"'!A2:E1000"), (INDIRECT("'"&amp;E$62&amp;"'!B2:B1000")=$B7) * (INDIRECT("'"&amp;E$62&amp;"'!C2:C1000")=$C7)
        ),
        5,
        FALSE
    )=0,
    "",
    VLOOKUP(
        $A7,
        _xlfn._xlws.FILTER(
            INDIRECT("'"&amp;E$62&amp;"'!A2:E1000"), (INDIRECT("'"&amp;E$62&amp;"'!B2:B1000")=$B7) * (INDIRECT("'"&amp;E$62&amp;"'!C2:C1000")=$C7)
        ),
        5,
        FALSE
    )
)</f>
        <v>Enviado</v>
      </c>
      <c r="F7" s="75" t="str">
        <f t="array" aca="1" ref="F7" ca="1">IF(
    VLOOKUP(
        $A7,
        _xlfn._xlws.FILTER(
            INDIRECT("'"&amp;F$62&amp;"'!A2:E1000"), (INDIRECT("'"&amp;F$62&amp;"'!B2:B1000")=$B7) * (INDIRECT("'"&amp;F$62&amp;"'!C2:C1000")=$C7)
        ),
        5,
        FALSE
    )=0,
    "",
    VLOOKUP(
        $A7,
        _xlfn._xlws.FILTER(
            INDIRECT("'"&amp;F$62&amp;"'!A2:E1000"), (INDIRECT("'"&amp;F$62&amp;"'!B2:B1000")=$B7) * (INDIRECT("'"&amp;F$62&amp;"'!C2:C1000")=$C7)
        ),
        5,
        FALSE
    )
)</f>
        <v>Enviado</v>
      </c>
      <c r="G7" s="75" t="str">
        <f t="array" aca="1" ref="G7" ca="1">IF(
    VLOOKUP(
        $A7,
        _xlfn._xlws.FILTER(
            INDIRECT("'"&amp;G$62&amp;"'!A2:E1000"), (INDIRECT("'"&amp;G$62&amp;"'!B2:B1000")=$B7) * (INDIRECT("'"&amp;G$62&amp;"'!C2:C1000")=$C7)
        ),
        5,
        FALSE
    )=0,
    "",
    VLOOKUP(
        $A7,
        _xlfn._xlws.FILTER(
            INDIRECT("'"&amp;G$62&amp;"'!A2:E1000"), (INDIRECT("'"&amp;G$62&amp;"'!B2:B1000")=$B7) * (INDIRECT("'"&amp;G$62&amp;"'!C2:C1000")=$C7)
        ),
        5,
        FALSE
    )
)</f>
        <v>Enviado</v>
      </c>
      <c r="H7" s="75" t="str">
        <f t="array" aca="1" ref="H7" ca="1">IF(
    VLOOKUP(
        $A7,
        _xlfn._xlws.FILTER(
            INDIRECT("'"&amp;H$62&amp;"'!A2:E1000"), (INDIRECT("'"&amp;H$62&amp;"'!B2:B1000")=$B7) * (INDIRECT("'"&amp;H$62&amp;"'!C2:C1000")=$C7)
        ),
        5,
        FALSE
    )=0,
    "",
    VLOOKUP(
        $A7,
        _xlfn._xlws.FILTER(
            INDIRECT("'"&amp;H$62&amp;"'!A2:E1000"), (INDIRECT("'"&amp;H$62&amp;"'!B2:B1000")=$B7) * (INDIRECT("'"&amp;H$62&amp;"'!C2:C1000")=$C7)
        ),
        5,
        FALSE
    )
)</f>
        <v>Enviado</v>
      </c>
      <c r="I7" s="75" t="str">
        <f t="array" aca="1" ref="I7" ca="1">IF(
    VLOOKUP(
        $A7,
        _xlfn._xlws.FILTER(
            INDIRECT("'"&amp;I$62&amp;"'!A2:E1000"), (INDIRECT("'"&amp;I$62&amp;"'!B2:B1000")=$B7) * (INDIRECT("'"&amp;I$62&amp;"'!C2:C1000")=$C7)
        ),
        5,
        FALSE
    )=0,
    "",
    VLOOKUP(
        $A7,
        _xlfn._xlws.FILTER(
            INDIRECT("'"&amp;I$62&amp;"'!A2:E1000"), (INDIRECT("'"&amp;I$62&amp;"'!B2:B1000")=$B7) * (INDIRECT("'"&amp;I$62&amp;"'!C2:C1000")=$C7)
        ),
        5,
        FALSE
    )
)</f>
        <v>Enviado</v>
      </c>
      <c r="J7" s="75" t="str">
        <f t="array" aca="1" ref="J7" ca="1">IF(
    VLOOKUP(
        $A7,
        _xlfn._xlws.FILTER(
            INDIRECT("'"&amp;J$62&amp;"'!A2:E1000"), (INDIRECT("'"&amp;J$62&amp;"'!B2:B1000")=$B7) * (INDIRECT("'"&amp;J$62&amp;"'!C2:C1000")=$C7)
        ),
        5,
        FALSE
    )=0,
    "",
    VLOOKUP(
        $A7,
        _xlfn._xlws.FILTER(
            INDIRECT("'"&amp;J$62&amp;"'!A2:E1000"), (INDIRECT("'"&amp;J$62&amp;"'!B2:B1000")=$B7) * (INDIRECT("'"&amp;J$62&amp;"'!C2:C1000")=$C7)
        ),
        5,
        FALSE
    )
)</f>
        <v>Enviado</v>
      </c>
      <c r="K7" s="75" t="str">
        <f t="array" aca="1" ref="K7" ca="1">IF(
    VLOOKUP(
        $A7,
        _xlfn._xlws.FILTER(
            INDIRECT("'"&amp;K$62&amp;"'!A2:E1000"), (INDIRECT("'"&amp;K$62&amp;"'!B2:B1000")=$B7) * (INDIRECT("'"&amp;K$62&amp;"'!C2:C1000")=$C7)
        ),
        5,
        FALSE
    )=0,
    "",
    VLOOKUP(
        $A7,
        _xlfn._xlws.FILTER(
            INDIRECT("'"&amp;K$62&amp;"'!A2:E1000"), (INDIRECT("'"&amp;K$62&amp;"'!B2:B1000")=$B7) * (INDIRECT("'"&amp;K$62&amp;"'!C2:C1000")=$C7)
        ),
        5,
        FALSE
    )
)</f>
        <v>Enviado</v>
      </c>
      <c r="L7" s="75" t="str">
        <f t="array" aca="1" ref="L7" ca="1">IF(
    VLOOKUP(
        $A7,
        _xlfn._xlws.FILTER(
            INDIRECT("'"&amp;L$62&amp;"'!A2:E1000"), (INDIRECT("'"&amp;L$62&amp;"'!B2:B1000")=$B7) * (INDIRECT("'"&amp;L$62&amp;"'!C2:C1000")=$C7)
        ),
        5,
        FALSE
    )=0,
    "",
    VLOOKUP(
        $A7,
        _xlfn._xlws.FILTER(
            INDIRECT("'"&amp;L$62&amp;"'!A2:E1000"), (INDIRECT("'"&amp;L$62&amp;"'!B2:B1000")=$B7) * (INDIRECT("'"&amp;L$62&amp;"'!C2:C1000")=$C7)
        ),
        5,
        FALSE
    )
)</f>
        <v>Enviado</v>
      </c>
      <c r="M7" s="75" t="str">
        <f t="array" aca="1" ref="M7" ca="1">IF(
    VLOOKUP(
        $A7,
        _xlfn._xlws.FILTER(
            INDIRECT("'"&amp;M$62&amp;"'!A2:E1000"), (INDIRECT("'"&amp;M$62&amp;"'!B2:B1000")=$B7) * (INDIRECT("'"&amp;M$62&amp;"'!C2:C1000")=$C7)
        ),
        5,
        FALSE
    )=0,
    "",
    VLOOKUP(
        $A7,
        _xlfn._xlws.FILTER(
            INDIRECT("'"&amp;M$62&amp;"'!A2:E1000"), (INDIRECT("'"&amp;M$62&amp;"'!B2:B1000")=$B7) * (INDIRECT("'"&amp;M$62&amp;"'!C2:C1000")=$C7)
        ),
        5,
        FALSE
    )
)</f>
        <v>Enviado</v>
      </c>
      <c r="N7" s="75" t="str">
        <f t="array" aca="1" ref="N7" ca="1">IF(
    VLOOKUP(
        $A7,
        _xlfn._xlws.FILTER(
            INDIRECT("'"&amp;N$62&amp;"'!A2:E1000"), (INDIRECT("'"&amp;N$62&amp;"'!B2:B1000")=$B7) * (INDIRECT("'"&amp;N$62&amp;"'!C2:C1000")=$C7)
        ),
        5,
        FALSE
    )=0,
    "",
    VLOOKUP(
        $A7,
        _xlfn._xlws.FILTER(
            INDIRECT("'"&amp;N$62&amp;"'!A2:E1000"), (INDIRECT("'"&amp;N$62&amp;"'!B2:B1000")=$B7) * (INDIRECT("'"&amp;N$62&amp;"'!C2:C1000")=$C7)
        ),
        5,
        FALSE
    )
)</f>
        <v/>
      </c>
      <c r="O7" s="75" t="str">
        <f t="array" aca="1" ref="O7" ca="1">IF(
    VLOOKUP(
        $A7,
        _xlfn._xlws.FILTER(
            INDIRECT("'"&amp;O$62&amp;"'!A2:E1000"), (INDIRECT("'"&amp;O$62&amp;"'!B2:B1000")=$B7) * (INDIRECT("'"&amp;O$62&amp;"'!C2:C1000")=$C7)
        ),
        5,
        FALSE
    )=0,
    "",
    VLOOKUP(
        $A7,
        _xlfn._xlws.FILTER(
            INDIRECT("'"&amp;O$62&amp;"'!A2:E1000"), (INDIRECT("'"&amp;O$62&amp;"'!B2:B1000")=$B7) * (INDIRECT("'"&amp;O$62&amp;"'!C2:C1000")=$C7)
        ),
        5,
        FALSE
    )
)</f>
        <v/>
      </c>
    </row>
    <row r="8" spans="1:15">
      <c r="A8" s="32" t="s">
        <v>35</v>
      </c>
      <c r="B8" s="60" t="s">
        <v>81</v>
      </c>
      <c r="C8" s="60" t="s">
        <v>75</v>
      </c>
      <c r="D8" s="75" t="str">
        <f t="array" aca="1" ref="D8" ca="1">IF(
    VLOOKUP(
        $A8,
        _xlfn._xlws.FILTER(
            INDIRECT("'"&amp;D$62&amp;"'!A2:E1000"), (INDIRECT("'"&amp;D$62&amp;"'!B2:B1000")=$B8) * (INDIRECT("'"&amp;D$62&amp;"'!C2:C1000")=$C8)
        ),
        5,
        FALSE
    )=0,
    "",
    VLOOKUP(
        $A8,
        _xlfn._xlws.FILTER(
            INDIRECT("'"&amp;D$62&amp;"'!A2:E1000"), (INDIRECT("'"&amp;D$62&amp;"'!B2:B1000")=$B8) * (INDIRECT("'"&amp;D$62&amp;"'!C2:C1000")=$C8)
        ),
        5,
        FALSE
    )
)</f>
        <v>Enviado</v>
      </c>
      <c r="E8" s="75" t="str">
        <f t="array" aca="1" ref="E8" ca="1">IF(
    VLOOKUP(
        $A8,
        _xlfn._xlws.FILTER(
            INDIRECT("'"&amp;E$62&amp;"'!A2:E1000"), (INDIRECT("'"&amp;E$62&amp;"'!B2:B1000")=$B8) * (INDIRECT("'"&amp;E$62&amp;"'!C2:C1000")=$C8)
        ),
        5,
        FALSE
    )=0,
    "",
    VLOOKUP(
        $A8,
        _xlfn._xlws.FILTER(
            INDIRECT("'"&amp;E$62&amp;"'!A2:E1000"), (INDIRECT("'"&amp;E$62&amp;"'!B2:B1000")=$B8) * (INDIRECT("'"&amp;E$62&amp;"'!C2:C1000")=$C8)
        ),
        5,
        FALSE
    )
)</f>
        <v>Enviado</v>
      </c>
      <c r="F8" s="75" t="str">
        <f t="array" aca="1" ref="F8" ca="1">IF(
    VLOOKUP(
        $A8,
        _xlfn._xlws.FILTER(
            INDIRECT("'"&amp;F$62&amp;"'!A2:E1000"), (INDIRECT("'"&amp;F$62&amp;"'!B2:B1000")=$B8) * (INDIRECT("'"&amp;F$62&amp;"'!C2:C1000")=$C8)
        ),
        5,
        FALSE
    )=0,
    "",
    VLOOKUP(
        $A8,
        _xlfn._xlws.FILTER(
            INDIRECT("'"&amp;F$62&amp;"'!A2:E1000"), (INDIRECT("'"&amp;F$62&amp;"'!B2:B1000")=$B8) * (INDIRECT("'"&amp;F$62&amp;"'!C2:C1000")=$C8)
        ),
        5,
        FALSE
    )
)</f>
        <v>Enviado</v>
      </c>
      <c r="G8" s="75" t="str">
        <f t="array" aca="1" ref="G8" ca="1">IF(
    VLOOKUP(
        $A8,
        _xlfn._xlws.FILTER(
            INDIRECT("'"&amp;G$62&amp;"'!A2:E1000"), (INDIRECT("'"&amp;G$62&amp;"'!B2:B1000")=$B8) * (INDIRECT("'"&amp;G$62&amp;"'!C2:C1000")=$C8)
        ),
        5,
        FALSE
    )=0,
    "",
    VLOOKUP(
        $A8,
        _xlfn._xlws.FILTER(
            INDIRECT("'"&amp;G$62&amp;"'!A2:E1000"), (INDIRECT("'"&amp;G$62&amp;"'!B2:B1000")=$B8) * (INDIRECT("'"&amp;G$62&amp;"'!C2:C1000")=$C8)
        ),
        5,
        FALSE
    )
)</f>
        <v>Enviado</v>
      </c>
      <c r="H8" s="75" t="str">
        <f t="array" aca="1" ref="H8" ca="1">IF(
    VLOOKUP(
        $A8,
        _xlfn._xlws.FILTER(
            INDIRECT("'"&amp;H$62&amp;"'!A2:E1000"), (INDIRECT("'"&amp;H$62&amp;"'!B2:B1000")=$B8) * (INDIRECT("'"&amp;H$62&amp;"'!C2:C1000")=$C8)
        ),
        5,
        FALSE
    )=0,
    "",
    VLOOKUP(
        $A8,
        _xlfn._xlws.FILTER(
            INDIRECT("'"&amp;H$62&amp;"'!A2:E1000"), (INDIRECT("'"&amp;H$62&amp;"'!B2:B1000")=$B8) * (INDIRECT("'"&amp;H$62&amp;"'!C2:C1000")=$C8)
        ),
        5,
        FALSE
    )
)</f>
        <v>Enviado</v>
      </c>
      <c r="I8" s="75" t="str">
        <f t="array" aca="1" ref="I8" ca="1">IF(
    VLOOKUP(
        $A8,
        _xlfn._xlws.FILTER(
            INDIRECT("'"&amp;I$62&amp;"'!A2:E1000"), (INDIRECT("'"&amp;I$62&amp;"'!B2:B1000")=$B8) * (INDIRECT("'"&amp;I$62&amp;"'!C2:C1000")=$C8)
        ),
        5,
        FALSE
    )=0,
    "",
    VLOOKUP(
        $A8,
        _xlfn._xlws.FILTER(
            INDIRECT("'"&amp;I$62&amp;"'!A2:E1000"), (INDIRECT("'"&amp;I$62&amp;"'!B2:B1000")=$B8) * (INDIRECT("'"&amp;I$62&amp;"'!C2:C1000")=$C8)
        ),
        5,
        FALSE
    )
)</f>
        <v>Enviado</v>
      </c>
      <c r="J8" s="75" t="str">
        <f t="array" aca="1" ref="J8" ca="1">IF(
    VLOOKUP(
        $A8,
        _xlfn._xlws.FILTER(
            INDIRECT("'"&amp;J$62&amp;"'!A2:E1000"), (INDIRECT("'"&amp;J$62&amp;"'!B2:B1000")=$B8) * (INDIRECT("'"&amp;J$62&amp;"'!C2:C1000")=$C8)
        ),
        5,
        FALSE
    )=0,
    "",
    VLOOKUP(
        $A8,
        _xlfn._xlws.FILTER(
            INDIRECT("'"&amp;J$62&amp;"'!A2:E1000"), (INDIRECT("'"&amp;J$62&amp;"'!B2:B1000")=$B8) * (INDIRECT("'"&amp;J$62&amp;"'!C2:C1000")=$C8)
        ),
        5,
        FALSE
    )
)</f>
        <v>Enviado</v>
      </c>
      <c r="K8" s="75" t="str">
        <f t="array" aca="1" ref="K8" ca="1">IF(
    VLOOKUP(
        $A8,
        _xlfn._xlws.FILTER(
            INDIRECT("'"&amp;K$62&amp;"'!A2:E1000"), (INDIRECT("'"&amp;K$62&amp;"'!B2:B1000")=$B8) * (INDIRECT("'"&amp;K$62&amp;"'!C2:C1000")=$C8)
        ),
        5,
        FALSE
    )=0,
    "",
    VLOOKUP(
        $A8,
        _xlfn._xlws.FILTER(
            INDIRECT("'"&amp;K$62&amp;"'!A2:E1000"), (INDIRECT("'"&amp;K$62&amp;"'!B2:B1000")=$B8) * (INDIRECT("'"&amp;K$62&amp;"'!C2:C1000")=$C8)
        ),
        5,
        FALSE
    )
)</f>
        <v>Enviado</v>
      </c>
      <c r="L8" s="75" t="str">
        <f t="array" aca="1" ref="L8" ca="1">IF(
    VLOOKUP(
        $A8,
        _xlfn._xlws.FILTER(
            INDIRECT("'"&amp;L$62&amp;"'!A2:E1000"), (INDIRECT("'"&amp;L$62&amp;"'!B2:B1000")=$B8) * (INDIRECT("'"&amp;L$62&amp;"'!C2:C1000")=$C8)
        ),
        5,
        FALSE
    )=0,
    "",
    VLOOKUP(
        $A8,
        _xlfn._xlws.FILTER(
            INDIRECT("'"&amp;L$62&amp;"'!A2:E1000"), (INDIRECT("'"&amp;L$62&amp;"'!B2:B1000")=$B8) * (INDIRECT("'"&amp;L$62&amp;"'!C2:C1000")=$C8)
        ),
        5,
        FALSE
    )
)</f>
        <v>Enviado</v>
      </c>
      <c r="M8" s="75" t="str">
        <f t="array" aca="1" ref="M8" ca="1">IF(
    VLOOKUP(
        $A8,
        _xlfn._xlws.FILTER(
            INDIRECT("'"&amp;M$62&amp;"'!A2:E1000"), (INDIRECT("'"&amp;M$62&amp;"'!B2:B1000")=$B8) * (INDIRECT("'"&amp;M$62&amp;"'!C2:C1000")=$C8)
        ),
        5,
        FALSE
    )=0,
    "",
    VLOOKUP(
        $A8,
        _xlfn._xlws.FILTER(
            INDIRECT("'"&amp;M$62&amp;"'!A2:E1000"), (INDIRECT("'"&amp;M$62&amp;"'!B2:B1000")=$B8) * (INDIRECT("'"&amp;M$62&amp;"'!C2:C1000")=$C8)
        ),
        5,
        FALSE
    )
)</f>
        <v>Enviado</v>
      </c>
      <c r="N8" s="75" t="str">
        <f t="array" aca="1" ref="N8" ca="1">IF(
    VLOOKUP(
        $A8,
        _xlfn._xlws.FILTER(
            INDIRECT("'"&amp;N$62&amp;"'!A2:E1000"), (INDIRECT("'"&amp;N$62&amp;"'!B2:B1000")=$B8) * (INDIRECT("'"&amp;N$62&amp;"'!C2:C1000")=$C8)
        ),
        5,
        FALSE
    )=0,
    "",
    VLOOKUP(
        $A8,
        _xlfn._xlws.FILTER(
            INDIRECT("'"&amp;N$62&amp;"'!A2:E1000"), (INDIRECT("'"&amp;N$62&amp;"'!B2:B1000")=$B8) * (INDIRECT("'"&amp;N$62&amp;"'!C2:C1000")=$C8)
        ),
        5,
        FALSE
    )
)</f>
        <v/>
      </c>
      <c r="O8" s="75" t="str">
        <f t="array" aca="1" ref="O8" ca="1">IF(
    VLOOKUP(
        $A8,
        _xlfn._xlws.FILTER(
            INDIRECT("'"&amp;O$62&amp;"'!A2:E1000"), (INDIRECT("'"&amp;O$62&amp;"'!B2:B1000")=$B8) * (INDIRECT("'"&amp;O$62&amp;"'!C2:C1000")=$C8)
        ),
        5,
        FALSE
    )=0,
    "",
    VLOOKUP(
        $A8,
        _xlfn._xlws.FILTER(
            INDIRECT("'"&amp;O$62&amp;"'!A2:E1000"), (INDIRECT("'"&amp;O$62&amp;"'!B2:B1000")=$B8) * (INDIRECT("'"&amp;O$62&amp;"'!C2:C1000")=$C8)
        ),
        5,
        FALSE
    )
)</f>
        <v/>
      </c>
    </row>
    <row r="9" spans="1:15">
      <c r="A9" s="32" t="s">
        <v>35</v>
      </c>
      <c r="B9" s="60" t="s">
        <v>82</v>
      </c>
      <c r="C9" s="60" t="s">
        <v>75</v>
      </c>
      <c r="D9" s="75" t="str">
        <f t="array" aca="1" ref="D9" ca="1">IF(
    VLOOKUP(
        $A9,
        _xlfn._xlws.FILTER(
            INDIRECT("'"&amp;D$62&amp;"'!A2:E1000"), (INDIRECT("'"&amp;D$62&amp;"'!B2:B1000")=$B9) * (INDIRECT("'"&amp;D$62&amp;"'!C2:C1000")=$C9)
        ),
        5,
        FALSE
    )=0,
    "",
    VLOOKUP(
        $A9,
        _xlfn._xlws.FILTER(
            INDIRECT("'"&amp;D$62&amp;"'!A2:E1000"), (INDIRECT("'"&amp;D$62&amp;"'!B2:B1000")=$B9) * (INDIRECT("'"&amp;D$62&amp;"'!C2:C1000")=$C9)
        ),
        5,
        FALSE
    )
)</f>
        <v>Enviado</v>
      </c>
      <c r="E9" s="75" t="str">
        <f t="array" aca="1" ref="E9" ca="1">IF(
    VLOOKUP(
        $A9,
        _xlfn._xlws.FILTER(
            INDIRECT("'"&amp;E$62&amp;"'!A2:E1000"), (INDIRECT("'"&amp;E$62&amp;"'!B2:B1000")=$B9) * (INDIRECT("'"&amp;E$62&amp;"'!C2:C1000")=$C9)
        ),
        5,
        FALSE
    )=0,
    "",
    VLOOKUP(
        $A9,
        _xlfn._xlws.FILTER(
            INDIRECT("'"&amp;E$62&amp;"'!A2:E1000"), (INDIRECT("'"&amp;E$62&amp;"'!B2:B1000")=$B9) * (INDIRECT("'"&amp;E$62&amp;"'!C2:C1000")=$C9)
        ),
        5,
        FALSE
    )
)</f>
        <v>Enviado</v>
      </c>
      <c r="F9" s="75" t="str">
        <f t="array" aca="1" ref="F9" ca="1">IF(
    VLOOKUP(
        $A9,
        _xlfn._xlws.FILTER(
            INDIRECT("'"&amp;F$62&amp;"'!A2:E1000"), (INDIRECT("'"&amp;F$62&amp;"'!B2:B1000")=$B9) * (INDIRECT("'"&amp;F$62&amp;"'!C2:C1000")=$C9)
        ),
        5,
        FALSE
    )=0,
    "",
    VLOOKUP(
        $A9,
        _xlfn._xlws.FILTER(
            INDIRECT("'"&amp;F$62&amp;"'!A2:E1000"), (INDIRECT("'"&amp;F$62&amp;"'!B2:B1000")=$B9) * (INDIRECT("'"&amp;F$62&amp;"'!C2:C1000")=$C9)
        ),
        5,
        FALSE
    )
)</f>
        <v>Enviado</v>
      </c>
      <c r="G9" s="75" t="str">
        <f t="array" aca="1" ref="G9" ca="1">IF(
    VLOOKUP(
        $A9,
        _xlfn._xlws.FILTER(
            INDIRECT("'"&amp;G$62&amp;"'!A2:E1000"), (INDIRECT("'"&amp;G$62&amp;"'!B2:B1000")=$B9) * (INDIRECT("'"&amp;G$62&amp;"'!C2:C1000")=$C9)
        ),
        5,
        FALSE
    )=0,
    "",
    VLOOKUP(
        $A9,
        _xlfn._xlws.FILTER(
            INDIRECT("'"&amp;G$62&amp;"'!A2:E1000"), (INDIRECT("'"&amp;G$62&amp;"'!B2:B1000")=$B9) * (INDIRECT("'"&amp;G$62&amp;"'!C2:C1000")=$C9)
        ),
        5,
        FALSE
    )
)</f>
        <v>Enviado</v>
      </c>
      <c r="H9" s="75" t="str">
        <f t="array" aca="1" ref="H9" ca="1">IF(
    VLOOKUP(
        $A9,
        _xlfn._xlws.FILTER(
            INDIRECT("'"&amp;H$62&amp;"'!A2:E1000"), (INDIRECT("'"&amp;H$62&amp;"'!B2:B1000")=$B9) * (INDIRECT("'"&amp;H$62&amp;"'!C2:C1000")=$C9)
        ),
        5,
        FALSE
    )=0,
    "",
    VLOOKUP(
        $A9,
        _xlfn._xlws.FILTER(
            INDIRECT("'"&amp;H$62&amp;"'!A2:E1000"), (INDIRECT("'"&amp;H$62&amp;"'!B2:B1000")=$B9) * (INDIRECT("'"&amp;H$62&amp;"'!C2:C1000")=$C9)
        ),
        5,
        FALSE
    )
)</f>
        <v>Enviado</v>
      </c>
      <c r="I9" s="75" t="str">
        <f t="array" aca="1" ref="I9" ca="1">IF(
    VLOOKUP(
        $A9,
        _xlfn._xlws.FILTER(
            INDIRECT("'"&amp;I$62&amp;"'!A2:E1000"), (INDIRECT("'"&amp;I$62&amp;"'!B2:B1000")=$B9) * (INDIRECT("'"&amp;I$62&amp;"'!C2:C1000")=$C9)
        ),
        5,
        FALSE
    )=0,
    "",
    VLOOKUP(
        $A9,
        _xlfn._xlws.FILTER(
            INDIRECT("'"&amp;I$62&amp;"'!A2:E1000"), (INDIRECT("'"&amp;I$62&amp;"'!B2:B1000")=$B9) * (INDIRECT("'"&amp;I$62&amp;"'!C2:C1000")=$C9)
        ),
        5,
        FALSE
    )
)</f>
        <v>Enviado</v>
      </c>
      <c r="J9" s="75" t="str">
        <f t="array" aca="1" ref="J9" ca="1">IF(
    VLOOKUP(
        $A9,
        _xlfn._xlws.FILTER(
            INDIRECT("'"&amp;J$62&amp;"'!A2:E1000"), (INDIRECT("'"&amp;J$62&amp;"'!B2:B1000")=$B9) * (INDIRECT("'"&amp;J$62&amp;"'!C2:C1000")=$C9)
        ),
        5,
        FALSE
    )=0,
    "",
    VLOOKUP(
        $A9,
        _xlfn._xlws.FILTER(
            INDIRECT("'"&amp;J$62&amp;"'!A2:E1000"), (INDIRECT("'"&amp;J$62&amp;"'!B2:B1000")=$B9) * (INDIRECT("'"&amp;J$62&amp;"'!C2:C1000")=$C9)
        ),
        5,
        FALSE
    )
)</f>
        <v>Enviado</v>
      </c>
      <c r="K9" s="75" t="str">
        <f t="array" aca="1" ref="K9" ca="1">IF(
    VLOOKUP(
        $A9,
        _xlfn._xlws.FILTER(
            INDIRECT("'"&amp;K$62&amp;"'!A2:E1000"), (INDIRECT("'"&amp;K$62&amp;"'!B2:B1000")=$B9) * (INDIRECT("'"&amp;K$62&amp;"'!C2:C1000")=$C9)
        ),
        5,
        FALSE
    )=0,
    "",
    VLOOKUP(
        $A9,
        _xlfn._xlws.FILTER(
            INDIRECT("'"&amp;K$62&amp;"'!A2:E1000"), (INDIRECT("'"&amp;K$62&amp;"'!B2:B1000")=$B9) * (INDIRECT("'"&amp;K$62&amp;"'!C2:C1000")=$C9)
        ),
        5,
        FALSE
    )
)</f>
        <v>Enviado</v>
      </c>
      <c r="L9" s="75" t="str">
        <f t="array" aca="1" ref="L9" ca="1">IF(
    VLOOKUP(
        $A9,
        _xlfn._xlws.FILTER(
            INDIRECT("'"&amp;L$62&amp;"'!A2:E1000"), (INDIRECT("'"&amp;L$62&amp;"'!B2:B1000")=$B9) * (INDIRECT("'"&amp;L$62&amp;"'!C2:C1000")=$C9)
        ),
        5,
        FALSE
    )=0,
    "",
    VLOOKUP(
        $A9,
        _xlfn._xlws.FILTER(
            INDIRECT("'"&amp;L$62&amp;"'!A2:E1000"), (INDIRECT("'"&amp;L$62&amp;"'!B2:B1000")=$B9) * (INDIRECT("'"&amp;L$62&amp;"'!C2:C1000")=$C9)
        ),
        5,
        FALSE
    )
)</f>
        <v>Enviado</v>
      </c>
      <c r="M9" s="75" t="str">
        <f t="array" aca="1" ref="M9" ca="1">IF(
    VLOOKUP(
        $A9,
        _xlfn._xlws.FILTER(
            INDIRECT("'"&amp;M$62&amp;"'!A2:E1000"), (INDIRECT("'"&amp;M$62&amp;"'!B2:B1000")=$B9) * (INDIRECT("'"&amp;M$62&amp;"'!C2:C1000")=$C9)
        ),
        5,
        FALSE
    )=0,
    "",
    VLOOKUP(
        $A9,
        _xlfn._xlws.FILTER(
            INDIRECT("'"&amp;M$62&amp;"'!A2:E1000"), (INDIRECT("'"&amp;M$62&amp;"'!B2:B1000")=$B9) * (INDIRECT("'"&amp;M$62&amp;"'!C2:C1000")=$C9)
        ),
        5,
        FALSE
    )
)</f>
        <v>Atrasado</v>
      </c>
      <c r="N9" s="75" t="str">
        <f t="array" aca="1" ref="N9" ca="1">IF(
    VLOOKUP(
        $A9,
        _xlfn._xlws.FILTER(
            INDIRECT("'"&amp;N$62&amp;"'!A2:E1000"), (INDIRECT("'"&amp;N$62&amp;"'!B2:B1000")=$B9) * (INDIRECT("'"&amp;N$62&amp;"'!C2:C1000")=$C9)
        ),
        5,
        FALSE
    )=0,
    "",
    VLOOKUP(
        $A9,
        _xlfn._xlws.FILTER(
            INDIRECT("'"&amp;N$62&amp;"'!A2:E1000"), (INDIRECT("'"&amp;N$62&amp;"'!B2:B1000")=$B9) * (INDIRECT("'"&amp;N$62&amp;"'!C2:C1000")=$C9)
        ),
        5,
        FALSE
    )
)</f>
        <v/>
      </c>
      <c r="O9" s="75" t="str">
        <f t="array" aca="1" ref="O9" ca="1">IF(
    VLOOKUP(
        $A9,
        _xlfn._xlws.FILTER(
            INDIRECT("'"&amp;O$62&amp;"'!A2:E1000"), (INDIRECT("'"&amp;O$62&amp;"'!B2:B1000")=$B9) * (INDIRECT("'"&amp;O$62&amp;"'!C2:C1000")=$C9)
        ),
        5,
        FALSE
    )=0,
    "",
    VLOOKUP(
        $A9,
        _xlfn._xlws.FILTER(
            INDIRECT("'"&amp;O$62&amp;"'!A2:E1000"), (INDIRECT("'"&amp;O$62&amp;"'!B2:B1000")=$B9) * (INDIRECT("'"&amp;O$62&amp;"'!C2:C1000")=$C9)
        ),
        5,
        FALSE
    )
)</f>
        <v/>
      </c>
    </row>
    <row r="10" spans="1:15">
      <c r="A10" s="32" t="s">
        <v>35</v>
      </c>
      <c r="B10" s="60" t="s">
        <v>83</v>
      </c>
      <c r="C10" s="60" t="s">
        <v>75</v>
      </c>
      <c r="D10" s="75" t="str">
        <f t="array" aca="1" ref="D10" ca="1">IF(
    VLOOKUP(
        $A10,
        _xlfn._xlws.FILTER(
            INDIRECT("'"&amp;D$62&amp;"'!A2:E1000"), (INDIRECT("'"&amp;D$62&amp;"'!B2:B1000")=$B10) * (INDIRECT("'"&amp;D$62&amp;"'!C2:C1000")=$C10)
        ),
        5,
        FALSE
    )=0,
    "",
    VLOOKUP(
        $A10,
        _xlfn._xlws.FILTER(
            INDIRECT("'"&amp;D$62&amp;"'!A2:E1000"), (INDIRECT("'"&amp;D$62&amp;"'!B2:B1000")=$B10) * (INDIRECT("'"&amp;D$62&amp;"'!C2:C1000")=$C10)
        ),
        5,
        FALSE
    )
)</f>
        <v>Enviado</v>
      </c>
      <c r="E10" s="75" t="str">
        <f t="array" aca="1" ref="E10" ca="1">IF(
    VLOOKUP(
        $A10,
        _xlfn._xlws.FILTER(
            INDIRECT("'"&amp;E$62&amp;"'!A2:E1000"), (INDIRECT("'"&amp;E$62&amp;"'!B2:B1000")=$B10) * (INDIRECT("'"&amp;E$62&amp;"'!C2:C1000")=$C10)
        ),
        5,
        FALSE
    )=0,
    "",
    VLOOKUP(
        $A10,
        _xlfn._xlws.FILTER(
            INDIRECT("'"&amp;E$62&amp;"'!A2:E1000"), (INDIRECT("'"&amp;E$62&amp;"'!B2:B1000")=$B10) * (INDIRECT("'"&amp;E$62&amp;"'!C2:C1000")=$C10)
        ),
        5,
        FALSE
    )
)</f>
        <v>Enviado</v>
      </c>
      <c r="F10" s="75" t="str">
        <f t="array" aca="1" ref="F10" ca="1">IF(
    VLOOKUP(
        $A10,
        _xlfn._xlws.FILTER(
            INDIRECT("'"&amp;F$62&amp;"'!A2:E1000"), (INDIRECT("'"&amp;F$62&amp;"'!B2:B1000")=$B10) * (INDIRECT("'"&amp;F$62&amp;"'!C2:C1000")=$C10)
        ),
        5,
        FALSE
    )=0,
    "",
    VLOOKUP(
        $A10,
        _xlfn._xlws.FILTER(
            INDIRECT("'"&amp;F$62&amp;"'!A2:E1000"), (INDIRECT("'"&amp;F$62&amp;"'!B2:B1000")=$B10) * (INDIRECT("'"&amp;F$62&amp;"'!C2:C1000")=$C10)
        ),
        5,
        FALSE
    )
)</f>
        <v>Enviado</v>
      </c>
      <c r="G10" s="75" t="str">
        <f t="array" aca="1" ref="G10" ca="1">IF(
    VLOOKUP(
        $A10,
        _xlfn._xlws.FILTER(
            INDIRECT("'"&amp;G$62&amp;"'!A2:E1000"), (INDIRECT("'"&amp;G$62&amp;"'!B2:B1000")=$B10) * (INDIRECT("'"&amp;G$62&amp;"'!C2:C1000")=$C10)
        ),
        5,
        FALSE
    )=0,
    "",
    VLOOKUP(
        $A10,
        _xlfn._xlws.FILTER(
            INDIRECT("'"&amp;G$62&amp;"'!A2:E1000"), (INDIRECT("'"&amp;G$62&amp;"'!B2:B1000")=$B10) * (INDIRECT("'"&amp;G$62&amp;"'!C2:C1000")=$C10)
        ),
        5,
        FALSE
    )
)</f>
        <v>Enviado</v>
      </c>
      <c r="H10" s="75" t="str">
        <f t="array" aca="1" ref="H10" ca="1">IF(
    VLOOKUP(
        $A10,
        _xlfn._xlws.FILTER(
            INDIRECT("'"&amp;H$62&amp;"'!A2:E1000"), (INDIRECT("'"&amp;H$62&amp;"'!B2:B1000")=$B10) * (INDIRECT("'"&amp;H$62&amp;"'!C2:C1000")=$C10)
        ),
        5,
        FALSE
    )=0,
    "",
    VLOOKUP(
        $A10,
        _xlfn._xlws.FILTER(
            INDIRECT("'"&amp;H$62&amp;"'!A2:E1000"), (INDIRECT("'"&amp;H$62&amp;"'!B2:B1000")=$B10) * (INDIRECT("'"&amp;H$62&amp;"'!C2:C1000")=$C10)
        ),
        5,
        FALSE
    )
)</f>
        <v>Enviado</v>
      </c>
      <c r="I10" s="75" t="str">
        <f t="array" aca="1" ref="I10" ca="1">IF(
    VLOOKUP(
        $A10,
        _xlfn._xlws.FILTER(
            INDIRECT("'"&amp;I$62&amp;"'!A2:E1000"), (INDIRECT("'"&amp;I$62&amp;"'!B2:B1000")=$B10) * (INDIRECT("'"&amp;I$62&amp;"'!C2:C1000")=$C10)
        ),
        5,
        FALSE
    )=0,
    "",
    VLOOKUP(
        $A10,
        _xlfn._xlws.FILTER(
            INDIRECT("'"&amp;I$62&amp;"'!A2:E1000"), (INDIRECT("'"&amp;I$62&amp;"'!B2:B1000")=$B10) * (INDIRECT("'"&amp;I$62&amp;"'!C2:C1000")=$C10)
        ),
        5,
        FALSE
    )
)</f>
        <v>Enviado</v>
      </c>
      <c r="J10" s="75" t="str">
        <f t="array" aca="1" ref="J10" ca="1">IF(
    VLOOKUP(
        $A10,
        _xlfn._xlws.FILTER(
            INDIRECT("'"&amp;J$62&amp;"'!A2:E1000"), (INDIRECT("'"&amp;J$62&amp;"'!B2:B1000")=$B10) * (INDIRECT("'"&amp;J$62&amp;"'!C2:C1000")=$C10)
        ),
        5,
        FALSE
    )=0,
    "",
    VLOOKUP(
        $A10,
        _xlfn._xlws.FILTER(
            INDIRECT("'"&amp;J$62&amp;"'!A2:E1000"), (INDIRECT("'"&amp;J$62&amp;"'!B2:B1000")=$B10) * (INDIRECT("'"&amp;J$62&amp;"'!C2:C1000")=$C10)
        ),
        5,
        FALSE
    )
)</f>
        <v>Enviado</v>
      </c>
      <c r="K10" s="75" t="str">
        <f t="array" aca="1" ref="K10" ca="1">IF(
    VLOOKUP(
        $A10,
        _xlfn._xlws.FILTER(
            INDIRECT("'"&amp;K$62&amp;"'!A2:E1000"), (INDIRECT("'"&amp;K$62&amp;"'!B2:B1000")=$B10) * (INDIRECT("'"&amp;K$62&amp;"'!C2:C1000")=$C10)
        ),
        5,
        FALSE
    )=0,
    "",
    VLOOKUP(
        $A10,
        _xlfn._xlws.FILTER(
            INDIRECT("'"&amp;K$62&amp;"'!A2:E1000"), (INDIRECT("'"&amp;K$62&amp;"'!B2:B1000")=$B10) * (INDIRECT("'"&amp;K$62&amp;"'!C2:C1000")=$C10)
        ),
        5,
        FALSE
    )
)</f>
        <v>Enviado</v>
      </c>
      <c r="L10" s="75" t="str">
        <f t="array" aca="1" ref="L10" ca="1">IF(
    VLOOKUP(
        $A10,
        _xlfn._xlws.FILTER(
            INDIRECT("'"&amp;L$62&amp;"'!A2:E1000"), (INDIRECT("'"&amp;L$62&amp;"'!B2:B1000")=$B10) * (INDIRECT("'"&amp;L$62&amp;"'!C2:C1000")=$C10)
        ),
        5,
        FALSE
    )=0,
    "",
    VLOOKUP(
        $A10,
        _xlfn._xlws.FILTER(
            INDIRECT("'"&amp;L$62&amp;"'!A2:E1000"), (INDIRECT("'"&amp;L$62&amp;"'!B2:B1000")=$B10) * (INDIRECT("'"&amp;L$62&amp;"'!C2:C1000")=$C10)
        ),
        5,
        FALSE
    )
)</f>
        <v>Enviado</v>
      </c>
      <c r="M10" s="75" t="str">
        <f t="array" aca="1" ref="M10" ca="1">IF(
    VLOOKUP(
        $A10,
        _xlfn._xlws.FILTER(
            INDIRECT("'"&amp;M$62&amp;"'!A2:E1000"), (INDIRECT("'"&amp;M$62&amp;"'!B2:B1000")=$B10) * (INDIRECT("'"&amp;M$62&amp;"'!C2:C1000")=$C10)
        ),
        5,
        FALSE
    )=0,
    "",
    VLOOKUP(
        $A10,
        _xlfn._xlws.FILTER(
            INDIRECT("'"&amp;M$62&amp;"'!A2:E1000"), (INDIRECT("'"&amp;M$62&amp;"'!B2:B1000")=$B10) * (INDIRECT("'"&amp;M$62&amp;"'!C2:C1000")=$C10)
        ),
        5,
        FALSE
    )
)</f>
        <v>Enviado</v>
      </c>
      <c r="N10" s="75" t="str">
        <f t="array" aca="1" ref="N10" ca="1">IF(
    VLOOKUP(
        $A10,
        _xlfn._xlws.FILTER(
            INDIRECT("'"&amp;N$62&amp;"'!A2:E1000"), (INDIRECT("'"&amp;N$62&amp;"'!B2:B1000")=$B10) * (INDIRECT("'"&amp;N$62&amp;"'!C2:C1000")=$C10)
        ),
        5,
        FALSE
    )=0,
    "",
    VLOOKUP(
        $A10,
        _xlfn._xlws.FILTER(
            INDIRECT("'"&amp;N$62&amp;"'!A2:E1000"), (INDIRECT("'"&amp;N$62&amp;"'!B2:B1000")=$B10) * (INDIRECT("'"&amp;N$62&amp;"'!C2:C1000")=$C10)
        ),
        5,
        FALSE
    )
)</f>
        <v/>
      </c>
      <c r="O10" s="75" t="str">
        <f t="array" aca="1" ref="O10" ca="1">IF(
    VLOOKUP(
        $A10,
        _xlfn._xlws.FILTER(
            INDIRECT("'"&amp;O$62&amp;"'!A2:E1000"), (INDIRECT("'"&amp;O$62&amp;"'!B2:B1000")=$B10) * (INDIRECT("'"&amp;O$62&amp;"'!C2:C1000")=$C10)
        ),
        5,
        FALSE
    )=0,
    "",
    VLOOKUP(
        $A10,
        _xlfn._xlws.FILTER(
            INDIRECT("'"&amp;O$62&amp;"'!A2:E1000"), (INDIRECT("'"&amp;O$62&amp;"'!B2:B1000")=$B10) * (INDIRECT("'"&amp;O$62&amp;"'!C2:C1000")=$C10)
        ),
        5,
        FALSE
    )
)</f>
        <v/>
      </c>
    </row>
    <row r="11" spans="1:15">
      <c r="A11" s="32" t="s">
        <v>35</v>
      </c>
      <c r="B11" s="60" t="s">
        <v>83</v>
      </c>
      <c r="C11" s="60" t="s">
        <v>76</v>
      </c>
      <c r="D11" s="75" t="str">
        <f t="array" aca="1" ref="D11" ca="1">IF(
    VLOOKUP(
        $A11,
        _xlfn._xlws.FILTER(
            INDIRECT("'"&amp;D$62&amp;"'!A2:E1000"), (INDIRECT("'"&amp;D$62&amp;"'!B2:B1000")=$B11) * (INDIRECT("'"&amp;D$62&amp;"'!C2:C1000")=$C11)
        ),
        5,
        FALSE
    )=0,
    "",
    VLOOKUP(
        $A11,
        _xlfn._xlws.FILTER(
            INDIRECT("'"&amp;D$62&amp;"'!A2:E1000"), (INDIRECT("'"&amp;D$62&amp;"'!B2:B1000")=$B11) * (INDIRECT("'"&amp;D$62&amp;"'!C2:C1000")=$C11)
        ),
        5,
        FALSE
    )
)</f>
        <v>Outras Ocorrências</v>
      </c>
      <c r="E11" s="75" t="str">
        <f t="array" aca="1" ref="E11" ca="1">IF(
    VLOOKUP(
        $A11,
        _xlfn._xlws.FILTER(
            INDIRECT("'"&amp;E$62&amp;"'!A2:E1000"), (INDIRECT("'"&amp;E$62&amp;"'!B2:B1000")=$B11) * (INDIRECT("'"&amp;E$62&amp;"'!C2:C1000")=$C11)
        ),
        5,
        FALSE
    )=0,
    "",
    VLOOKUP(
        $A11,
        _xlfn._xlws.FILTER(
            INDIRECT("'"&amp;E$62&amp;"'!A2:E1000"), (INDIRECT("'"&amp;E$62&amp;"'!B2:B1000")=$B11) * (INDIRECT("'"&amp;E$62&amp;"'!C2:C1000")=$C11)
        ),
        5,
        FALSE
    )
)</f>
        <v>Outras Ocorrências</v>
      </c>
      <c r="F11" s="75" t="str">
        <f t="array" aca="1" ref="F11" ca="1">IF(
    VLOOKUP(
        $A11,
        _xlfn._xlws.FILTER(
            INDIRECT("'"&amp;F$62&amp;"'!A2:E1000"), (INDIRECT("'"&amp;F$62&amp;"'!B2:B1000")=$B11) * (INDIRECT("'"&amp;F$62&amp;"'!C2:C1000")=$C11)
        ),
        5,
        FALSE
    )=0,
    "",
    VLOOKUP(
        $A11,
        _xlfn._xlws.FILTER(
            INDIRECT("'"&amp;F$62&amp;"'!A2:E1000"), (INDIRECT("'"&amp;F$62&amp;"'!B2:B1000")=$B11) * (INDIRECT("'"&amp;F$62&amp;"'!C2:C1000")=$C11)
        ),
        5,
        FALSE
    )
)</f>
        <v>Outras Ocorrências</v>
      </c>
      <c r="G11" s="75" t="str">
        <f t="array" aca="1" ref="G11" ca="1">IF(
    VLOOKUP(
        $A11,
        _xlfn._xlws.FILTER(
            INDIRECT("'"&amp;G$62&amp;"'!A2:E1000"), (INDIRECT("'"&amp;G$62&amp;"'!B2:B1000")=$B11) * (INDIRECT("'"&amp;G$62&amp;"'!C2:C1000")=$C11)
        ),
        5,
        FALSE
    )=0,
    "",
    VLOOKUP(
        $A11,
        _xlfn._xlws.FILTER(
            INDIRECT("'"&amp;G$62&amp;"'!A2:E1000"), (INDIRECT("'"&amp;G$62&amp;"'!B2:B1000")=$B11) * (INDIRECT("'"&amp;G$62&amp;"'!C2:C1000")=$C11)
        ),
        5,
        FALSE
    )
)</f>
        <v>Outras Ocorrências</v>
      </c>
      <c r="H11" s="75" t="str">
        <f t="array" aca="1" ref="H11" ca="1">IF(
    VLOOKUP(
        $A11,
        _xlfn._xlws.FILTER(
            INDIRECT("'"&amp;H$62&amp;"'!A2:E1000"), (INDIRECT("'"&amp;H$62&amp;"'!B2:B1000")=$B11) * (INDIRECT("'"&amp;H$62&amp;"'!C2:C1000")=$C11)
        ),
        5,
        FALSE
    )=0,
    "",
    VLOOKUP(
        $A11,
        _xlfn._xlws.FILTER(
            INDIRECT("'"&amp;H$62&amp;"'!A2:E1000"), (INDIRECT("'"&amp;H$62&amp;"'!B2:B1000")=$B11) * (INDIRECT("'"&amp;H$62&amp;"'!C2:C1000")=$C11)
        ),
        5,
        FALSE
    )
)</f>
        <v>Outras Ocorrências</v>
      </c>
      <c r="I11" s="75" t="str">
        <f t="array" aca="1" ref="I11" ca="1">IF(
    VLOOKUP(
        $A11,
        _xlfn._xlws.FILTER(
            INDIRECT("'"&amp;I$62&amp;"'!A2:E1000"), (INDIRECT("'"&amp;I$62&amp;"'!B2:B1000")=$B11) * (INDIRECT("'"&amp;I$62&amp;"'!C2:C1000")=$C11)
        ),
        5,
        FALSE
    )=0,
    "",
    VLOOKUP(
        $A11,
        _xlfn._xlws.FILTER(
            INDIRECT("'"&amp;I$62&amp;"'!A2:E1000"), (INDIRECT("'"&amp;I$62&amp;"'!B2:B1000")=$B11) * (INDIRECT("'"&amp;I$62&amp;"'!C2:C1000")=$C11)
        ),
        5,
        FALSE
    )
)</f>
        <v>Outras Ocorrências</v>
      </c>
      <c r="J11" s="75" t="str">
        <f t="array" aca="1" ref="J11" ca="1">IF(
    VLOOKUP(
        $A11,
        _xlfn._xlws.FILTER(
            INDIRECT("'"&amp;J$62&amp;"'!A2:E1000"), (INDIRECT("'"&amp;J$62&amp;"'!B2:B1000")=$B11) * (INDIRECT("'"&amp;J$62&amp;"'!C2:C1000")=$C11)
        ),
        5,
        FALSE
    )=0,
    "",
    VLOOKUP(
        $A11,
        _xlfn._xlws.FILTER(
            INDIRECT("'"&amp;J$62&amp;"'!A2:E1000"), (INDIRECT("'"&amp;J$62&amp;"'!B2:B1000")=$B11) * (INDIRECT("'"&amp;J$62&amp;"'!C2:C1000")=$C11)
        ),
        5,
        FALSE
    )
)</f>
        <v>Outras Ocorrências</v>
      </c>
      <c r="K11" s="75" t="str">
        <f t="array" aca="1" ref="K11" ca="1">IF(
    VLOOKUP(
        $A11,
        _xlfn._xlws.FILTER(
            INDIRECT("'"&amp;K$62&amp;"'!A2:E1000"), (INDIRECT("'"&amp;K$62&amp;"'!B2:B1000")=$B11) * (INDIRECT("'"&amp;K$62&amp;"'!C2:C1000")=$C11)
        ),
        5,
        FALSE
    )=0,
    "",
    VLOOKUP(
        $A11,
        _xlfn._xlws.FILTER(
            INDIRECT("'"&amp;K$62&amp;"'!A2:E1000"), (INDIRECT("'"&amp;K$62&amp;"'!B2:B1000")=$B11) * (INDIRECT("'"&amp;K$62&amp;"'!C2:C1000")=$C11)
        ),
        5,
        FALSE
    )
)</f>
        <v>Outras Ocorrências</v>
      </c>
      <c r="L11" s="75" t="str">
        <f t="array" aca="1" ref="L11" ca="1">IF(
    VLOOKUP(
        $A11,
        _xlfn._xlws.FILTER(
            INDIRECT("'"&amp;L$62&amp;"'!A2:E1000"), (INDIRECT("'"&amp;L$62&amp;"'!B2:B1000")=$B11) * (INDIRECT("'"&amp;L$62&amp;"'!C2:C1000")=$C11)
        ),
        5,
        FALSE
    )=0,
    "",
    VLOOKUP(
        $A11,
        _xlfn._xlws.FILTER(
            INDIRECT("'"&amp;L$62&amp;"'!A2:E1000"), (INDIRECT("'"&amp;L$62&amp;"'!B2:B1000")=$B11) * (INDIRECT("'"&amp;L$62&amp;"'!C2:C1000")=$C11)
        ),
        5,
        FALSE
    )
)</f>
        <v>Outras Ocorrências</v>
      </c>
      <c r="M11" s="75" t="str">
        <f t="array" aca="1" ref="M11" ca="1">IF(
    VLOOKUP(
        $A11,
        _xlfn._xlws.FILTER(
            INDIRECT("'"&amp;M$62&amp;"'!A2:E1000"), (INDIRECT("'"&amp;M$62&amp;"'!B2:B1000")=$B11) * (INDIRECT("'"&amp;M$62&amp;"'!C2:C1000")=$C11)
        ),
        5,
        FALSE
    )=0,
    "",
    VLOOKUP(
        $A11,
        _xlfn._xlws.FILTER(
            INDIRECT("'"&amp;M$62&amp;"'!A2:E1000"), (INDIRECT("'"&amp;M$62&amp;"'!B2:B1000")=$B11) * (INDIRECT("'"&amp;M$62&amp;"'!C2:C1000")=$C11)
        ),
        5,
        FALSE
    )
)</f>
        <v>Outras Ocorrências</v>
      </c>
      <c r="N11" s="75" t="str">
        <f t="array" aca="1" ref="N11" ca="1">IF(
    VLOOKUP(
        $A11,
        _xlfn._xlws.FILTER(
            INDIRECT("'"&amp;N$62&amp;"'!A2:E1000"), (INDIRECT("'"&amp;N$62&amp;"'!B2:B1000")=$B11) * (INDIRECT("'"&amp;N$62&amp;"'!C2:C1000")=$C11)
        ),
        5,
        FALSE
    )=0,
    "",
    VLOOKUP(
        $A11,
        _xlfn._xlws.FILTER(
            INDIRECT("'"&amp;N$62&amp;"'!A2:E1000"), (INDIRECT("'"&amp;N$62&amp;"'!B2:B1000")=$B11) * (INDIRECT("'"&amp;N$62&amp;"'!C2:C1000")=$C11)
        ),
        5,
        FALSE
    )
)</f>
        <v/>
      </c>
      <c r="O11" s="75" t="str">
        <f t="array" aca="1" ref="O11" ca="1">IF(
    VLOOKUP(
        $A11,
        _xlfn._xlws.FILTER(
            INDIRECT("'"&amp;O$62&amp;"'!A2:E1000"), (INDIRECT("'"&amp;O$62&amp;"'!B2:B1000")=$B11) * (INDIRECT("'"&amp;O$62&amp;"'!C2:C1000")=$C11)
        ),
        5,
        FALSE
    )=0,
    "",
    VLOOKUP(
        $A11,
        _xlfn._xlws.FILTER(
            INDIRECT("'"&amp;O$62&amp;"'!A2:E1000"), (INDIRECT("'"&amp;O$62&amp;"'!B2:B1000")=$B11) * (INDIRECT("'"&amp;O$62&amp;"'!C2:C1000")=$C11)
        ),
        5,
        FALSE
    )
)</f>
        <v/>
      </c>
    </row>
    <row r="12" spans="1:15">
      <c r="A12" s="32" t="s">
        <v>35</v>
      </c>
      <c r="B12" s="60" t="s">
        <v>84</v>
      </c>
      <c r="C12" s="60" t="s">
        <v>75</v>
      </c>
      <c r="D12" s="75" t="str">
        <f t="array" aca="1" ref="D12" ca="1">IF(
    VLOOKUP(
        $A12,
        _xlfn._xlws.FILTER(
            INDIRECT("'"&amp;D$62&amp;"'!A2:E1000"), (INDIRECT("'"&amp;D$62&amp;"'!B2:B1000")=$B12) * (INDIRECT("'"&amp;D$62&amp;"'!C2:C1000")=$C12)
        ),
        5,
        FALSE
    )=0,
    "",
    VLOOKUP(
        $A12,
        _xlfn._xlws.FILTER(
            INDIRECT("'"&amp;D$62&amp;"'!A2:E1000"), (INDIRECT("'"&amp;D$62&amp;"'!B2:B1000")=$B12) * (INDIRECT("'"&amp;D$62&amp;"'!C2:C1000")=$C12)
        ),
        5,
        FALSE
    )
)</f>
        <v>Enviado</v>
      </c>
      <c r="E12" s="75" t="str">
        <f t="array" aca="1" ref="E12" ca="1">IF(
    VLOOKUP(
        $A12,
        _xlfn._xlws.FILTER(
            INDIRECT("'"&amp;E$62&amp;"'!A2:E1000"), (INDIRECT("'"&amp;E$62&amp;"'!B2:B1000")=$B12) * (INDIRECT("'"&amp;E$62&amp;"'!C2:C1000")=$C12)
        ),
        5,
        FALSE
    )=0,
    "",
    VLOOKUP(
        $A12,
        _xlfn._xlws.FILTER(
            INDIRECT("'"&amp;E$62&amp;"'!A2:E1000"), (INDIRECT("'"&amp;E$62&amp;"'!B2:B1000")=$B12) * (INDIRECT("'"&amp;E$62&amp;"'!C2:C1000")=$C12)
        ),
        5,
        FALSE
    )
)</f>
        <v>Enviado</v>
      </c>
      <c r="F12" s="75" t="str">
        <f t="array" aca="1" ref="F12" ca="1">IF(
    VLOOKUP(
        $A12,
        _xlfn._xlws.FILTER(
            INDIRECT("'"&amp;F$62&amp;"'!A2:E1000"), (INDIRECT("'"&amp;F$62&amp;"'!B2:B1000")=$B12) * (INDIRECT("'"&amp;F$62&amp;"'!C2:C1000")=$C12)
        ),
        5,
        FALSE
    )=0,
    "",
    VLOOKUP(
        $A12,
        _xlfn._xlws.FILTER(
            INDIRECT("'"&amp;F$62&amp;"'!A2:E1000"), (INDIRECT("'"&amp;F$62&amp;"'!B2:B1000")=$B12) * (INDIRECT("'"&amp;F$62&amp;"'!C2:C1000")=$C12)
        ),
        5,
        FALSE
    )
)</f>
        <v>Enviado</v>
      </c>
      <c r="G12" s="75" t="str">
        <f t="array" aca="1" ref="G12" ca="1">IF(
    VLOOKUP(
        $A12,
        _xlfn._xlws.FILTER(
            INDIRECT("'"&amp;G$62&amp;"'!A2:E1000"), (INDIRECT("'"&amp;G$62&amp;"'!B2:B1000")=$B12) * (INDIRECT("'"&amp;G$62&amp;"'!C2:C1000")=$C12)
        ),
        5,
        FALSE
    )=0,
    "",
    VLOOKUP(
        $A12,
        _xlfn._xlws.FILTER(
            INDIRECT("'"&amp;G$62&amp;"'!A2:E1000"), (INDIRECT("'"&amp;G$62&amp;"'!B2:B1000")=$B12) * (INDIRECT("'"&amp;G$62&amp;"'!C2:C1000")=$C12)
        ),
        5,
        FALSE
    )
)</f>
        <v>Enviado</v>
      </c>
      <c r="H12" s="75" t="str">
        <f t="array" aca="1" ref="H12" ca="1">IF(
    VLOOKUP(
        $A12,
        _xlfn._xlws.FILTER(
            INDIRECT("'"&amp;H$62&amp;"'!A2:E1000"), (INDIRECT("'"&amp;H$62&amp;"'!B2:B1000")=$B12) * (INDIRECT("'"&amp;H$62&amp;"'!C2:C1000")=$C12)
        ),
        5,
        FALSE
    )=0,
    "",
    VLOOKUP(
        $A12,
        _xlfn._xlws.FILTER(
            INDIRECT("'"&amp;H$62&amp;"'!A2:E1000"), (INDIRECT("'"&amp;H$62&amp;"'!B2:B1000")=$B12) * (INDIRECT("'"&amp;H$62&amp;"'!C2:C1000")=$C12)
        ),
        5,
        FALSE
    )
)</f>
        <v>Enviado</v>
      </c>
      <c r="I12" s="75" t="str">
        <f t="array" aca="1" ref="I12" ca="1">IF(
    VLOOKUP(
        $A12,
        _xlfn._xlws.FILTER(
            INDIRECT("'"&amp;I$62&amp;"'!A2:E1000"), (INDIRECT("'"&amp;I$62&amp;"'!B2:B1000")=$B12) * (INDIRECT("'"&amp;I$62&amp;"'!C2:C1000")=$C12)
        ),
        5,
        FALSE
    )=0,
    "",
    VLOOKUP(
        $A12,
        _xlfn._xlws.FILTER(
            INDIRECT("'"&amp;I$62&amp;"'!A2:E1000"), (INDIRECT("'"&amp;I$62&amp;"'!B2:B1000")=$B12) * (INDIRECT("'"&amp;I$62&amp;"'!C2:C1000")=$C12)
        ),
        5,
        FALSE
    )
)</f>
        <v>Enviado</v>
      </c>
      <c r="J12" s="75" t="str">
        <f t="array" aca="1" ref="J12" ca="1">IF(
    VLOOKUP(
        $A12,
        _xlfn._xlws.FILTER(
            INDIRECT("'"&amp;J$62&amp;"'!A2:E1000"), (INDIRECT("'"&amp;J$62&amp;"'!B2:B1000")=$B12) * (INDIRECT("'"&amp;J$62&amp;"'!C2:C1000")=$C12)
        ),
        5,
        FALSE
    )=0,
    "",
    VLOOKUP(
        $A12,
        _xlfn._xlws.FILTER(
            INDIRECT("'"&amp;J$62&amp;"'!A2:E1000"), (INDIRECT("'"&amp;J$62&amp;"'!B2:B1000")=$B12) * (INDIRECT("'"&amp;J$62&amp;"'!C2:C1000")=$C12)
        ),
        5,
        FALSE
    )
)</f>
        <v>Enviado</v>
      </c>
      <c r="K12" s="75" t="str">
        <f t="array" aca="1" ref="K12" ca="1">IF(
    VLOOKUP(
        $A12,
        _xlfn._xlws.FILTER(
            INDIRECT("'"&amp;K$62&amp;"'!A2:E1000"), (INDIRECT("'"&amp;K$62&amp;"'!B2:B1000")=$B12) * (INDIRECT("'"&amp;K$62&amp;"'!C2:C1000")=$C12)
        ),
        5,
        FALSE
    )=0,
    "",
    VLOOKUP(
        $A12,
        _xlfn._xlws.FILTER(
            INDIRECT("'"&amp;K$62&amp;"'!A2:E1000"), (INDIRECT("'"&amp;K$62&amp;"'!B2:B1000")=$B12) * (INDIRECT("'"&amp;K$62&amp;"'!C2:C1000")=$C12)
        ),
        5,
        FALSE
    )
)</f>
        <v>Enviado</v>
      </c>
      <c r="L12" s="75" t="str">
        <f t="array" aca="1" ref="L12" ca="1">IF(
    VLOOKUP(
        $A12,
        _xlfn._xlws.FILTER(
            INDIRECT("'"&amp;L$62&amp;"'!A2:E1000"), (INDIRECT("'"&amp;L$62&amp;"'!B2:B1000")=$B12) * (INDIRECT("'"&amp;L$62&amp;"'!C2:C1000")=$C12)
        ),
        5,
        FALSE
    )=0,
    "",
    VLOOKUP(
        $A12,
        _xlfn._xlws.FILTER(
            INDIRECT("'"&amp;L$62&amp;"'!A2:E1000"), (INDIRECT("'"&amp;L$62&amp;"'!B2:B1000")=$B12) * (INDIRECT("'"&amp;L$62&amp;"'!C2:C1000")=$C12)
        ),
        5,
        FALSE
    )
)</f>
        <v>Enviado</v>
      </c>
      <c r="M12" s="75" t="str">
        <f t="array" aca="1" ref="M12" ca="1">IF(
    VLOOKUP(
        $A12,
        _xlfn._xlws.FILTER(
            INDIRECT("'"&amp;M$62&amp;"'!A2:E1000"), (INDIRECT("'"&amp;M$62&amp;"'!B2:B1000")=$B12) * (INDIRECT("'"&amp;M$62&amp;"'!C2:C1000")=$C12)
        ),
        5,
        FALSE
    )=0,
    "",
    VLOOKUP(
        $A12,
        _xlfn._xlws.FILTER(
            INDIRECT("'"&amp;M$62&amp;"'!A2:E1000"), (INDIRECT("'"&amp;M$62&amp;"'!B2:B1000")=$B12) * (INDIRECT("'"&amp;M$62&amp;"'!C2:C1000")=$C12)
        ),
        5,
        FALSE
    )
)</f>
        <v>Enviado</v>
      </c>
      <c r="N12" s="75" t="str">
        <f t="array" aca="1" ref="N12" ca="1">IF(
    VLOOKUP(
        $A12,
        _xlfn._xlws.FILTER(
            INDIRECT("'"&amp;N$62&amp;"'!A2:E1000"), (INDIRECT("'"&amp;N$62&amp;"'!B2:B1000")=$B12) * (INDIRECT("'"&amp;N$62&amp;"'!C2:C1000")=$C12)
        ),
        5,
        FALSE
    )=0,
    "",
    VLOOKUP(
        $A12,
        _xlfn._xlws.FILTER(
            INDIRECT("'"&amp;N$62&amp;"'!A2:E1000"), (INDIRECT("'"&amp;N$62&amp;"'!B2:B1000")=$B12) * (INDIRECT("'"&amp;N$62&amp;"'!C2:C1000")=$C12)
        ),
        5,
        FALSE
    )
)</f>
        <v/>
      </c>
      <c r="O12" s="75" t="str">
        <f t="array" aca="1" ref="O12" ca="1">IF(
    VLOOKUP(
        $A12,
        _xlfn._xlws.FILTER(
            INDIRECT("'"&amp;O$62&amp;"'!A2:E1000"), (INDIRECT("'"&amp;O$62&amp;"'!B2:B1000")=$B12) * (INDIRECT("'"&amp;O$62&amp;"'!C2:C1000")=$C12)
        ),
        5,
        FALSE
    )=0,
    "",
    VLOOKUP(
        $A12,
        _xlfn._xlws.FILTER(
            INDIRECT("'"&amp;O$62&amp;"'!A2:E1000"), (INDIRECT("'"&amp;O$62&amp;"'!B2:B1000")=$B12) * (INDIRECT("'"&amp;O$62&amp;"'!C2:C1000")=$C12)
        ),
        5,
        FALSE
    )
)</f>
        <v/>
      </c>
    </row>
    <row r="13" spans="1:15">
      <c r="A13" s="32" t="s">
        <v>35</v>
      </c>
      <c r="B13" s="60" t="s">
        <v>85</v>
      </c>
      <c r="C13" s="60" t="s">
        <v>75</v>
      </c>
      <c r="D13" s="75" t="str">
        <f t="array" aca="1" ref="D13" ca="1">IF(
    VLOOKUP(
        $A13,
        _xlfn._xlws.FILTER(
            INDIRECT("'"&amp;D$62&amp;"'!A2:E1000"), (INDIRECT("'"&amp;D$62&amp;"'!B2:B1000")=$B13) * (INDIRECT("'"&amp;D$62&amp;"'!C2:C1000")=$C13)
        ),
        5,
        FALSE
    )=0,
    "",
    VLOOKUP(
        $A13,
        _xlfn._xlws.FILTER(
            INDIRECT("'"&amp;D$62&amp;"'!A2:E1000"), (INDIRECT("'"&amp;D$62&amp;"'!B2:B1000")=$B13) * (INDIRECT("'"&amp;D$62&amp;"'!C2:C1000")=$C13)
        ),
        5,
        FALSE
    )
)</f>
        <v>Enviado</v>
      </c>
      <c r="E13" s="75" t="str">
        <f t="array" aca="1" ref="E13" ca="1">IF(
    VLOOKUP(
        $A13,
        _xlfn._xlws.FILTER(
            INDIRECT("'"&amp;E$62&amp;"'!A2:E1000"), (INDIRECT("'"&amp;E$62&amp;"'!B2:B1000")=$B13) * (INDIRECT("'"&amp;E$62&amp;"'!C2:C1000")=$C13)
        ),
        5,
        FALSE
    )=0,
    "",
    VLOOKUP(
        $A13,
        _xlfn._xlws.FILTER(
            INDIRECT("'"&amp;E$62&amp;"'!A2:E1000"), (INDIRECT("'"&amp;E$62&amp;"'!B2:B1000")=$B13) * (INDIRECT("'"&amp;E$62&amp;"'!C2:C1000")=$C13)
        ),
        5,
        FALSE
    )
)</f>
        <v>Enviado</v>
      </c>
      <c r="F13" s="75" t="str">
        <f t="array" aca="1" ref="F13" ca="1">IF(
    VLOOKUP(
        $A13,
        _xlfn._xlws.FILTER(
            INDIRECT("'"&amp;F$62&amp;"'!A2:E1000"), (INDIRECT("'"&amp;F$62&amp;"'!B2:B1000")=$B13) * (INDIRECT("'"&amp;F$62&amp;"'!C2:C1000")=$C13)
        ),
        5,
        FALSE
    )=0,
    "",
    VLOOKUP(
        $A13,
        _xlfn._xlws.FILTER(
            INDIRECT("'"&amp;F$62&amp;"'!A2:E1000"), (INDIRECT("'"&amp;F$62&amp;"'!B2:B1000")=$B13) * (INDIRECT("'"&amp;F$62&amp;"'!C2:C1000")=$C13)
        ),
        5,
        FALSE
    )
)</f>
        <v>Enviado</v>
      </c>
      <c r="G13" s="75" t="str">
        <f t="array" aca="1" ref="G13" ca="1">IF(
    VLOOKUP(
        $A13,
        _xlfn._xlws.FILTER(
            INDIRECT("'"&amp;G$62&amp;"'!A2:E1000"), (INDIRECT("'"&amp;G$62&amp;"'!B2:B1000")=$B13) * (INDIRECT("'"&amp;G$62&amp;"'!C2:C1000")=$C13)
        ),
        5,
        FALSE
    )=0,
    "",
    VLOOKUP(
        $A13,
        _xlfn._xlws.FILTER(
            INDIRECT("'"&amp;G$62&amp;"'!A2:E1000"), (INDIRECT("'"&amp;G$62&amp;"'!B2:B1000")=$B13) * (INDIRECT("'"&amp;G$62&amp;"'!C2:C1000")=$C13)
        ),
        5,
        FALSE
    )
)</f>
        <v>Enviado</v>
      </c>
      <c r="H13" s="75" t="str">
        <f t="array" aca="1" ref="H13" ca="1">IF(
    VLOOKUP(
        $A13,
        _xlfn._xlws.FILTER(
            INDIRECT("'"&amp;H$62&amp;"'!A2:E1000"), (INDIRECT("'"&amp;H$62&amp;"'!B2:B1000")=$B13) * (INDIRECT("'"&amp;H$62&amp;"'!C2:C1000")=$C13)
        ),
        5,
        FALSE
    )=0,
    "",
    VLOOKUP(
        $A13,
        _xlfn._xlws.FILTER(
            INDIRECT("'"&amp;H$62&amp;"'!A2:E1000"), (INDIRECT("'"&amp;H$62&amp;"'!B2:B1000")=$B13) * (INDIRECT("'"&amp;H$62&amp;"'!C2:C1000")=$C13)
        ),
        5,
        FALSE
    )
)</f>
        <v>Enviado</v>
      </c>
      <c r="I13" s="75" t="str">
        <f t="array" aca="1" ref="I13" ca="1">IF(
    VLOOKUP(
        $A13,
        _xlfn._xlws.FILTER(
            INDIRECT("'"&amp;I$62&amp;"'!A2:E1000"), (INDIRECT("'"&amp;I$62&amp;"'!B2:B1000")=$B13) * (INDIRECT("'"&amp;I$62&amp;"'!C2:C1000")=$C13)
        ),
        5,
        FALSE
    )=0,
    "",
    VLOOKUP(
        $A13,
        _xlfn._xlws.FILTER(
            INDIRECT("'"&amp;I$62&amp;"'!A2:E1000"), (INDIRECT("'"&amp;I$62&amp;"'!B2:B1000")=$B13) * (INDIRECT("'"&amp;I$62&amp;"'!C2:C1000")=$C13)
        ),
        5,
        FALSE
    )
)</f>
        <v>Enviado</v>
      </c>
      <c r="J13" s="75" t="str">
        <f t="array" aca="1" ref="J13" ca="1">IF(
    VLOOKUP(
        $A13,
        _xlfn._xlws.FILTER(
            INDIRECT("'"&amp;J$62&amp;"'!A2:E1000"), (INDIRECT("'"&amp;J$62&amp;"'!B2:B1000")=$B13) * (INDIRECT("'"&amp;J$62&amp;"'!C2:C1000")=$C13)
        ),
        5,
        FALSE
    )=0,
    "",
    VLOOKUP(
        $A13,
        _xlfn._xlws.FILTER(
            INDIRECT("'"&amp;J$62&amp;"'!A2:E1000"), (INDIRECT("'"&amp;J$62&amp;"'!B2:B1000")=$B13) * (INDIRECT("'"&amp;J$62&amp;"'!C2:C1000")=$C13)
        ),
        5,
        FALSE
    )
)</f>
        <v>Enviado</v>
      </c>
      <c r="K13" s="75" t="str">
        <f t="array" aca="1" ref="K13" ca="1">IF(
    VLOOKUP(
        $A13,
        _xlfn._xlws.FILTER(
            INDIRECT("'"&amp;K$62&amp;"'!A2:E1000"), (INDIRECT("'"&amp;K$62&amp;"'!B2:B1000")=$B13) * (INDIRECT("'"&amp;K$62&amp;"'!C2:C1000")=$C13)
        ),
        5,
        FALSE
    )=0,
    "",
    VLOOKUP(
        $A13,
        _xlfn._xlws.FILTER(
            INDIRECT("'"&amp;K$62&amp;"'!A2:E1000"), (INDIRECT("'"&amp;K$62&amp;"'!B2:B1000")=$B13) * (INDIRECT("'"&amp;K$62&amp;"'!C2:C1000")=$C13)
        ),
        5,
        FALSE
    )
)</f>
        <v>Enviado</v>
      </c>
      <c r="L13" s="75" t="str">
        <f t="array" aca="1" ref="L13" ca="1">IF(
    VLOOKUP(
        $A13,
        _xlfn._xlws.FILTER(
            INDIRECT("'"&amp;L$62&amp;"'!A2:E1000"), (INDIRECT("'"&amp;L$62&amp;"'!B2:B1000")=$B13) * (INDIRECT("'"&amp;L$62&amp;"'!C2:C1000")=$C13)
        ),
        5,
        FALSE
    )=0,
    "",
    VLOOKUP(
        $A13,
        _xlfn._xlws.FILTER(
            INDIRECT("'"&amp;L$62&amp;"'!A2:E1000"), (INDIRECT("'"&amp;L$62&amp;"'!B2:B1000")=$B13) * (INDIRECT("'"&amp;L$62&amp;"'!C2:C1000")=$C13)
        ),
        5,
        FALSE
    )
)</f>
        <v>Enviado</v>
      </c>
      <c r="M13" s="75" t="str">
        <f t="array" aca="1" ref="M13" ca="1">IF(
    VLOOKUP(
        $A13,
        _xlfn._xlws.FILTER(
            INDIRECT("'"&amp;M$62&amp;"'!A2:E1000"), (INDIRECT("'"&amp;M$62&amp;"'!B2:B1000")=$B13) * (INDIRECT("'"&amp;M$62&amp;"'!C2:C1000")=$C13)
        ),
        5,
        FALSE
    )=0,
    "",
    VLOOKUP(
        $A13,
        _xlfn._xlws.FILTER(
            INDIRECT("'"&amp;M$62&amp;"'!A2:E1000"), (INDIRECT("'"&amp;M$62&amp;"'!B2:B1000")=$B13) * (INDIRECT("'"&amp;M$62&amp;"'!C2:C1000")=$C13)
        ),
        5,
        FALSE
    )
)</f>
        <v>Enviado</v>
      </c>
      <c r="N13" s="75" t="str">
        <f t="array" aca="1" ref="N13" ca="1">IF(
    VLOOKUP(
        $A13,
        _xlfn._xlws.FILTER(
            INDIRECT("'"&amp;N$62&amp;"'!A2:E1000"), (INDIRECT("'"&amp;N$62&amp;"'!B2:B1000")=$B13) * (INDIRECT("'"&amp;N$62&amp;"'!C2:C1000")=$C13)
        ),
        5,
        FALSE
    )=0,
    "",
    VLOOKUP(
        $A13,
        _xlfn._xlws.FILTER(
            INDIRECT("'"&amp;N$62&amp;"'!A2:E1000"), (INDIRECT("'"&amp;N$62&amp;"'!B2:B1000")=$B13) * (INDIRECT("'"&amp;N$62&amp;"'!C2:C1000")=$C13)
        ),
        5,
        FALSE
    )
)</f>
        <v/>
      </c>
      <c r="O13" s="75" t="str">
        <f t="array" aca="1" ref="O13" ca="1">IF(
    VLOOKUP(
        $A13,
        _xlfn._xlws.FILTER(
            INDIRECT("'"&amp;O$62&amp;"'!A2:E1000"), (INDIRECT("'"&amp;O$62&amp;"'!B2:B1000")=$B13) * (INDIRECT("'"&amp;O$62&amp;"'!C2:C1000")=$C13)
        ),
        5,
        FALSE
    )=0,
    "",
    VLOOKUP(
        $A13,
        _xlfn._xlws.FILTER(
            INDIRECT("'"&amp;O$62&amp;"'!A2:E1000"), (INDIRECT("'"&amp;O$62&amp;"'!B2:B1000")=$B13) * (INDIRECT("'"&amp;O$62&amp;"'!C2:C1000")=$C13)
        ),
        5,
        FALSE
    )
)</f>
        <v/>
      </c>
    </row>
    <row r="14" spans="1:15">
      <c r="A14" s="32" t="s">
        <v>35</v>
      </c>
      <c r="B14" s="60" t="s">
        <v>86</v>
      </c>
      <c r="C14" s="60" t="s">
        <v>75</v>
      </c>
      <c r="D14" s="75" t="str">
        <f t="array" aca="1" ref="D14" ca="1">IF(
    VLOOKUP(
        $A14,
        _xlfn._xlws.FILTER(
            INDIRECT("'"&amp;D$62&amp;"'!A2:E1000"), (INDIRECT("'"&amp;D$62&amp;"'!B2:B1000")=$B14) * (INDIRECT("'"&amp;D$62&amp;"'!C2:C1000")=$C14)
        ),
        5,
        FALSE
    )=0,
    "",
    VLOOKUP(
        $A14,
        _xlfn._xlws.FILTER(
            INDIRECT("'"&amp;D$62&amp;"'!A2:E1000"), (INDIRECT("'"&amp;D$62&amp;"'!B2:B1000")=$B14) * (INDIRECT("'"&amp;D$62&amp;"'!C2:C1000")=$C14)
        ),
        5,
        FALSE
    )
)</f>
        <v>Enviado</v>
      </c>
      <c r="E14" s="75" t="str">
        <f t="array" aca="1" ref="E14" ca="1">IF(
    VLOOKUP(
        $A14,
        _xlfn._xlws.FILTER(
            INDIRECT("'"&amp;E$62&amp;"'!A2:E1000"), (INDIRECT("'"&amp;E$62&amp;"'!B2:B1000")=$B14) * (INDIRECT("'"&amp;E$62&amp;"'!C2:C1000")=$C14)
        ),
        5,
        FALSE
    )=0,
    "",
    VLOOKUP(
        $A14,
        _xlfn._xlws.FILTER(
            INDIRECT("'"&amp;E$62&amp;"'!A2:E1000"), (INDIRECT("'"&amp;E$62&amp;"'!B2:B1000")=$B14) * (INDIRECT("'"&amp;E$62&amp;"'!C2:C1000")=$C14)
        ),
        5,
        FALSE
    )
)</f>
        <v>Enviado</v>
      </c>
      <c r="F14" s="75" t="str">
        <f t="array" aca="1" ref="F14" ca="1">IF(
    VLOOKUP(
        $A14,
        _xlfn._xlws.FILTER(
            INDIRECT("'"&amp;F$62&amp;"'!A2:E1000"), (INDIRECT("'"&amp;F$62&amp;"'!B2:B1000")=$B14) * (INDIRECT("'"&amp;F$62&amp;"'!C2:C1000")=$C14)
        ),
        5,
        FALSE
    )=0,
    "",
    VLOOKUP(
        $A14,
        _xlfn._xlws.FILTER(
            INDIRECT("'"&amp;F$62&amp;"'!A2:E1000"), (INDIRECT("'"&amp;F$62&amp;"'!B2:B1000")=$B14) * (INDIRECT("'"&amp;F$62&amp;"'!C2:C1000")=$C14)
        ),
        5,
        FALSE
    )
)</f>
        <v>Enviado</v>
      </c>
      <c r="G14" s="75" t="str">
        <f t="array" aca="1" ref="G14" ca="1">IF(
    VLOOKUP(
        $A14,
        _xlfn._xlws.FILTER(
            INDIRECT("'"&amp;G$62&amp;"'!A2:E1000"), (INDIRECT("'"&amp;G$62&amp;"'!B2:B1000")=$B14) * (INDIRECT("'"&amp;G$62&amp;"'!C2:C1000")=$C14)
        ),
        5,
        FALSE
    )=0,
    "",
    VLOOKUP(
        $A14,
        _xlfn._xlws.FILTER(
            INDIRECT("'"&amp;G$62&amp;"'!A2:E1000"), (INDIRECT("'"&amp;G$62&amp;"'!B2:B1000")=$B14) * (INDIRECT("'"&amp;G$62&amp;"'!C2:C1000")=$C14)
        ),
        5,
        FALSE
    )
)</f>
        <v>Enviado</v>
      </c>
      <c r="H14" s="75" t="str">
        <f t="array" aca="1" ref="H14" ca="1">IF(
    VLOOKUP(
        $A14,
        _xlfn._xlws.FILTER(
            INDIRECT("'"&amp;H$62&amp;"'!A2:E1000"), (INDIRECT("'"&amp;H$62&amp;"'!B2:B1000")=$B14) * (INDIRECT("'"&amp;H$62&amp;"'!C2:C1000")=$C14)
        ),
        5,
        FALSE
    )=0,
    "",
    VLOOKUP(
        $A14,
        _xlfn._xlws.FILTER(
            INDIRECT("'"&amp;H$62&amp;"'!A2:E1000"), (INDIRECT("'"&amp;H$62&amp;"'!B2:B1000")=$B14) * (INDIRECT("'"&amp;H$62&amp;"'!C2:C1000")=$C14)
        ),
        5,
        FALSE
    )
)</f>
        <v>Enviado</v>
      </c>
      <c r="I14" s="75" t="str">
        <f t="array" aca="1" ref="I14" ca="1">IF(
    VLOOKUP(
        $A14,
        _xlfn._xlws.FILTER(
            INDIRECT("'"&amp;I$62&amp;"'!A2:E1000"), (INDIRECT("'"&amp;I$62&amp;"'!B2:B1000")=$B14) * (INDIRECT("'"&amp;I$62&amp;"'!C2:C1000")=$C14)
        ),
        5,
        FALSE
    )=0,
    "",
    VLOOKUP(
        $A14,
        _xlfn._xlws.FILTER(
            INDIRECT("'"&amp;I$62&amp;"'!A2:E1000"), (INDIRECT("'"&amp;I$62&amp;"'!B2:B1000")=$B14) * (INDIRECT("'"&amp;I$62&amp;"'!C2:C1000")=$C14)
        ),
        5,
        FALSE
    )
)</f>
        <v>Enviado</v>
      </c>
      <c r="J14" s="75" t="str">
        <f t="array" aca="1" ref="J14" ca="1">IF(
    VLOOKUP(
        $A14,
        _xlfn._xlws.FILTER(
            INDIRECT("'"&amp;J$62&amp;"'!A2:E1000"), (INDIRECT("'"&amp;J$62&amp;"'!B2:B1000")=$B14) * (INDIRECT("'"&amp;J$62&amp;"'!C2:C1000")=$C14)
        ),
        5,
        FALSE
    )=0,
    "",
    VLOOKUP(
        $A14,
        _xlfn._xlws.FILTER(
            INDIRECT("'"&amp;J$62&amp;"'!A2:E1000"), (INDIRECT("'"&amp;J$62&amp;"'!B2:B1000")=$B14) * (INDIRECT("'"&amp;J$62&amp;"'!C2:C1000")=$C14)
        ),
        5,
        FALSE
    )
)</f>
        <v>Enviado</v>
      </c>
      <c r="K14" s="75" t="str">
        <f t="array" aca="1" ref="K14" ca="1">IF(
    VLOOKUP(
        $A14,
        _xlfn._xlws.FILTER(
            INDIRECT("'"&amp;K$62&amp;"'!A2:E1000"), (INDIRECT("'"&amp;K$62&amp;"'!B2:B1000")=$B14) * (INDIRECT("'"&amp;K$62&amp;"'!C2:C1000")=$C14)
        ),
        5,
        FALSE
    )=0,
    "",
    VLOOKUP(
        $A14,
        _xlfn._xlws.FILTER(
            INDIRECT("'"&amp;K$62&amp;"'!A2:E1000"), (INDIRECT("'"&amp;K$62&amp;"'!B2:B1000")=$B14) * (INDIRECT("'"&amp;K$62&amp;"'!C2:C1000")=$C14)
        ),
        5,
        FALSE
    )
)</f>
        <v>Enviado</v>
      </c>
      <c r="L14" s="75" t="str">
        <f t="array" aca="1" ref="L14" ca="1">IF(
    VLOOKUP(
        $A14,
        _xlfn._xlws.FILTER(
            INDIRECT("'"&amp;L$62&amp;"'!A2:E1000"), (INDIRECT("'"&amp;L$62&amp;"'!B2:B1000")=$B14) * (INDIRECT("'"&amp;L$62&amp;"'!C2:C1000")=$C14)
        ),
        5,
        FALSE
    )=0,
    "",
    VLOOKUP(
        $A14,
        _xlfn._xlws.FILTER(
            INDIRECT("'"&amp;L$62&amp;"'!A2:E1000"), (INDIRECT("'"&amp;L$62&amp;"'!B2:B1000")=$B14) * (INDIRECT("'"&amp;L$62&amp;"'!C2:C1000")=$C14)
        ),
        5,
        FALSE
    )
)</f>
        <v>Enviado</v>
      </c>
      <c r="M14" s="75" t="str">
        <f t="array" aca="1" ref="M14" ca="1">IF(
    VLOOKUP(
        $A14,
        _xlfn._xlws.FILTER(
            INDIRECT("'"&amp;M$62&amp;"'!A2:E1000"), (INDIRECT("'"&amp;M$62&amp;"'!B2:B1000")=$B14) * (INDIRECT("'"&amp;M$62&amp;"'!C2:C1000")=$C14)
        ),
        5,
        FALSE
    )=0,
    "",
    VLOOKUP(
        $A14,
        _xlfn._xlws.FILTER(
            INDIRECT("'"&amp;M$62&amp;"'!A2:E1000"), (INDIRECT("'"&amp;M$62&amp;"'!B2:B1000")=$B14) * (INDIRECT("'"&amp;M$62&amp;"'!C2:C1000")=$C14)
        ),
        5,
        FALSE
    )
)</f>
        <v>Enviado</v>
      </c>
      <c r="N14" s="75" t="str">
        <f t="array" aca="1" ref="N14" ca="1">IF(
    VLOOKUP(
        $A14,
        _xlfn._xlws.FILTER(
            INDIRECT("'"&amp;N$62&amp;"'!A2:E1000"), (INDIRECT("'"&amp;N$62&amp;"'!B2:B1000")=$B14) * (INDIRECT("'"&amp;N$62&amp;"'!C2:C1000")=$C14)
        ),
        5,
        FALSE
    )=0,
    "",
    VLOOKUP(
        $A14,
        _xlfn._xlws.FILTER(
            INDIRECT("'"&amp;N$62&amp;"'!A2:E1000"), (INDIRECT("'"&amp;N$62&amp;"'!B2:B1000")=$B14) * (INDIRECT("'"&amp;N$62&amp;"'!C2:C1000")=$C14)
        ),
        5,
        FALSE
    )
)</f>
        <v/>
      </c>
      <c r="O14" s="75" t="str">
        <f t="array" aca="1" ref="O14" ca="1">IF(
    VLOOKUP(
        $A14,
        _xlfn._xlws.FILTER(
            INDIRECT("'"&amp;O$62&amp;"'!A2:E1000"), (INDIRECT("'"&amp;O$62&amp;"'!B2:B1000")=$B14) * (INDIRECT("'"&amp;O$62&amp;"'!C2:C1000")=$C14)
        ),
        5,
        FALSE
    )=0,
    "",
    VLOOKUP(
        $A14,
        _xlfn._xlws.FILTER(
            INDIRECT("'"&amp;O$62&amp;"'!A2:E1000"), (INDIRECT("'"&amp;O$62&amp;"'!B2:B1000")=$B14) * (INDIRECT("'"&amp;O$62&amp;"'!C2:C1000")=$C14)
        ),
        5,
        FALSE
    )
)</f>
        <v/>
      </c>
    </row>
    <row r="16" spans="1:15" ht="15.75" customHeight="1">
      <c r="A16" s="76" t="s">
        <v>87</v>
      </c>
      <c r="B16" s="21" t="s">
        <v>72</v>
      </c>
      <c r="C16" s="21" t="s">
        <v>73</v>
      </c>
      <c r="D16" s="74" t="s">
        <v>1</v>
      </c>
      <c r="E16" s="74" t="s">
        <v>2</v>
      </c>
      <c r="F16" s="74" t="s">
        <v>3</v>
      </c>
      <c r="G16" s="74" t="s">
        <v>4</v>
      </c>
      <c r="H16" s="74" t="s">
        <v>5</v>
      </c>
      <c r="I16" s="74" t="s">
        <v>6</v>
      </c>
      <c r="J16" s="74" t="s">
        <v>7</v>
      </c>
      <c r="K16" s="74" t="s">
        <v>8</v>
      </c>
      <c r="L16" s="74" t="s">
        <v>9</v>
      </c>
      <c r="M16" s="74" t="s">
        <v>10</v>
      </c>
      <c r="N16" s="74" t="s">
        <v>11</v>
      </c>
      <c r="O16" s="74" t="s">
        <v>12</v>
      </c>
    </row>
    <row r="17" spans="1:15">
      <c r="A17" s="29" t="s">
        <v>37</v>
      </c>
      <c r="B17" s="60" t="s">
        <v>88</v>
      </c>
      <c r="C17" s="60" t="s">
        <v>75</v>
      </c>
      <c r="D17" s="75" t="str">
        <f t="array" aca="1" ref="D17" ca="1">IF(
    VLOOKUP(
        $A17,
        _xlfn._xlws.FILTER(
            INDIRECT("'"&amp;D$62&amp;"'!A2:E1000"), (INDIRECT("'"&amp;D$62&amp;"'!B2:B1000")=$B17) * (INDIRECT("'"&amp;D$62&amp;"'!C2:C1000")=$C17)
        ),
        5,
        FALSE
    )=0,
    "",
    VLOOKUP(
        $A17,
        _xlfn._xlws.FILTER(
            INDIRECT("'"&amp;D$62&amp;"'!A2:E1000"), (INDIRECT("'"&amp;D$62&amp;"'!B2:B1000")=$B17) * (INDIRECT("'"&amp;D$62&amp;"'!C2:C1000")=$C17)
        ),
        5,
        FALSE
    )
)</f>
        <v>Enviado</v>
      </c>
      <c r="E17" s="75" t="str">
        <f t="array" aca="1" ref="E17" ca="1">IF(
    VLOOKUP(
        $A17,
        _xlfn._xlws.FILTER(
            INDIRECT("'"&amp;E$62&amp;"'!A2:E1000"), (INDIRECT("'"&amp;E$62&amp;"'!B2:B1000")=$B17) * (INDIRECT("'"&amp;E$62&amp;"'!C2:C1000")=$C17)
        ),
        5,
        FALSE
    )=0,
    "",
    VLOOKUP(
        $A17,
        _xlfn._xlws.FILTER(
            INDIRECT("'"&amp;E$62&amp;"'!A2:E1000"), (INDIRECT("'"&amp;E$62&amp;"'!B2:B1000")=$B17) * (INDIRECT("'"&amp;E$62&amp;"'!C2:C1000")=$C17)
        ),
        5,
        FALSE
    )
)</f>
        <v>Enviado</v>
      </c>
      <c r="F17" s="75" t="str">
        <f t="array" aca="1" ref="F17" ca="1">IF(
    VLOOKUP(
        $A17,
        _xlfn._xlws.FILTER(
            INDIRECT("'"&amp;F$62&amp;"'!A2:E1000"), (INDIRECT("'"&amp;F$62&amp;"'!B2:B1000")=$B17) * (INDIRECT("'"&amp;F$62&amp;"'!C2:C1000")=$C17)
        ),
        5,
        FALSE
    )=0,
    "",
    VLOOKUP(
        $A17,
        _xlfn._xlws.FILTER(
            INDIRECT("'"&amp;F$62&amp;"'!A2:E1000"), (INDIRECT("'"&amp;F$62&amp;"'!B2:B1000")=$B17) * (INDIRECT("'"&amp;F$62&amp;"'!C2:C1000")=$C17)
        ),
        5,
        FALSE
    )
)</f>
        <v>Enviado</v>
      </c>
      <c r="G17" s="75" t="str">
        <f t="array" aca="1" ref="G17" ca="1">IF(
    VLOOKUP(
        $A17,
        _xlfn._xlws.FILTER(
            INDIRECT("'"&amp;G$62&amp;"'!A2:E1000"), (INDIRECT("'"&amp;G$62&amp;"'!B2:B1000")=$B17) * (INDIRECT("'"&amp;G$62&amp;"'!C2:C1000")=$C17)
        ),
        5,
        FALSE
    )=0,
    "",
    VLOOKUP(
        $A17,
        _xlfn._xlws.FILTER(
            INDIRECT("'"&amp;G$62&amp;"'!A2:E1000"), (INDIRECT("'"&amp;G$62&amp;"'!B2:B1000")=$B17) * (INDIRECT("'"&amp;G$62&amp;"'!C2:C1000")=$C17)
        ),
        5,
        FALSE
    )
)</f>
        <v>Enviado</v>
      </c>
      <c r="H17" s="75" t="str">
        <f t="array" aca="1" ref="H17" ca="1">IF(
    VLOOKUP(
        $A17,
        _xlfn._xlws.FILTER(
            INDIRECT("'"&amp;H$62&amp;"'!A2:E1000"), (INDIRECT("'"&amp;H$62&amp;"'!B2:B1000")=$B17) * (INDIRECT("'"&amp;H$62&amp;"'!C2:C1000")=$C17)
        ),
        5,
        FALSE
    )=0,
    "",
    VLOOKUP(
        $A17,
        _xlfn._xlws.FILTER(
            INDIRECT("'"&amp;H$62&amp;"'!A2:E1000"), (INDIRECT("'"&amp;H$62&amp;"'!B2:B1000")=$B17) * (INDIRECT("'"&amp;H$62&amp;"'!C2:C1000")=$C17)
        ),
        5,
        FALSE
    )
)</f>
        <v>Enviado</v>
      </c>
      <c r="I17" s="75" t="str">
        <f t="array" aca="1" ref="I17" ca="1">IF(
    VLOOKUP(
        $A17,
        _xlfn._xlws.FILTER(
            INDIRECT("'"&amp;I$62&amp;"'!A2:E1000"), (INDIRECT("'"&amp;I$62&amp;"'!B2:B1000")=$B17) * (INDIRECT("'"&amp;I$62&amp;"'!C2:C1000")=$C17)
        ),
        5,
        FALSE
    )=0,
    "",
    VLOOKUP(
        $A17,
        _xlfn._xlws.FILTER(
            INDIRECT("'"&amp;I$62&amp;"'!A2:E1000"), (INDIRECT("'"&amp;I$62&amp;"'!B2:B1000")=$B17) * (INDIRECT("'"&amp;I$62&amp;"'!C2:C1000")=$C17)
        ),
        5,
        FALSE
    )
)</f>
        <v>Enviado</v>
      </c>
      <c r="J17" s="75" t="str">
        <f t="array" aca="1" ref="J17" ca="1">IF(
    VLOOKUP(
        $A17,
        _xlfn._xlws.FILTER(
            INDIRECT("'"&amp;J$62&amp;"'!A2:E1000"), (INDIRECT("'"&amp;J$62&amp;"'!B2:B1000")=$B17) * (INDIRECT("'"&amp;J$62&amp;"'!C2:C1000")=$C17)
        ),
        5,
        FALSE
    )=0,
    "",
    VLOOKUP(
        $A17,
        _xlfn._xlws.FILTER(
            INDIRECT("'"&amp;J$62&amp;"'!A2:E1000"), (INDIRECT("'"&amp;J$62&amp;"'!B2:B1000")=$B17) * (INDIRECT("'"&amp;J$62&amp;"'!C2:C1000")=$C17)
        ),
        5,
        FALSE
    )
)</f>
        <v>Enviado</v>
      </c>
      <c r="K17" s="75" t="str">
        <f t="array" aca="1" ref="K17" ca="1">IF(
    VLOOKUP(
        $A17,
        _xlfn._xlws.FILTER(
            INDIRECT("'"&amp;K$62&amp;"'!A2:E1000"), (INDIRECT("'"&amp;K$62&amp;"'!B2:B1000")=$B17) * (INDIRECT("'"&amp;K$62&amp;"'!C2:C1000")=$C17)
        ),
        5,
        FALSE
    )=0,
    "",
    VLOOKUP(
        $A17,
        _xlfn._xlws.FILTER(
            INDIRECT("'"&amp;K$62&amp;"'!A2:E1000"), (INDIRECT("'"&amp;K$62&amp;"'!B2:B1000")=$B17) * (INDIRECT("'"&amp;K$62&amp;"'!C2:C1000")=$C17)
        ),
        5,
        FALSE
    )
)</f>
        <v>Enviado</v>
      </c>
      <c r="L17" s="75" t="str">
        <f t="array" aca="1" ref="L17" ca="1">IF(
    VLOOKUP(
        $A17,
        _xlfn._xlws.FILTER(
            INDIRECT("'"&amp;L$62&amp;"'!A2:E1000"), (INDIRECT("'"&amp;L$62&amp;"'!B2:B1000")=$B17) * (INDIRECT("'"&amp;L$62&amp;"'!C2:C1000")=$C17)
        ),
        5,
        FALSE
    )=0,
    "",
    VLOOKUP(
        $A17,
        _xlfn._xlws.FILTER(
            INDIRECT("'"&amp;L$62&amp;"'!A2:E1000"), (INDIRECT("'"&amp;L$62&amp;"'!B2:B1000")=$B17) * (INDIRECT("'"&amp;L$62&amp;"'!C2:C1000")=$C17)
        ),
        5,
        FALSE
    )
)</f>
        <v>Enviado</v>
      </c>
      <c r="M17" s="75" t="str">
        <f t="array" aca="1" ref="M17" ca="1">IF(
    VLOOKUP(
        $A17,
        _xlfn._xlws.FILTER(
            INDIRECT("'"&amp;M$62&amp;"'!A2:E1000"), (INDIRECT("'"&amp;M$62&amp;"'!B2:B1000")=$B17) * (INDIRECT("'"&amp;M$62&amp;"'!C2:C1000")=$C17)
        ),
        5,
        FALSE
    )=0,
    "",
    VLOOKUP(
        $A17,
        _xlfn._xlws.FILTER(
            INDIRECT("'"&amp;M$62&amp;"'!A2:E1000"), (INDIRECT("'"&amp;M$62&amp;"'!B2:B1000")=$B17) * (INDIRECT("'"&amp;M$62&amp;"'!C2:C1000")=$C17)
        ),
        5,
        FALSE
    )
)</f>
        <v>Enviado</v>
      </c>
      <c r="N17" s="75" t="str">
        <f t="array" aca="1" ref="N17" ca="1">IF(
    VLOOKUP(
        $A17,
        _xlfn._xlws.FILTER(
            INDIRECT("'"&amp;N$62&amp;"'!A2:E1000"), (INDIRECT("'"&amp;N$62&amp;"'!B2:B1000")=$B17) * (INDIRECT("'"&amp;N$62&amp;"'!C2:C1000")=$C17)
        ),
        5,
        FALSE
    )=0,
    "",
    VLOOKUP(
        $A17,
        _xlfn._xlws.FILTER(
            INDIRECT("'"&amp;N$62&amp;"'!A2:E1000"), (INDIRECT("'"&amp;N$62&amp;"'!B2:B1000")=$B17) * (INDIRECT("'"&amp;N$62&amp;"'!C2:C1000")=$C17)
        ),
        5,
        FALSE
    )
)</f>
        <v/>
      </c>
      <c r="O17" s="75" t="str">
        <f t="array" aca="1" ref="O17" ca="1">IF(
    VLOOKUP(
        $A17,
        _xlfn._xlws.FILTER(
            INDIRECT("'"&amp;O$62&amp;"'!A2:E1000"), (INDIRECT("'"&amp;O$62&amp;"'!B2:B1000")=$B17) * (INDIRECT("'"&amp;O$62&amp;"'!C2:C1000")=$C17)
        ),
        5,
        FALSE
    )=0,
    "",
    VLOOKUP(
        $A17,
        _xlfn._xlws.FILTER(
            INDIRECT("'"&amp;O$62&amp;"'!A2:E1000"), (INDIRECT("'"&amp;O$62&amp;"'!B2:B1000")=$B17) * (INDIRECT("'"&amp;O$62&amp;"'!C2:C1000")=$C17)
        ),
        5,
        FALSE
    )
)</f>
        <v/>
      </c>
    </row>
    <row r="18" spans="1:15">
      <c r="A18" s="29" t="s">
        <v>37</v>
      </c>
      <c r="B18" s="60" t="s">
        <v>89</v>
      </c>
      <c r="C18" s="60" t="s">
        <v>75</v>
      </c>
      <c r="D18" s="75" t="str">
        <f t="array" aca="1" ref="D18" ca="1">IF(
    VLOOKUP(
        $A18,
        _xlfn._xlws.FILTER(
            INDIRECT("'"&amp;D$62&amp;"'!A2:E1000"), (INDIRECT("'"&amp;D$62&amp;"'!B2:B1000")=$B18) * (INDIRECT("'"&amp;D$62&amp;"'!C2:C1000")=$C18)
        ),
        5,
        FALSE
    )=0,
    "",
    VLOOKUP(
        $A18,
        _xlfn._xlws.FILTER(
            INDIRECT("'"&amp;D$62&amp;"'!A2:E1000"), (INDIRECT("'"&amp;D$62&amp;"'!B2:B1000")=$B18) * (INDIRECT("'"&amp;D$62&amp;"'!C2:C1000")=$C18)
        ),
        5,
        FALSE
    )
)</f>
        <v>Enviado</v>
      </c>
      <c r="E18" s="75" t="str">
        <f t="array" aca="1" ref="E18" ca="1">IF(
    VLOOKUP(
        $A18,
        _xlfn._xlws.FILTER(
            INDIRECT("'"&amp;E$62&amp;"'!A2:E1000"), (INDIRECT("'"&amp;E$62&amp;"'!B2:B1000")=$B18) * (INDIRECT("'"&amp;E$62&amp;"'!C2:C1000")=$C18)
        ),
        5,
        FALSE
    )=0,
    "",
    VLOOKUP(
        $A18,
        _xlfn._xlws.FILTER(
            INDIRECT("'"&amp;E$62&amp;"'!A2:E1000"), (INDIRECT("'"&amp;E$62&amp;"'!B2:B1000")=$B18) * (INDIRECT("'"&amp;E$62&amp;"'!C2:C1000")=$C18)
        ),
        5,
        FALSE
    )
)</f>
        <v>Enviado</v>
      </c>
      <c r="F18" s="75" t="str">
        <f t="array" aca="1" ref="F18" ca="1">IF(
    VLOOKUP(
        $A18,
        _xlfn._xlws.FILTER(
            INDIRECT("'"&amp;F$62&amp;"'!A2:E1000"), (INDIRECT("'"&amp;F$62&amp;"'!B2:B1000")=$B18) * (INDIRECT("'"&amp;F$62&amp;"'!C2:C1000")=$C18)
        ),
        5,
        FALSE
    )=0,
    "",
    VLOOKUP(
        $A18,
        _xlfn._xlws.FILTER(
            INDIRECT("'"&amp;F$62&amp;"'!A2:E1000"), (INDIRECT("'"&amp;F$62&amp;"'!B2:B1000")=$B18) * (INDIRECT("'"&amp;F$62&amp;"'!C2:C1000")=$C18)
        ),
        5,
        FALSE
    )
)</f>
        <v>Enviado</v>
      </c>
      <c r="G18" s="75" t="str">
        <f t="array" aca="1" ref="G18" ca="1">IF(
    VLOOKUP(
        $A18,
        _xlfn._xlws.FILTER(
            INDIRECT("'"&amp;G$62&amp;"'!A2:E1000"), (INDIRECT("'"&amp;G$62&amp;"'!B2:B1000")=$B18) * (INDIRECT("'"&amp;G$62&amp;"'!C2:C1000")=$C18)
        ),
        5,
        FALSE
    )=0,
    "",
    VLOOKUP(
        $A18,
        _xlfn._xlws.FILTER(
            INDIRECT("'"&amp;G$62&amp;"'!A2:E1000"), (INDIRECT("'"&amp;G$62&amp;"'!B2:B1000")=$B18) * (INDIRECT("'"&amp;G$62&amp;"'!C2:C1000")=$C18)
        ),
        5,
        FALSE
    )
)</f>
        <v>Enviado</v>
      </c>
      <c r="H18" s="75" t="str">
        <f t="array" aca="1" ref="H18" ca="1">IF(
    VLOOKUP(
        $A18,
        _xlfn._xlws.FILTER(
            INDIRECT("'"&amp;H$62&amp;"'!A2:E1000"), (INDIRECT("'"&amp;H$62&amp;"'!B2:B1000")=$B18) * (INDIRECT("'"&amp;H$62&amp;"'!C2:C1000")=$C18)
        ),
        5,
        FALSE
    )=0,
    "",
    VLOOKUP(
        $A18,
        _xlfn._xlws.FILTER(
            INDIRECT("'"&amp;H$62&amp;"'!A2:E1000"), (INDIRECT("'"&amp;H$62&amp;"'!B2:B1000")=$B18) * (INDIRECT("'"&amp;H$62&amp;"'!C2:C1000")=$C18)
        ),
        5,
        FALSE
    )
)</f>
        <v>Enviado</v>
      </c>
      <c r="I18" s="75" t="str">
        <f t="array" aca="1" ref="I18" ca="1">IF(
    VLOOKUP(
        $A18,
        _xlfn._xlws.FILTER(
            INDIRECT("'"&amp;I$62&amp;"'!A2:E1000"), (INDIRECT("'"&amp;I$62&amp;"'!B2:B1000")=$B18) * (INDIRECT("'"&amp;I$62&amp;"'!C2:C1000")=$C18)
        ),
        5,
        FALSE
    )=0,
    "",
    VLOOKUP(
        $A18,
        _xlfn._xlws.FILTER(
            INDIRECT("'"&amp;I$62&amp;"'!A2:E1000"), (INDIRECT("'"&amp;I$62&amp;"'!B2:B1000")=$B18) * (INDIRECT("'"&amp;I$62&amp;"'!C2:C1000")=$C18)
        ),
        5,
        FALSE
    )
)</f>
        <v>Enviado</v>
      </c>
      <c r="J18" s="75" t="str">
        <f t="array" aca="1" ref="J18" ca="1">IF(
    VLOOKUP(
        $A18,
        _xlfn._xlws.FILTER(
            INDIRECT("'"&amp;J$62&amp;"'!A2:E1000"), (INDIRECT("'"&amp;J$62&amp;"'!B2:B1000")=$B18) * (INDIRECT("'"&amp;J$62&amp;"'!C2:C1000")=$C18)
        ),
        5,
        FALSE
    )=0,
    "",
    VLOOKUP(
        $A18,
        _xlfn._xlws.FILTER(
            INDIRECT("'"&amp;J$62&amp;"'!A2:E1000"), (INDIRECT("'"&amp;J$62&amp;"'!B2:B1000")=$B18) * (INDIRECT("'"&amp;J$62&amp;"'!C2:C1000")=$C18)
        ),
        5,
        FALSE
    )
)</f>
        <v>Enviado</v>
      </c>
      <c r="K18" s="75" t="str">
        <f t="array" aca="1" ref="K18" ca="1">IF(
    VLOOKUP(
        $A18,
        _xlfn._xlws.FILTER(
            INDIRECT("'"&amp;K$62&amp;"'!A2:E1000"), (INDIRECT("'"&amp;K$62&amp;"'!B2:B1000")=$B18) * (INDIRECT("'"&amp;K$62&amp;"'!C2:C1000")=$C18)
        ),
        5,
        FALSE
    )=0,
    "",
    VLOOKUP(
        $A18,
        _xlfn._xlws.FILTER(
            INDIRECT("'"&amp;K$62&amp;"'!A2:E1000"), (INDIRECT("'"&amp;K$62&amp;"'!B2:B1000")=$B18) * (INDIRECT("'"&amp;K$62&amp;"'!C2:C1000")=$C18)
        ),
        5,
        FALSE
    )
)</f>
        <v>Enviado</v>
      </c>
      <c r="L18" s="75" t="str">
        <f t="array" aca="1" ref="L18" ca="1">IF(
    VLOOKUP(
        $A18,
        _xlfn._xlws.FILTER(
            INDIRECT("'"&amp;L$62&amp;"'!A2:E1000"), (INDIRECT("'"&amp;L$62&amp;"'!B2:B1000")=$B18) * (INDIRECT("'"&amp;L$62&amp;"'!C2:C1000")=$C18)
        ),
        5,
        FALSE
    )=0,
    "",
    VLOOKUP(
        $A18,
        _xlfn._xlws.FILTER(
            INDIRECT("'"&amp;L$62&amp;"'!A2:E1000"), (INDIRECT("'"&amp;L$62&amp;"'!B2:B1000")=$B18) * (INDIRECT("'"&amp;L$62&amp;"'!C2:C1000")=$C18)
        ),
        5,
        FALSE
    )
)</f>
        <v>Enviado</v>
      </c>
      <c r="M18" s="75" t="str">
        <f t="array" aca="1" ref="M18" ca="1">IF(
    VLOOKUP(
        $A18,
        _xlfn._xlws.FILTER(
            INDIRECT("'"&amp;M$62&amp;"'!A2:E1000"), (INDIRECT("'"&amp;M$62&amp;"'!B2:B1000")=$B18) * (INDIRECT("'"&amp;M$62&amp;"'!C2:C1000")=$C18)
        ),
        5,
        FALSE
    )=0,
    "",
    VLOOKUP(
        $A18,
        _xlfn._xlws.FILTER(
            INDIRECT("'"&amp;M$62&amp;"'!A2:E1000"), (INDIRECT("'"&amp;M$62&amp;"'!B2:B1000")=$B18) * (INDIRECT("'"&amp;M$62&amp;"'!C2:C1000")=$C18)
        ),
        5,
        FALSE
    )
)</f>
        <v>Enviado</v>
      </c>
      <c r="N18" s="75" t="str">
        <f t="array" aca="1" ref="N18" ca="1">IF(
    VLOOKUP(
        $A18,
        _xlfn._xlws.FILTER(
            INDIRECT("'"&amp;N$62&amp;"'!A2:E1000"), (INDIRECT("'"&amp;N$62&amp;"'!B2:B1000")=$B18) * (INDIRECT("'"&amp;N$62&amp;"'!C2:C1000")=$C18)
        ),
        5,
        FALSE
    )=0,
    "",
    VLOOKUP(
        $A18,
        _xlfn._xlws.FILTER(
            INDIRECT("'"&amp;N$62&amp;"'!A2:E1000"), (INDIRECT("'"&amp;N$62&amp;"'!B2:B1000")=$B18) * (INDIRECT("'"&amp;N$62&amp;"'!C2:C1000")=$C18)
        ),
        5,
        FALSE
    )
)</f>
        <v/>
      </c>
      <c r="O18" s="75" t="str">
        <f t="array" aca="1" ref="O18" ca="1">IF(
    VLOOKUP(
        $A18,
        _xlfn._xlws.FILTER(
            INDIRECT("'"&amp;O$62&amp;"'!A2:E1000"), (INDIRECT("'"&amp;O$62&amp;"'!B2:B1000")=$B18) * (INDIRECT("'"&amp;O$62&amp;"'!C2:C1000")=$C18)
        ),
        5,
        FALSE
    )=0,
    "",
    VLOOKUP(
        $A18,
        _xlfn._xlws.FILTER(
            INDIRECT("'"&amp;O$62&amp;"'!A2:E1000"), (INDIRECT("'"&amp;O$62&amp;"'!B2:B1000")=$B18) * (INDIRECT("'"&amp;O$62&amp;"'!C2:C1000")=$C18)
        ),
        5,
        FALSE
    )
)</f>
        <v/>
      </c>
    </row>
    <row r="19" spans="1:15">
      <c r="A19" s="29" t="s">
        <v>37</v>
      </c>
      <c r="B19" s="60" t="s">
        <v>90</v>
      </c>
      <c r="C19" s="60" t="s">
        <v>75</v>
      </c>
      <c r="D19" s="75" t="str">
        <f t="array" aca="1" ref="D19" ca="1">IF(
    VLOOKUP(
        $A19,
        _xlfn._xlws.FILTER(
            INDIRECT("'"&amp;D$62&amp;"'!A2:E1000"), (INDIRECT("'"&amp;D$62&amp;"'!B2:B1000")=$B19) * (INDIRECT("'"&amp;D$62&amp;"'!C2:C1000")=$C19)
        ),
        5,
        FALSE
    )=0,
    "",
    VLOOKUP(
        $A19,
        _xlfn._xlws.FILTER(
            INDIRECT("'"&amp;D$62&amp;"'!A2:E1000"), (INDIRECT("'"&amp;D$62&amp;"'!B2:B1000")=$B19) * (INDIRECT("'"&amp;D$62&amp;"'!C2:C1000")=$C19)
        ),
        5,
        FALSE
    )
)</f>
        <v>Enviado</v>
      </c>
      <c r="E19" s="75" t="str">
        <f t="array" aca="1" ref="E19" ca="1">IF(
    VLOOKUP(
        $A19,
        _xlfn._xlws.FILTER(
            INDIRECT("'"&amp;E$62&amp;"'!A2:E1000"), (INDIRECT("'"&amp;E$62&amp;"'!B2:B1000")=$B19) * (INDIRECT("'"&amp;E$62&amp;"'!C2:C1000")=$C19)
        ),
        5,
        FALSE
    )=0,
    "",
    VLOOKUP(
        $A19,
        _xlfn._xlws.FILTER(
            INDIRECT("'"&amp;E$62&amp;"'!A2:E1000"), (INDIRECT("'"&amp;E$62&amp;"'!B2:B1000")=$B19) * (INDIRECT("'"&amp;E$62&amp;"'!C2:C1000")=$C19)
        ),
        5,
        FALSE
    )
)</f>
        <v>Enviado</v>
      </c>
      <c r="F19" s="75" t="str">
        <f t="array" aca="1" ref="F19" ca="1">IF(
    VLOOKUP(
        $A19,
        _xlfn._xlws.FILTER(
            INDIRECT("'"&amp;F$62&amp;"'!A2:E1000"), (INDIRECT("'"&amp;F$62&amp;"'!B2:B1000")=$B19) * (INDIRECT("'"&amp;F$62&amp;"'!C2:C1000")=$C19)
        ),
        5,
        FALSE
    )=0,
    "",
    VLOOKUP(
        $A19,
        _xlfn._xlws.FILTER(
            INDIRECT("'"&amp;F$62&amp;"'!A2:E1000"), (INDIRECT("'"&amp;F$62&amp;"'!B2:B1000")=$B19) * (INDIRECT("'"&amp;F$62&amp;"'!C2:C1000")=$C19)
        ),
        5,
        FALSE
    )
)</f>
        <v>Enviado</v>
      </c>
      <c r="G19" s="75" t="str">
        <f t="array" aca="1" ref="G19" ca="1">IF(
    VLOOKUP(
        $A19,
        _xlfn._xlws.FILTER(
            INDIRECT("'"&amp;G$62&amp;"'!A2:E1000"), (INDIRECT("'"&amp;G$62&amp;"'!B2:B1000")=$B19) * (INDIRECT("'"&amp;G$62&amp;"'!C2:C1000")=$C19)
        ),
        5,
        FALSE
    )=0,
    "",
    VLOOKUP(
        $A19,
        _xlfn._xlws.FILTER(
            INDIRECT("'"&amp;G$62&amp;"'!A2:E1000"), (INDIRECT("'"&amp;G$62&amp;"'!B2:B1000")=$B19) * (INDIRECT("'"&amp;G$62&amp;"'!C2:C1000")=$C19)
        ),
        5,
        FALSE
    )
)</f>
        <v>Enviado</v>
      </c>
      <c r="H19" s="75" t="str">
        <f t="array" aca="1" ref="H19" ca="1">IF(
    VLOOKUP(
        $A19,
        _xlfn._xlws.FILTER(
            INDIRECT("'"&amp;H$62&amp;"'!A2:E1000"), (INDIRECT("'"&amp;H$62&amp;"'!B2:B1000")=$B19) * (INDIRECT("'"&amp;H$62&amp;"'!C2:C1000")=$C19)
        ),
        5,
        FALSE
    )=0,
    "",
    VLOOKUP(
        $A19,
        _xlfn._xlws.FILTER(
            INDIRECT("'"&amp;H$62&amp;"'!A2:E1000"), (INDIRECT("'"&amp;H$62&amp;"'!B2:B1000")=$B19) * (INDIRECT("'"&amp;H$62&amp;"'!C2:C1000")=$C19)
        ),
        5,
        FALSE
    )
)</f>
        <v>Enviado</v>
      </c>
      <c r="I19" s="75" t="str">
        <f t="array" aca="1" ref="I19" ca="1">IF(
    VLOOKUP(
        $A19,
        _xlfn._xlws.FILTER(
            INDIRECT("'"&amp;I$62&amp;"'!A2:E1000"), (INDIRECT("'"&amp;I$62&amp;"'!B2:B1000")=$B19) * (INDIRECT("'"&amp;I$62&amp;"'!C2:C1000")=$C19)
        ),
        5,
        FALSE
    )=0,
    "",
    VLOOKUP(
        $A19,
        _xlfn._xlws.FILTER(
            INDIRECT("'"&amp;I$62&amp;"'!A2:E1000"), (INDIRECT("'"&amp;I$62&amp;"'!B2:B1000")=$B19) * (INDIRECT("'"&amp;I$62&amp;"'!C2:C1000")=$C19)
        ),
        5,
        FALSE
    )
)</f>
        <v>Enviado</v>
      </c>
      <c r="J19" s="75" t="str">
        <f t="array" aca="1" ref="J19" ca="1">IF(
    VLOOKUP(
        $A19,
        _xlfn._xlws.FILTER(
            INDIRECT("'"&amp;J$62&amp;"'!A2:E1000"), (INDIRECT("'"&amp;J$62&amp;"'!B2:B1000")=$B19) * (INDIRECT("'"&amp;J$62&amp;"'!C2:C1000")=$C19)
        ),
        5,
        FALSE
    )=0,
    "",
    VLOOKUP(
        $A19,
        _xlfn._xlws.FILTER(
            INDIRECT("'"&amp;J$62&amp;"'!A2:E1000"), (INDIRECT("'"&amp;J$62&amp;"'!B2:B1000")=$B19) * (INDIRECT("'"&amp;J$62&amp;"'!C2:C1000")=$C19)
        ),
        5,
        FALSE
    )
)</f>
        <v>Enviado</v>
      </c>
      <c r="K19" s="75" t="str">
        <f t="array" aca="1" ref="K19" ca="1">IF(
    VLOOKUP(
        $A19,
        _xlfn._xlws.FILTER(
            INDIRECT("'"&amp;K$62&amp;"'!A2:E1000"), (INDIRECT("'"&amp;K$62&amp;"'!B2:B1000")=$B19) * (INDIRECT("'"&amp;K$62&amp;"'!C2:C1000")=$C19)
        ),
        5,
        FALSE
    )=0,
    "",
    VLOOKUP(
        $A19,
        _xlfn._xlws.FILTER(
            INDIRECT("'"&amp;K$62&amp;"'!A2:E1000"), (INDIRECT("'"&amp;K$62&amp;"'!B2:B1000")=$B19) * (INDIRECT("'"&amp;K$62&amp;"'!C2:C1000")=$C19)
        ),
        5,
        FALSE
    )
)</f>
        <v>Enviado</v>
      </c>
      <c r="L19" s="75" t="str">
        <f t="array" aca="1" ref="L19" ca="1">IF(
    VLOOKUP(
        $A19,
        _xlfn._xlws.FILTER(
            INDIRECT("'"&amp;L$62&amp;"'!A2:E1000"), (INDIRECT("'"&amp;L$62&amp;"'!B2:B1000")=$B19) * (INDIRECT("'"&amp;L$62&amp;"'!C2:C1000")=$C19)
        ),
        5,
        FALSE
    )=0,
    "",
    VLOOKUP(
        $A19,
        _xlfn._xlws.FILTER(
            INDIRECT("'"&amp;L$62&amp;"'!A2:E1000"), (INDIRECT("'"&amp;L$62&amp;"'!B2:B1000")=$B19) * (INDIRECT("'"&amp;L$62&amp;"'!C2:C1000")=$C19)
        ),
        5,
        FALSE
    )
)</f>
        <v>Enviado</v>
      </c>
      <c r="M19" s="75" t="str">
        <f t="array" aca="1" ref="M19" ca="1">IF(
    VLOOKUP(
        $A19,
        _xlfn._xlws.FILTER(
            INDIRECT("'"&amp;M$62&amp;"'!A2:E1000"), (INDIRECT("'"&amp;M$62&amp;"'!B2:B1000")=$B19) * (INDIRECT("'"&amp;M$62&amp;"'!C2:C1000")=$C19)
        ),
        5,
        FALSE
    )=0,
    "",
    VLOOKUP(
        $A19,
        _xlfn._xlws.FILTER(
            INDIRECT("'"&amp;M$62&amp;"'!A2:E1000"), (INDIRECT("'"&amp;M$62&amp;"'!B2:B1000")=$B19) * (INDIRECT("'"&amp;M$62&amp;"'!C2:C1000")=$C19)
        ),
        5,
        FALSE
    )
)</f>
        <v>Enviado</v>
      </c>
      <c r="N19" s="75" t="str">
        <f t="array" aca="1" ref="N19" ca="1">IF(
    VLOOKUP(
        $A19,
        _xlfn._xlws.FILTER(
            INDIRECT("'"&amp;N$62&amp;"'!A2:E1000"), (INDIRECT("'"&amp;N$62&amp;"'!B2:B1000")=$B19) * (INDIRECT("'"&amp;N$62&amp;"'!C2:C1000")=$C19)
        ),
        5,
        FALSE
    )=0,
    "",
    VLOOKUP(
        $A19,
        _xlfn._xlws.FILTER(
            INDIRECT("'"&amp;N$62&amp;"'!A2:E1000"), (INDIRECT("'"&amp;N$62&amp;"'!B2:B1000")=$B19) * (INDIRECT("'"&amp;N$62&amp;"'!C2:C1000")=$C19)
        ),
        5,
        FALSE
    )
)</f>
        <v/>
      </c>
      <c r="O19" s="75" t="str">
        <f t="array" aca="1" ref="O19" ca="1">IF(
    VLOOKUP(
        $A19,
        _xlfn._xlws.FILTER(
            INDIRECT("'"&amp;O$62&amp;"'!A2:E1000"), (INDIRECT("'"&amp;O$62&amp;"'!B2:B1000")=$B19) * (INDIRECT("'"&amp;O$62&amp;"'!C2:C1000")=$C19)
        ),
        5,
        FALSE
    )=0,
    "",
    VLOOKUP(
        $A19,
        _xlfn._xlws.FILTER(
            INDIRECT("'"&amp;O$62&amp;"'!A2:E1000"), (INDIRECT("'"&amp;O$62&amp;"'!B2:B1000")=$B19) * (INDIRECT("'"&amp;O$62&amp;"'!C2:C1000")=$C19)
        ),
        5,
        FALSE
    )
)</f>
        <v/>
      </c>
    </row>
    <row r="20" spans="1:15">
      <c r="A20" s="29" t="s">
        <v>37</v>
      </c>
      <c r="B20" s="60" t="s">
        <v>37</v>
      </c>
      <c r="C20" s="60" t="s">
        <v>75</v>
      </c>
      <c r="D20" s="75" t="str">
        <f t="array" aca="1" ref="D20" ca="1">IF(
    VLOOKUP(
        $A20,
        _xlfn._xlws.FILTER(
            INDIRECT("'"&amp;D$62&amp;"'!A2:E1000"), (INDIRECT("'"&amp;D$62&amp;"'!B2:B1000")=$B20) * (INDIRECT("'"&amp;D$62&amp;"'!C2:C1000")=$C20)
        ),
        5,
        FALSE
    )=0,
    "",
    VLOOKUP(
        $A20,
        _xlfn._xlws.FILTER(
            INDIRECT("'"&amp;D$62&amp;"'!A2:E1000"), (INDIRECT("'"&amp;D$62&amp;"'!B2:B1000")=$B20) * (INDIRECT("'"&amp;D$62&amp;"'!C2:C1000")=$C20)
        ),
        5,
        FALSE
    )
)</f>
        <v>Enviado</v>
      </c>
      <c r="E20" s="75" t="str">
        <f t="array" aca="1" ref="E20" ca="1">IF(
    VLOOKUP(
        $A20,
        _xlfn._xlws.FILTER(
            INDIRECT("'"&amp;E$62&amp;"'!A2:E1000"), (INDIRECT("'"&amp;E$62&amp;"'!B2:B1000")=$B20) * (INDIRECT("'"&amp;E$62&amp;"'!C2:C1000")=$C20)
        ),
        5,
        FALSE
    )=0,
    "",
    VLOOKUP(
        $A20,
        _xlfn._xlws.FILTER(
            INDIRECT("'"&amp;E$62&amp;"'!A2:E1000"), (INDIRECT("'"&amp;E$62&amp;"'!B2:B1000")=$B20) * (INDIRECT("'"&amp;E$62&amp;"'!C2:C1000")=$C20)
        ),
        5,
        FALSE
    )
)</f>
        <v>Enviado</v>
      </c>
      <c r="F20" s="75" t="str">
        <f t="array" aca="1" ref="F20" ca="1">IF(
    VLOOKUP(
        $A20,
        _xlfn._xlws.FILTER(
            INDIRECT("'"&amp;F$62&amp;"'!A2:E1000"), (INDIRECT("'"&amp;F$62&amp;"'!B2:B1000")=$B20) * (INDIRECT("'"&amp;F$62&amp;"'!C2:C1000")=$C20)
        ),
        5,
        FALSE
    )=0,
    "",
    VLOOKUP(
        $A20,
        _xlfn._xlws.FILTER(
            INDIRECT("'"&amp;F$62&amp;"'!A2:E1000"), (INDIRECT("'"&amp;F$62&amp;"'!B2:B1000")=$B20) * (INDIRECT("'"&amp;F$62&amp;"'!C2:C1000")=$C20)
        ),
        5,
        FALSE
    )
)</f>
        <v>Enviado</v>
      </c>
      <c r="G20" s="75" t="str">
        <f t="array" aca="1" ref="G20" ca="1">IF(
    VLOOKUP(
        $A20,
        _xlfn._xlws.FILTER(
            INDIRECT("'"&amp;G$62&amp;"'!A2:E1000"), (INDIRECT("'"&amp;G$62&amp;"'!B2:B1000")=$B20) * (INDIRECT("'"&amp;G$62&amp;"'!C2:C1000")=$C20)
        ),
        5,
        FALSE
    )=0,
    "",
    VLOOKUP(
        $A20,
        _xlfn._xlws.FILTER(
            INDIRECT("'"&amp;G$62&amp;"'!A2:E1000"), (INDIRECT("'"&amp;G$62&amp;"'!B2:B1000")=$B20) * (INDIRECT("'"&amp;G$62&amp;"'!C2:C1000")=$C20)
        ),
        5,
        FALSE
    )
)</f>
        <v>Enviado</v>
      </c>
      <c r="H20" s="75" t="str">
        <f t="array" aca="1" ref="H20" ca="1">IF(
    VLOOKUP(
        $A20,
        _xlfn._xlws.FILTER(
            INDIRECT("'"&amp;H$62&amp;"'!A2:E1000"), (INDIRECT("'"&amp;H$62&amp;"'!B2:B1000")=$B20) * (INDIRECT("'"&amp;H$62&amp;"'!C2:C1000")=$C20)
        ),
        5,
        FALSE
    )=0,
    "",
    VLOOKUP(
        $A20,
        _xlfn._xlws.FILTER(
            INDIRECT("'"&amp;H$62&amp;"'!A2:E1000"), (INDIRECT("'"&amp;H$62&amp;"'!B2:B1000")=$B20) * (INDIRECT("'"&amp;H$62&amp;"'!C2:C1000")=$C20)
        ),
        5,
        FALSE
    )
)</f>
        <v>Enviado</v>
      </c>
      <c r="I20" s="75" t="str">
        <f t="array" aca="1" ref="I20" ca="1">IF(
    VLOOKUP(
        $A20,
        _xlfn._xlws.FILTER(
            INDIRECT("'"&amp;I$62&amp;"'!A2:E1000"), (INDIRECT("'"&amp;I$62&amp;"'!B2:B1000")=$B20) * (INDIRECT("'"&amp;I$62&amp;"'!C2:C1000")=$C20)
        ),
        5,
        FALSE
    )=0,
    "",
    VLOOKUP(
        $A20,
        _xlfn._xlws.FILTER(
            INDIRECT("'"&amp;I$62&amp;"'!A2:E1000"), (INDIRECT("'"&amp;I$62&amp;"'!B2:B1000")=$B20) * (INDIRECT("'"&amp;I$62&amp;"'!C2:C1000")=$C20)
        ),
        5,
        FALSE
    )
)</f>
        <v>Enviado</v>
      </c>
      <c r="J20" s="75" t="str">
        <f t="array" aca="1" ref="J20" ca="1">IF(
    VLOOKUP(
        $A20,
        _xlfn._xlws.FILTER(
            INDIRECT("'"&amp;J$62&amp;"'!A2:E1000"), (INDIRECT("'"&amp;J$62&amp;"'!B2:B1000")=$B20) * (INDIRECT("'"&amp;J$62&amp;"'!C2:C1000")=$C20)
        ),
        5,
        FALSE
    )=0,
    "",
    VLOOKUP(
        $A20,
        _xlfn._xlws.FILTER(
            INDIRECT("'"&amp;J$62&amp;"'!A2:E1000"), (INDIRECT("'"&amp;J$62&amp;"'!B2:B1000")=$B20) * (INDIRECT("'"&amp;J$62&amp;"'!C2:C1000")=$C20)
        ),
        5,
        FALSE
    )
)</f>
        <v>Enviado</v>
      </c>
      <c r="K20" s="75" t="str">
        <f t="array" aca="1" ref="K20" ca="1">IF(
    VLOOKUP(
        $A20,
        _xlfn._xlws.FILTER(
            INDIRECT("'"&amp;K$62&amp;"'!A2:E1000"), (INDIRECT("'"&amp;K$62&amp;"'!B2:B1000")=$B20) * (INDIRECT("'"&amp;K$62&amp;"'!C2:C1000")=$C20)
        ),
        5,
        FALSE
    )=0,
    "",
    VLOOKUP(
        $A20,
        _xlfn._xlws.FILTER(
            INDIRECT("'"&amp;K$62&amp;"'!A2:E1000"), (INDIRECT("'"&amp;K$62&amp;"'!B2:B1000")=$B20) * (INDIRECT("'"&amp;K$62&amp;"'!C2:C1000")=$C20)
        ),
        5,
        FALSE
    )
)</f>
        <v>Enviado</v>
      </c>
      <c r="L20" s="75" t="str">
        <f t="array" aca="1" ref="L20" ca="1">IF(
    VLOOKUP(
        $A20,
        _xlfn._xlws.FILTER(
            INDIRECT("'"&amp;L$62&amp;"'!A2:E1000"), (INDIRECT("'"&amp;L$62&amp;"'!B2:B1000")=$B20) * (INDIRECT("'"&amp;L$62&amp;"'!C2:C1000")=$C20)
        ),
        5,
        FALSE
    )=0,
    "",
    VLOOKUP(
        $A20,
        _xlfn._xlws.FILTER(
            INDIRECT("'"&amp;L$62&amp;"'!A2:E1000"), (INDIRECT("'"&amp;L$62&amp;"'!B2:B1000")=$B20) * (INDIRECT("'"&amp;L$62&amp;"'!C2:C1000")=$C20)
        ),
        5,
        FALSE
    )
)</f>
        <v>Enviado</v>
      </c>
      <c r="M20" s="75" t="str">
        <f t="array" aca="1" ref="M20" ca="1">IF(
    VLOOKUP(
        $A20,
        _xlfn._xlws.FILTER(
            INDIRECT("'"&amp;M$62&amp;"'!A2:E1000"), (INDIRECT("'"&amp;M$62&amp;"'!B2:B1000")=$B20) * (INDIRECT("'"&amp;M$62&amp;"'!C2:C1000")=$C20)
        ),
        5,
        FALSE
    )=0,
    "",
    VLOOKUP(
        $A20,
        _xlfn._xlws.FILTER(
            INDIRECT("'"&amp;M$62&amp;"'!A2:E1000"), (INDIRECT("'"&amp;M$62&amp;"'!B2:B1000")=$B20) * (INDIRECT("'"&amp;M$62&amp;"'!C2:C1000")=$C20)
        ),
        5,
        FALSE
    )
)</f>
        <v>Enviado</v>
      </c>
      <c r="N20" s="75" t="str">
        <f t="array" aca="1" ref="N20" ca="1">IF(
    VLOOKUP(
        $A20,
        _xlfn._xlws.FILTER(
            INDIRECT("'"&amp;N$62&amp;"'!A2:E1000"), (INDIRECT("'"&amp;N$62&amp;"'!B2:B1000")=$B20) * (INDIRECT("'"&amp;N$62&amp;"'!C2:C1000")=$C20)
        ),
        5,
        FALSE
    )=0,
    "",
    VLOOKUP(
        $A20,
        _xlfn._xlws.FILTER(
            INDIRECT("'"&amp;N$62&amp;"'!A2:E1000"), (INDIRECT("'"&amp;N$62&amp;"'!B2:B1000")=$B20) * (INDIRECT("'"&amp;N$62&amp;"'!C2:C1000")=$C20)
        ),
        5,
        FALSE
    )
)</f>
        <v/>
      </c>
      <c r="O20" s="75" t="str">
        <f t="array" aca="1" ref="O20" ca="1">IF(
    VLOOKUP(
        $A20,
        _xlfn._xlws.FILTER(
            INDIRECT("'"&amp;O$62&amp;"'!A2:E1000"), (INDIRECT("'"&amp;O$62&amp;"'!B2:B1000")=$B20) * (INDIRECT("'"&amp;O$62&amp;"'!C2:C1000")=$C20)
        ),
        5,
        FALSE
    )=0,
    "",
    VLOOKUP(
        $A20,
        _xlfn._xlws.FILTER(
            INDIRECT("'"&amp;O$62&amp;"'!A2:E1000"), (INDIRECT("'"&amp;O$62&amp;"'!B2:B1000")=$B20) * (INDIRECT("'"&amp;O$62&amp;"'!C2:C1000")=$C20)
        ),
        5,
        FALSE
    )
)</f>
        <v/>
      </c>
    </row>
    <row r="21" spans="1:15">
      <c r="A21" s="29" t="s">
        <v>37</v>
      </c>
      <c r="B21" s="60" t="s">
        <v>37</v>
      </c>
      <c r="C21" s="60" t="s">
        <v>76</v>
      </c>
      <c r="D21" s="75" t="str">
        <f t="array" aca="1" ref="D21" ca="1">IF(
    VLOOKUP(
        $A21,
        _xlfn._xlws.FILTER(
            INDIRECT("'"&amp;D$62&amp;"'!A2:E1000"), (INDIRECT("'"&amp;D$62&amp;"'!B2:B1000")=$B21) * (INDIRECT("'"&amp;D$62&amp;"'!C2:C1000")=$C21)
        ),
        5,
        FALSE
    )=0,
    "",
    VLOOKUP(
        $A21,
        _xlfn._xlws.FILTER(
            INDIRECT("'"&amp;D$62&amp;"'!A2:E1000"), (INDIRECT("'"&amp;D$62&amp;"'!B2:B1000")=$B21) * (INDIRECT("'"&amp;D$62&amp;"'!C2:C1000")=$C21)
        ),
        5,
        FALSE
    )
)</f>
        <v>Enviado</v>
      </c>
      <c r="E21" s="75" t="str">
        <f t="array" aca="1" ref="E21" ca="1">IF(
    VLOOKUP(
        $A21,
        _xlfn._xlws.FILTER(
            INDIRECT("'"&amp;E$62&amp;"'!A2:E1000"), (INDIRECT("'"&amp;E$62&amp;"'!B2:B1000")=$B21) * (INDIRECT("'"&amp;E$62&amp;"'!C2:C1000")=$C21)
        ),
        5,
        FALSE
    )=0,
    "",
    VLOOKUP(
        $A21,
        _xlfn._xlws.FILTER(
            INDIRECT("'"&amp;E$62&amp;"'!A2:E1000"), (INDIRECT("'"&amp;E$62&amp;"'!B2:B1000")=$B21) * (INDIRECT("'"&amp;E$62&amp;"'!C2:C1000")=$C21)
        ),
        5,
        FALSE
    )
)</f>
        <v>Enviado</v>
      </c>
      <c r="F21" s="75" t="str">
        <f t="array" aca="1" ref="F21" ca="1">IF(
    VLOOKUP(
        $A21,
        _xlfn._xlws.FILTER(
            INDIRECT("'"&amp;F$62&amp;"'!A2:E1000"), (INDIRECT("'"&amp;F$62&amp;"'!B2:B1000")=$B21) * (INDIRECT("'"&amp;F$62&amp;"'!C2:C1000")=$C21)
        ),
        5,
        FALSE
    )=0,
    "",
    VLOOKUP(
        $A21,
        _xlfn._xlws.FILTER(
            INDIRECT("'"&amp;F$62&amp;"'!A2:E1000"), (INDIRECT("'"&amp;F$62&amp;"'!B2:B1000")=$B21) * (INDIRECT("'"&amp;F$62&amp;"'!C2:C1000")=$C21)
        ),
        5,
        FALSE
    )
)</f>
        <v>Enviado</v>
      </c>
      <c r="G21" s="75" t="str">
        <f t="array" aca="1" ref="G21" ca="1">IF(
    VLOOKUP(
        $A21,
        _xlfn._xlws.FILTER(
            INDIRECT("'"&amp;G$62&amp;"'!A2:E1000"), (INDIRECT("'"&amp;G$62&amp;"'!B2:B1000")=$B21) * (INDIRECT("'"&amp;G$62&amp;"'!C2:C1000")=$C21)
        ),
        5,
        FALSE
    )=0,
    "",
    VLOOKUP(
        $A21,
        _xlfn._xlws.FILTER(
            INDIRECT("'"&amp;G$62&amp;"'!A2:E1000"), (INDIRECT("'"&amp;G$62&amp;"'!B2:B1000")=$B21) * (INDIRECT("'"&amp;G$62&amp;"'!C2:C1000")=$C21)
        ),
        5,
        FALSE
    )
)</f>
        <v>Enviado</v>
      </c>
      <c r="H21" s="75" t="str">
        <f t="array" aca="1" ref="H21" ca="1">IF(
    VLOOKUP(
        $A21,
        _xlfn._xlws.FILTER(
            INDIRECT("'"&amp;H$62&amp;"'!A2:E1000"), (INDIRECT("'"&amp;H$62&amp;"'!B2:B1000")=$B21) * (INDIRECT("'"&amp;H$62&amp;"'!C2:C1000")=$C21)
        ),
        5,
        FALSE
    )=0,
    "",
    VLOOKUP(
        $A21,
        _xlfn._xlws.FILTER(
            INDIRECT("'"&amp;H$62&amp;"'!A2:E1000"), (INDIRECT("'"&amp;H$62&amp;"'!B2:B1000")=$B21) * (INDIRECT("'"&amp;H$62&amp;"'!C2:C1000")=$C21)
        ),
        5,
        FALSE
    )
)</f>
        <v>Enviado</v>
      </c>
      <c r="I21" s="75" t="str">
        <f t="array" aca="1" ref="I21" ca="1">IF(
    VLOOKUP(
        $A21,
        _xlfn._xlws.FILTER(
            INDIRECT("'"&amp;I$62&amp;"'!A2:E1000"), (INDIRECT("'"&amp;I$62&amp;"'!B2:B1000")=$B21) * (INDIRECT("'"&amp;I$62&amp;"'!C2:C1000")=$C21)
        ),
        5,
        FALSE
    )=0,
    "",
    VLOOKUP(
        $A21,
        _xlfn._xlws.FILTER(
            INDIRECT("'"&amp;I$62&amp;"'!A2:E1000"), (INDIRECT("'"&amp;I$62&amp;"'!B2:B1000")=$B21) * (INDIRECT("'"&amp;I$62&amp;"'!C2:C1000")=$C21)
        ),
        5,
        FALSE
    )
)</f>
        <v>Enviado</v>
      </c>
      <c r="J21" s="75" t="str">
        <f t="array" aca="1" ref="J21" ca="1">IF(
    VLOOKUP(
        $A21,
        _xlfn._xlws.FILTER(
            INDIRECT("'"&amp;J$62&amp;"'!A2:E1000"), (INDIRECT("'"&amp;J$62&amp;"'!B2:B1000")=$B21) * (INDIRECT("'"&amp;J$62&amp;"'!C2:C1000")=$C21)
        ),
        5,
        FALSE
    )=0,
    "",
    VLOOKUP(
        $A21,
        _xlfn._xlws.FILTER(
            INDIRECT("'"&amp;J$62&amp;"'!A2:E1000"), (INDIRECT("'"&amp;J$62&amp;"'!B2:B1000")=$B21) * (INDIRECT("'"&amp;J$62&amp;"'!C2:C1000")=$C21)
        ),
        5,
        FALSE
    )
)</f>
        <v>Enviado</v>
      </c>
      <c r="K21" s="75" t="str">
        <f t="array" aca="1" ref="K21" ca="1">IF(
    VLOOKUP(
        $A21,
        _xlfn._xlws.FILTER(
            INDIRECT("'"&amp;K$62&amp;"'!A2:E1000"), (INDIRECT("'"&amp;K$62&amp;"'!B2:B1000")=$B21) * (INDIRECT("'"&amp;K$62&amp;"'!C2:C1000")=$C21)
        ),
        5,
        FALSE
    )=0,
    "",
    VLOOKUP(
        $A21,
        _xlfn._xlws.FILTER(
            INDIRECT("'"&amp;K$62&amp;"'!A2:E1000"), (INDIRECT("'"&amp;K$62&amp;"'!B2:B1000")=$B21) * (INDIRECT("'"&amp;K$62&amp;"'!C2:C1000")=$C21)
        ),
        5,
        FALSE
    )
)</f>
        <v>Enviado</v>
      </c>
      <c r="L21" s="75" t="str">
        <f t="array" aca="1" ref="L21" ca="1">IF(
    VLOOKUP(
        $A21,
        _xlfn._xlws.FILTER(
            INDIRECT("'"&amp;L$62&amp;"'!A2:E1000"), (INDIRECT("'"&amp;L$62&amp;"'!B2:B1000")=$B21) * (INDIRECT("'"&amp;L$62&amp;"'!C2:C1000")=$C21)
        ),
        5,
        FALSE
    )=0,
    "",
    VLOOKUP(
        $A21,
        _xlfn._xlws.FILTER(
            INDIRECT("'"&amp;L$62&amp;"'!A2:E1000"), (INDIRECT("'"&amp;L$62&amp;"'!B2:B1000")=$B21) * (INDIRECT("'"&amp;L$62&amp;"'!C2:C1000")=$C21)
        ),
        5,
        FALSE
    )
)</f>
        <v>Enviado</v>
      </c>
      <c r="M21" s="75" t="str">
        <f t="array" aca="1" ref="M21" ca="1">IF(
    VLOOKUP(
        $A21,
        _xlfn._xlws.FILTER(
            INDIRECT("'"&amp;M$62&amp;"'!A2:E1000"), (INDIRECT("'"&amp;M$62&amp;"'!B2:B1000")=$B21) * (INDIRECT("'"&amp;M$62&amp;"'!C2:C1000")=$C21)
        ),
        5,
        FALSE
    )=0,
    "",
    VLOOKUP(
        $A21,
        _xlfn._xlws.FILTER(
            INDIRECT("'"&amp;M$62&amp;"'!A2:E1000"), (INDIRECT("'"&amp;M$62&amp;"'!B2:B1000")=$B21) * (INDIRECT("'"&amp;M$62&amp;"'!C2:C1000")=$C21)
        ),
        5,
        FALSE
    )
)</f>
        <v>Enviado</v>
      </c>
      <c r="N21" s="75" t="str">
        <f t="array" aca="1" ref="N21" ca="1">IF(
    VLOOKUP(
        $A21,
        _xlfn._xlws.FILTER(
            INDIRECT("'"&amp;N$62&amp;"'!A2:E1000"), (INDIRECT("'"&amp;N$62&amp;"'!B2:B1000")=$B21) * (INDIRECT("'"&amp;N$62&amp;"'!C2:C1000")=$C21)
        ),
        5,
        FALSE
    )=0,
    "",
    VLOOKUP(
        $A21,
        _xlfn._xlws.FILTER(
            INDIRECT("'"&amp;N$62&amp;"'!A2:E1000"), (INDIRECT("'"&amp;N$62&amp;"'!B2:B1000")=$B21) * (INDIRECT("'"&amp;N$62&amp;"'!C2:C1000")=$C21)
        ),
        5,
        FALSE
    )
)</f>
        <v/>
      </c>
      <c r="O21" s="75" t="str">
        <f t="array" aca="1" ref="O21" ca="1">IF(
    VLOOKUP(
        $A21,
        _xlfn._xlws.FILTER(
            INDIRECT("'"&amp;O$62&amp;"'!A2:E1000"), (INDIRECT("'"&amp;O$62&amp;"'!B2:B1000")=$B21) * (INDIRECT("'"&amp;O$62&amp;"'!C2:C1000")=$C21)
        ),
        5,
        FALSE
    )=0,
    "",
    VLOOKUP(
        $A21,
        _xlfn._xlws.FILTER(
            INDIRECT("'"&amp;O$62&amp;"'!A2:E1000"), (INDIRECT("'"&amp;O$62&amp;"'!B2:B1000")=$B21) * (INDIRECT("'"&amp;O$62&amp;"'!C2:C1000")=$C21)
        ),
        5,
        FALSE
    )
)</f>
        <v/>
      </c>
    </row>
    <row r="22" spans="1:15">
      <c r="A22" s="29" t="s">
        <v>37</v>
      </c>
      <c r="B22" s="60" t="s">
        <v>37</v>
      </c>
      <c r="C22" s="60" t="s">
        <v>77</v>
      </c>
      <c r="D22" s="75" t="str">
        <f t="array" aca="1" ref="D22" ca="1">IF(
    VLOOKUP(
        $A22,
        _xlfn._xlws.FILTER(
            INDIRECT("'"&amp;D$62&amp;"'!A2:E1000"), (INDIRECT("'"&amp;D$62&amp;"'!B2:B1000")=$B22) * (INDIRECT("'"&amp;D$62&amp;"'!C2:C1000")=$C22)
        ),
        5,
        FALSE
    )=0,
    "",
    VLOOKUP(
        $A22,
        _xlfn._xlws.FILTER(
            INDIRECT("'"&amp;D$62&amp;"'!A2:E1000"), (INDIRECT("'"&amp;D$62&amp;"'!B2:B1000")=$B22) * (INDIRECT("'"&amp;D$62&amp;"'!C2:C1000")=$C22)
        ),
        5,
        FALSE
    )
)</f>
        <v>Enviado</v>
      </c>
      <c r="E22" s="75" t="str">
        <f t="array" aca="1" ref="E22" ca="1">IF(
    VLOOKUP(
        $A22,
        _xlfn._xlws.FILTER(
            INDIRECT("'"&amp;E$62&amp;"'!A2:E1000"), (INDIRECT("'"&amp;E$62&amp;"'!B2:B1000")=$B22) * (INDIRECT("'"&amp;E$62&amp;"'!C2:C1000")=$C22)
        ),
        5,
        FALSE
    )=0,
    "",
    VLOOKUP(
        $A22,
        _xlfn._xlws.FILTER(
            INDIRECT("'"&amp;E$62&amp;"'!A2:E1000"), (INDIRECT("'"&amp;E$62&amp;"'!B2:B1000")=$B22) * (INDIRECT("'"&amp;E$62&amp;"'!C2:C1000")=$C22)
        ),
        5,
        FALSE
    )
)</f>
        <v>Enviado</v>
      </c>
      <c r="F22" s="75" t="str">
        <f t="array" aca="1" ref="F22" ca="1">IF(
    VLOOKUP(
        $A22,
        _xlfn._xlws.FILTER(
            INDIRECT("'"&amp;F$62&amp;"'!A2:E1000"), (INDIRECT("'"&amp;F$62&amp;"'!B2:B1000")=$B22) * (INDIRECT("'"&amp;F$62&amp;"'!C2:C1000")=$C22)
        ),
        5,
        FALSE
    )=0,
    "",
    VLOOKUP(
        $A22,
        _xlfn._xlws.FILTER(
            INDIRECT("'"&amp;F$62&amp;"'!A2:E1000"), (INDIRECT("'"&amp;F$62&amp;"'!B2:B1000")=$B22) * (INDIRECT("'"&amp;F$62&amp;"'!C2:C1000")=$C22)
        ),
        5,
        FALSE
    )
)</f>
        <v>Enviado</v>
      </c>
      <c r="G22" s="75" t="str">
        <f t="array" aca="1" ref="G22" ca="1">IF(
    VLOOKUP(
        $A22,
        _xlfn._xlws.FILTER(
            INDIRECT("'"&amp;G$62&amp;"'!A2:E1000"), (INDIRECT("'"&amp;G$62&amp;"'!B2:B1000")=$B22) * (INDIRECT("'"&amp;G$62&amp;"'!C2:C1000")=$C22)
        ),
        5,
        FALSE
    )=0,
    "",
    VLOOKUP(
        $A22,
        _xlfn._xlws.FILTER(
            INDIRECT("'"&amp;G$62&amp;"'!A2:E1000"), (INDIRECT("'"&amp;G$62&amp;"'!B2:B1000")=$B22) * (INDIRECT("'"&amp;G$62&amp;"'!C2:C1000")=$C22)
        ),
        5,
        FALSE
    )
)</f>
        <v>Enviado</v>
      </c>
      <c r="H22" s="75" t="str">
        <f t="array" aca="1" ref="H22" ca="1">IF(
    VLOOKUP(
        $A22,
        _xlfn._xlws.FILTER(
            INDIRECT("'"&amp;H$62&amp;"'!A2:E1000"), (INDIRECT("'"&amp;H$62&amp;"'!B2:B1000")=$B22) * (INDIRECT("'"&amp;H$62&amp;"'!C2:C1000")=$C22)
        ),
        5,
        FALSE
    )=0,
    "",
    VLOOKUP(
        $A22,
        _xlfn._xlws.FILTER(
            INDIRECT("'"&amp;H$62&amp;"'!A2:E1000"), (INDIRECT("'"&amp;H$62&amp;"'!B2:B1000")=$B22) * (INDIRECT("'"&amp;H$62&amp;"'!C2:C1000")=$C22)
        ),
        5,
        FALSE
    )
)</f>
        <v>Enviado</v>
      </c>
      <c r="I22" s="75" t="str">
        <f t="array" aca="1" ref="I22" ca="1">IF(
    VLOOKUP(
        $A22,
        _xlfn._xlws.FILTER(
            INDIRECT("'"&amp;I$62&amp;"'!A2:E1000"), (INDIRECT("'"&amp;I$62&amp;"'!B2:B1000")=$B22) * (INDIRECT("'"&amp;I$62&amp;"'!C2:C1000")=$C22)
        ),
        5,
        FALSE
    )=0,
    "",
    VLOOKUP(
        $A22,
        _xlfn._xlws.FILTER(
            INDIRECT("'"&amp;I$62&amp;"'!A2:E1000"), (INDIRECT("'"&amp;I$62&amp;"'!B2:B1000")=$B22) * (INDIRECT("'"&amp;I$62&amp;"'!C2:C1000")=$C22)
        ),
        5,
        FALSE
    )
)</f>
        <v>Enviado</v>
      </c>
      <c r="J22" s="75" t="str">
        <f t="array" aca="1" ref="J22" ca="1">IF(
    VLOOKUP(
        $A22,
        _xlfn._xlws.FILTER(
            INDIRECT("'"&amp;J$62&amp;"'!A2:E1000"), (INDIRECT("'"&amp;J$62&amp;"'!B2:B1000")=$B22) * (INDIRECT("'"&amp;J$62&amp;"'!C2:C1000")=$C22)
        ),
        5,
        FALSE
    )=0,
    "",
    VLOOKUP(
        $A22,
        _xlfn._xlws.FILTER(
            INDIRECT("'"&amp;J$62&amp;"'!A2:E1000"), (INDIRECT("'"&amp;J$62&amp;"'!B2:B1000")=$B22) * (INDIRECT("'"&amp;J$62&amp;"'!C2:C1000")=$C22)
        ),
        5,
        FALSE
    )
)</f>
        <v>Enviado</v>
      </c>
      <c r="K22" s="75" t="str">
        <f t="array" aca="1" ref="K22" ca="1">IF(
    VLOOKUP(
        $A22,
        _xlfn._xlws.FILTER(
            INDIRECT("'"&amp;K$62&amp;"'!A2:E1000"), (INDIRECT("'"&amp;K$62&amp;"'!B2:B1000")=$B22) * (INDIRECT("'"&amp;K$62&amp;"'!C2:C1000")=$C22)
        ),
        5,
        FALSE
    )=0,
    "",
    VLOOKUP(
        $A22,
        _xlfn._xlws.FILTER(
            INDIRECT("'"&amp;K$62&amp;"'!A2:E1000"), (INDIRECT("'"&amp;K$62&amp;"'!B2:B1000")=$B22) * (INDIRECT("'"&amp;K$62&amp;"'!C2:C1000")=$C22)
        ),
        5,
        FALSE
    )
)</f>
        <v>Enviado</v>
      </c>
      <c r="L22" s="75" t="str">
        <f t="array" aca="1" ref="L22" ca="1">IF(
    VLOOKUP(
        $A22,
        _xlfn._xlws.FILTER(
            INDIRECT("'"&amp;L$62&amp;"'!A2:E1000"), (INDIRECT("'"&amp;L$62&amp;"'!B2:B1000")=$B22) * (INDIRECT("'"&amp;L$62&amp;"'!C2:C1000")=$C22)
        ),
        5,
        FALSE
    )=0,
    "",
    VLOOKUP(
        $A22,
        _xlfn._xlws.FILTER(
            INDIRECT("'"&amp;L$62&amp;"'!A2:E1000"), (INDIRECT("'"&amp;L$62&amp;"'!B2:B1000")=$B22) * (INDIRECT("'"&amp;L$62&amp;"'!C2:C1000")=$C22)
        ),
        5,
        FALSE
    )
)</f>
        <v>Enviado</v>
      </c>
      <c r="M22" s="75" t="str">
        <f t="array" aca="1" ref="M22" ca="1">IF(
    VLOOKUP(
        $A22,
        _xlfn._xlws.FILTER(
            INDIRECT("'"&amp;M$62&amp;"'!A2:E1000"), (INDIRECT("'"&amp;M$62&amp;"'!B2:B1000")=$B22) * (INDIRECT("'"&amp;M$62&amp;"'!C2:C1000")=$C22)
        ),
        5,
        FALSE
    )=0,
    "",
    VLOOKUP(
        $A22,
        _xlfn._xlws.FILTER(
            INDIRECT("'"&amp;M$62&amp;"'!A2:E1000"), (INDIRECT("'"&amp;M$62&amp;"'!B2:B1000")=$B22) * (INDIRECT("'"&amp;M$62&amp;"'!C2:C1000")=$C22)
        ),
        5,
        FALSE
    )
)</f>
        <v>Enviado</v>
      </c>
      <c r="N22" s="75" t="str">
        <f t="array" aca="1" ref="N22" ca="1">IF(
    VLOOKUP(
        $A22,
        _xlfn._xlws.FILTER(
            INDIRECT("'"&amp;N$62&amp;"'!A2:E1000"), (INDIRECT("'"&amp;N$62&amp;"'!B2:B1000")=$B22) * (INDIRECT("'"&amp;N$62&amp;"'!C2:C1000")=$C22)
        ),
        5,
        FALSE
    )=0,
    "",
    VLOOKUP(
        $A22,
        _xlfn._xlws.FILTER(
            INDIRECT("'"&amp;N$62&amp;"'!A2:E1000"), (INDIRECT("'"&amp;N$62&amp;"'!B2:B1000")=$B22) * (INDIRECT("'"&amp;N$62&amp;"'!C2:C1000")=$C22)
        ),
        5,
        FALSE
    )
)</f>
        <v/>
      </c>
      <c r="O22" s="75" t="str">
        <f t="array" aca="1" ref="O22" ca="1">IF(
    VLOOKUP(
        $A22,
        _xlfn._xlws.FILTER(
            INDIRECT("'"&amp;O$62&amp;"'!A2:E1000"), (INDIRECT("'"&amp;O$62&amp;"'!B2:B1000")=$B22) * (INDIRECT("'"&amp;O$62&amp;"'!C2:C1000")=$C22)
        ),
        5,
        FALSE
    )=0,
    "",
    VLOOKUP(
        $A22,
        _xlfn._xlws.FILTER(
            INDIRECT("'"&amp;O$62&amp;"'!A2:E1000"), (INDIRECT("'"&amp;O$62&amp;"'!B2:B1000")=$B22) * (INDIRECT("'"&amp;O$62&amp;"'!C2:C1000")=$C22)
        ),
        5,
        FALSE
    )
)</f>
        <v/>
      </c>
    </row>
    <row r="23" spans="1:15">
      <c r="A23" s="29" t="s">
        <v>37</v>
      </c>
      <c r="B23" s="60" t="s">
        <v>91</v>
      </c>
      <c r="C23" s="60" t="s">
        <v>75</v>
      </c>
      <c r="D23" s="75" t="str">
        <f t="array" aca="1" ref="D23" ca="1">IF(
    VLOOKUP(
        $A23,
        _xlfn._xlws.FILTER(
            INDIRECT("'"&amp;D$62&amp;"'!A2:E1000"), (INDIRECT("'"&amp;D$62&amp;"'!B2:B1000")=$B23) * (INDIRECT("'"&amp;D$62&amp;"'!C2:C1000")=$C23)
        ),
        5,
        FALSE
    )=0,
    "",
    VLOOKUP(
        $A23,
        _xlfn._xlws.FILTER(
            INDIRECT("'"&amp;D$62&amp;"'!A2:E1000"), (INDIRECT("'"&amp;D$62&amp;"'!B2:B1000")=$B23) * (INDIRECT("'"&amp;D$62&amp;"'!C2:C1000")=$C23)
        ),
        5,
        FALSE
    )
)</f>
        <v>Enviado</v>
      </c>
      <c r="E23" s="75" t="str">
        <f t="array" aca="1" ref="E23" ca="1">IF(
    VLOOKUP(
        $A23,
        _xlfn._xlws.FILTER(
            INDIRECT("'"&amp;E$62&amp;"'!A2:E1000"), (INDIRECT("'"&amp;E$62&amp;"'!B2:B1000")=$B23) * (INDIRECT("'"&amp;E$62&amp;"'!C2:C1000")=$C23)
        ),
        5,
        FALSE
    )=0,
    "",
    VLOOKUP(
        $A23,
        _xlfn._xlws.FILTER(
            INDIRECT("'"&amp;E$62&amp;"'!A2:E1000"), (INDIRECT("'"&amp;E$62&amp;"'!B2:B1000")=$B23) * (INDIRECT("'"&amp;E$62&amp;"'!C2:C1000")=$C23)
        ),
        5,
        FALSE
    )
)</f>
        <v>Enviado</v>
      </c>
      <c r="F23" s="75" t="str">
        <f t="array" aca="1" ref="F23" ca="1">IF(
    VLOOKUP(
        $A23,
        _xlfn._xlws.FILTER(
            INDIRECT("'"&amp;F$62&amp;"'!A2:E1000"), (INDIRECT("'"&amp;F$62&amp;"'!B2:B1000")=$B23) * (INDIRECT("'"&amp;F$62&amp;"'!C2:C1000")=$C23)
        ),
        5,
        FALSE
    )=0,
    "",
    VLOOKUP(
        $A23,
        _xlfn._xlws.FILTER(
            INDIRECT("'"&amp;F$62&amp;"'!A2:E1000"), (INDIRECT("'"&amp;F$62&amp;"'!B2:B1000")=$B23) * (INDIRECT("'"&amp;F$62&amp;"'!C2:C1000")=$C23)
        ),
        5,
        FALSE
    )
)</f>
        <v>Enviado</v>
      </c>
      <c r="G23" s="75" t="str">
        <f t="array" aca="1" ref="G23" ca="1">IF(
    VLOOKUP(
        $A23,
        _xlfn._xlws.FILTER(
            INDIRECT("'"&amp;G$62&amp;"'!A2:E1000"), (INDIRECT("'"&amp;G$62&amp;"'!B2:B1000")=$B23) * (INDIRECT("'"&amp;G$62&amp;"'!C2:C1000")=$C23)
        ),
        5,
        FALSE
    )=0,
    "",
    VLOOKUP(
        $A23,
        _xlfn._xlws.FILTER(
            INDIRECT("'"&amp;G$62&amp;"'!A2:E1000"), (INDIRECT("'"&amp;G$62&amp;"'!B2:B1000")=$B23) * (INDIRECT("'"&amp;G$62&amp;"'!C2:C1000")=$C23)
        ),
        5,
        FALSE
    )
)</f>
        <v>Enviado</v>
      </c>
      <c r="H23" s="75" t="str">
        <f t="array" aca="1" ref="H23" ca="1">IF(
    VLOOKUP(
        $A23,
        _xlfn._xlws.FILTER(
            INDIRECT("'"&amp;H$62&amp;"'!A2:E1000"), (INDIRECT("'"&amp;H$62&amp;"'!B2:B1000")=$B23) * (INDIRECT("'"&amp;H$62&amp;"'!C2:C1000")=$C23)
        ),
        5,
        FALSE
    )=0,
    "",
    VLOOKUP(
        $A23,
        _xlfn._xlws.FILTER(
            INDIRECT("'"&amp;H$62&amp;"'!A2:E1000"), (INDIRECT("'"&amp;H$62&amp;"'!B2:B1000")=$B23) * (INDIRECT("'"&amp;H$62&amp;"'!C2:C1000")=$C23)
        ),
        5,
        FALSE
    )
)</f>
        <v>Enviado</v>
      </c>
      <c r="I23" s="75" t="str">
        <f t="array" aca="1" ref="I23" ca="1">IF(
    VLOOKUP(
        $A23,
        _xlfn._xlws.FILTER(
            INDIRECT("'"&amp;I$62&amp;"'!A2:E1000"), (INDIRECT("'"&amp;I$62&amp;"'!B2:B1000")=$B23) * (INDIRECT("'"&amp;I$62&amp;"'!C2:C1000")=$C23)
        ),
        5,
        FALSE
    )=0,
    "",
    VLOOKUP(
        $A23,
        _xlfn._xlws.FILTER(
            INDIRECT("'"&amp;I$62&amp;"'!A2:E1000"), (INDIRECT("'"&amp;I$62&amp;"'!B2:B1000")=$B23) * (INDIRECT("'"&amp;I$62&amp;"'!C2:C1000")=$C23)
        ),
        5,
        FALSE
    )
)</f>
        <v>Enviado</v>
      </c>
      <c r="J23" s="75" t="str">
        <f t="array" aca="1" ref="J23" ca="1">IF(
    VLOOKUP(
        $A23,
        _xlfn._xlws.FILTER(
            INDIRECT("'"&amp;J$62&amp;"'!A2:E1000"), (INDIRECT("'"&amp;J$62&amp;"'!B2:B1000")=$B23) * (INDIRECT("'"&amp;J$62&amp;"'!C2:C1000")=$C23)
        ),
        5,
        FALSE
    )=0,
    "",
    VLOOKUP(
        $A23,
        _xlfn._xlws.FILTER(
            INDIRECT("'"&amp;J$62&amp;"'!A2:E1000"), (INDIRECT("'"&amp;J$62&amp;"'!B2:B1000")=$B23) * (INDIRECT("'"&amp;J$62&amp;"'!C2:C1000")=$C23)
        ),
        5,
        FALSE
    )
)</f>
        <v>Enviado</v>
      </c>
      <c r="K23" s="75" t="str">
        <f t="array" aca="1" ref="K23" ca="1">IF(
    VLOOKUP(
        $A23,
        _xlfn._xlws.FILTER(
            INDIRECT("'"&amp;K$62&amp;"'!A2:E1000"), (INDIRECT("'"&amp;K$62&amp;"'!B2:B1000")=$B23) * (INDIRECT("'"&amp;K$62&amp;"'!C2:C1000")=$C23)
        ),
        5,
        FALSE
    )=0,
    "",
    VLOOKUP(
        $A23,
        _xlfn._xlws.FILTER(
            INDIRECT("'"&amp;K$62&amp;"'!A2:E1000"), (INDIRECT("'"&amp;K$62&amp;"'!B2:B1000")=$B23) * (INDIRECT("'"&amp;K$62&amp;"'!C2:C1000")=$C23)
        ),
        5,
        FALSE
    )
)</f>
        <v>Enviado</v>
      </c>
      <c r="L23" s="75" t="str">
        <f t="array" aca="1" ref="L23" ca="1">IF(
    VLOOKUP(
        $A23,
        _xlfn._xlws.FILTER(
            INDIRECT("'"&amp;L$62&amp;"'!A2:E1000"), (INDIRECT("'"&amp;L$62&amp;"'!B2:B1000")=$B23) * (INDIRECT("'"&amp;L$62&amp;"'!C2:C1000")=$C23)
        ),
        5,
        FALSE
    )=0,
    "",
    VLOOKUP(
        $A23,
        _xlfn._xlws.FILTER(
            INDIRECT("'"&amp;L$62&amp;"'!A2:E1000"), (INDIRECT("'"&amp;L$62&amp;"'!B2:B1000")=$B23) * (INDIRECT("'"&amp;L$62&amp;"'!C2:C1000")=$C23)
        ),
        5,
        FALSE
    )
)</f>
        <v>Enviado</v>
      </c>
      <c r="M23" s="75" t="str">
        <f t="array" aca="1" ref="M23" ca="1">IF(
    VLOOKUP(
        $A23,
        _xlfn._xlws.FILTER(
            INDIRECT("'"&amp;M$62&amp;"'!A2:E1000"), (INDIRECT("'"&amp;M$62&amp;"'!B2:B1000")=$B23) * (INDIRECT("'"&amp;M$62&amp;"'!C2:C1000")=$C23)
        ),
        5,
        FALSE
    )=0,
    "",
    VLOOKUP(
        $A23,
        _xlfn._xlws.FILTER(
            INDIRECT("'"&amp;M$62&amp;"'!A2:E1000"), (INDIRECT("'"&amp;M$62&amp;"'!B2:B1000")=$B23) * (INDIRECT("'"&amp;M$62&amp;"'!C2:C1000")=$C23)
        ),
        5,
        FALSE
    )
)</f>
        <v>Enviado</v>
      </c>
      <c r="N23" s="75" t="str">
        <f t="array" aca="1" ref="N23" ca="1">IF(
    VLOOKUP(
        $A23,
        _xlfn._xlws.FILTER(
            INDIRECT("'"&amp;N$62&amp;"'!A2:E1000"), (INDIRECT("'"&amp;N$62&amp;"'!B2:B1000")=$B23) * (INDIRECT("'"&amp;N$62&amp;"'!C2:C1000")=$C23)
        ),
        5,
        FALSE
    )=0,
    "",
    VLOOKUP(
        $A23,
        _xlfn._xlws.FILTER(
            INDIRECT("'"&amp;N$62&amp;"'!A2:E1000"), (INDIRECT("'"&amp;N$62&amp;"'!B2:B1000")=$B23) * (INDIRECT("'"&amp;N$62&amp;"'!C2:C1000")=$C23)
        ),
        5,
        FALSE
    )
)</f>
        <v/>
      </c>
      <c r="O23" s="75" t="str">
        <f t="array" aca="1" ref="O23" ca="1">IF(
    VLOOKUP(
        $A23,
        _xlfn._xlws.FILTER(
            INDIRECT("'"&amp;O$62&amp;"'!A2:E1000"), (INDIRECT("'"&amp;O$62&amp;"'!B2:B1000")=$B23) * (INDIRECT("'"&amp;O$62&amp;"'!C2:C1000")=$C23)
        ),
        5,
        FALSE
    )=0,
    "",
    VLOOKUP(
        $A23,
        _xlfn._xlws.FILTER(
            INDIRECT("'"&amp;O$62&amp;"'!A2:E1000"), (INDIRECT("'"&amp;O$62&amp;"'!B2:B1000")=$B23) * (INDIRECT("'"&amp;O$62&amp;"'!C2:C1000")=$C23)
        ),
        5,
        FALSE
    )
)</f>
        <v/>
      </c>
    </row>
    <row r="24" spans="1:15">
      <c r="A24" s="29" t="s">
        <v>37</v>
      </c>
      <c r="B24" s="60" t="s">
        <v>92</v>
      </c>
      <c r="C24" s="60" t="s">
        <v>75</v>
      </c>
      <c r="D24" s="75" t="str">
        <f t="array" aca="1" ref="D24" ca="1">IF(
    VLOOKUP(
        $A24,
        _xlfn._xlws.FILTER(
            INDIRECT("'"&amp;D$62&amp;"'!A2:E1000"), (INDIRECT("'"&amp;D$62&amp;"'!B2:B1000")=$B24) * (INDIRECT("'"&amp;D$62&amp;"'!C2:C1000")=$C24)
        ),
        5,
        FALSE
    )=0,
    "",
    VLOOKUP(
        $A24,
        _xlfn._xlws.FILTER(
            INDIRECT("'"&amp;D$62&amp;"'!A2:E1000"), (INDIRECT("'"&amp;D$62&amp;"'!B2:B1000")=$B24) * (INDIRECT("'"&amp;D$62&amp;"'!C2:C1000")=$C24)
        ),
        5,
        FALSE
    )
)</f>
        <v>Enviado</v>
      </c>
      <c r="E24" s="75" t="str">
        <f t="array" aca="1" ref="E24" ca="1">IF(
    VLOOKUP(
        $A24,
        _xlfn._xlws.FILTER(
            INDIRECT("'"&amp;E$62&amp;"'!A2:E1000"), (INDIRECT("'"&amp;E$62&amp;"'!B2:B1000")=$B24) * (INDIRECT("'"&amp;E$62&amp;"'!C2:C1000")=$C24)
        ),
        5,
        FALSE
    )=0,
    "",
    VLOOKUP(
        $A24,
        _xlfn._xlws.FILTER(
            INDIRECT("'"&amp;E$62&amp;"'!A2:E1000"), (INDIRECT("'"&amp;E$62&amp;"'!B2:B1000")=$B24) * (INDIRECT("'"&amp;E$62&amp;"'!C2:C1000")=$C24)
        ),
        5,
        FALSE
    )
)</f>
        <v>Enviado</v>
      </c>
      <c r="F24" s="75" t="str">
        <f t="array" aca="1" ref="F24" ca="1">IF(
    VLOOKUP(
        $A24,
        _xlfn._xlws.FILTER(
            INDIRECT("'"&amp;F$62&amp;"'!A2:E1000"), (INDIRECT("'"&amp;F$62&amp;"'!B2:B1000")=$B24) * (INDIRECT("'"&amp;F$62&amp;"'!C2:C1000")=$C24)
        ),
        5,
        FALSE
    )=0,
    "",
    VLOOKUP(
        $A24,
        _xlfn._xlws.FILTER(
            INDIRECT("'"&amp;F$62&amp;"'!A2:E1000"), (INDIRECT("'"&amp;F$62&amp;"'!B2:B1000")=$B24) * (INDIRECT("'"&amp;F$62&amp;"'!C2:C1000")=$C24)
        ),
        5,
        FALSE
    )
)</f>
        <v>Enviado</v>
      </c>
      <c r="G24" s="75" t="str">
        <f t="array" aca="1" ref="G24" ca="1">IF(
    VLOOKUP(
        $A24,
        _xlfn._xlws.FILTER(
            INDIRECT("'"&amp;G$62&amp;"'!A2:E1000"), (INDIRECT("'"&amp;G$62&amp;"'!B2:B1000")=$B24) * (INDIRECT("'"&amp;G$62&amp;"'!C2:C1000")=$C24)
        ),
        5,
        FALSE
    )=0,
    "",
    VLOOKUP(
        $A24,
        _xlfn._xlws.FILTER(
            INDIRECT("'"&amp;G$62&amp;"'!A2:E1000"), (INDIRECT("'"&amp;G$62&amp;"'!B2:B1000")=$B24) * (INDIRECT("'"&amp;G$62&amp;"'!C2:C1000")=$C24)
        ),
        5,
        FALSE
    )
)</f>
        <v>Enviado</v>
      </c>
      <c r="H24" s="75" t="str">
        <f t="array" aca="1" ref="H24" ca="1">IF(
    VLOOKUP(
        $A24,
        _xlfn._xlws.FILTER(
            INDIRECT("'"&amp;H$62&amp;"'!A2:E1000"), (INDIRECT("'"&amp;H$62&amp;"'!B2:B1000")=$B24) * (INDIRECT("'"&amp;H$62&amp;"'!C2:C1000")=$C24)
        ),
        5,
        FALSE
    )=0,
    "",
    VLOOKUP(
        $A24,
        _xlfn._xlws.FILTER(
            INDIRECT("'"&amp;H$62&amp;"'!A2:E1000"), (INDIRECT("'"&amp;H$62&amp;"'!B2:B1000")=$B24) * (INDIRECT("'"&amp;H$62&amp;"'!C2:C1000")=$C24)
        ),
        5,
        FALSE
    )
)</f>
        <v>Enviado</v>
      </c>
      <c r="I24" s="75" t="str">
        <f t="array" aca="1" ref="I24" ca="1">IF(
    VLOOKUP(
        $A24,
        _xlfn._xlws.FILTER(
            INDIRECT("'"&amp;I$62&amp;"'!A2:E1000"), (INDIRECT("'"&amp;I$62&amp;"'!B2:B1000")=$B24) * (INDIRECT("'"&amp;I$62&amp;"'!C2:C1000")=$C24)
        ),
        5,
        FALSE
    )=0,
    "",
    VLOOKUP(
        $A24,
        _xlfn._xlws.FILTER(
            INDIRECT("'"&amp;I$62&amp;"'!A2:E1000"), (INDIRECT("'"&amp;I$62&amp;"'!B2:B1000")=$B24) * (INDIRECT("'"&amp;I$62&amp;"'!C2:C1000")=$C24)
        ),
        5,
        FALSE
    )
)</f>
        <v>Enviado</v>
      </c>
      <c r="J24" s="75" t="str">
        <f t="array" aca="1" ref="J24" ca="1">IF(
    VLOOKUP(
        $A24,
        _xlfn._xlws.FILTER(
            INDIRECT("'"&amp;J$62&amp;"'!A2:E1000"), (INDIRECT("'"&amp;J$62&amp;"'!B2:B1000")=$B24) * (INDIRECT("'"&amp;J$62&amp;"'!C2:C1000")=$C24)
        ),
        5,
        FALSE
    )=0,
    "",
    VLOOKUP(
        $A24,
        _xlfn._xlws.FILTER(
            INDIRECT("'"&amp;J$62&amp;"'!A2:E1000"), (INDIRECT("'"&amp;J$62&amp;"'!B2:B1000")=$B24) * (INDIRECT("'"&amp;J$62&amp;"'!C2:C1000")=$C24)
        ),
        5,
        FALSE
    )
)</f>
        <v>Enviado</v>
      </c>
      <c r="K24" s="75" t="str">
        <f t="array" aca="1" ref="K24" ca="1">IF(
    VLOOKUP(
        $A24,
        _xlfn._xlws.FILTER(
            INDIRECT("'"&amp;K$62&amp;"'!A2:E1000"), (INDIRECT("'"&amp;K$62&amp;"'!B2:B1000")=$B24) * (INDIRECT("'"&amp;K$62&amp;"'!C2:C1000")=$C24)
        ),
        5,
        FALSE
    )=0,
    "",
    VLOOKUP(
        $A24,
        _xlfn._xlws.FILTER(
            INDIRECT("'"&amp;K$62&amp;"'!A2:E1000"), (INDIRECT("'"&amp;K$62&amp;"'!B2:B1000")=$B24) * (INDIRECT("'"&amp;K$62&amp;"'!C2:C1000")=$C24)
        ),
        5,
        FALSE
    )
)</f>
        <v>Enviado</v>
      </c>
      <c r="L24" s="75" t="str">
        <f t="array" aca="1" ref="L24" ca="1">IF(
    VLOOKUP(
        $A24,
        _xlfn._xlws.FILTER(
            INDIRECT("'"&amp;L$62&amp;"'!A2:E1000"), (INDIRECT("'"&amp;L$62&amp;"'!B2:B1000")=$B24) * (INDIRECT("'"&amp;L$62&amp;"'!C2:C1000")=$C24)
        ),
        5,
        FALSE
    )=0,
    "",
    VLOOKUP(
        $A24,
        _xlfn._xlws.FILTER(
            INDIRECT("'"&amp;L$62&amp;"'!A2:E1000"), (INDIRECT("'"&amp;L$62&amp;"'!B2:B1000")=$B24) * (INDIRECT("'"&amp;L$62&amp;"'!C2:C1000")=$C24)
        ),
        5,
        FALSE
    )
)</f>
        <v>Enviado</v>
      </c>
      <c r="M24" s="75" t="str">
        <f t="array" aca="1" ref="M24" ca="1">IF(
    VLOOKUP(
        $A24,
        _xlfn._xlws.FILTER(
            INDIRECT("'"&amp;M$62&amp;"'!A2:E1000"), (INDIRECT("'"&amp;M$62&amp;"'!B2:B1000")=$B24) * (INDIRECT("'"&amp;M$62&amp;"'!C2:C1000")=$C24)
        ),
        5,
        FALSE
    )=0,
    "",
    VLOOKUP(
        $A24,
        _xlfn._xlws.FILTER(
            INDIRECT("'"&amp;M$62&amp;"'!A2:E1000"), (INDIRECT("'"&amp;M$62&amp;"'!B2:B1000")=$B24) * (INDIRECT("'"&amp;M$62&amp;"'!C2:C1000")=$C24)
        ),
        5,
        FALSE
    )
)</f>
        <v>Enviado</v>
      </c>
      <c r="N24" s="75" t="str">
        <f t="array" aca="1" ref="N24" ca="1">IF(
    VLOOKUP(
        $A24,
        _xlfn._xlws.FILTER(
            INDIRECT("'"&amp;N$62&amp;"'!A2:E1000"), (INDIRECT("'"&amp;N$62&amp;"'!B2:B1000")=$B24) * (INDIRECT("'"&amp;N$62&amp;"'!C2:C1000")=$C24)
        ),
        5,
        FALSE
    )=0,
    "",
    VLOOKUP(
        $A24,
        _xlfn._xlws.FILTER(
            INDIRECT("'"&amp;N$62&amp;"'!A2:E1000"), (INDIRECT("'"&amp;N$62&amp;"'!B2:B1000")=$B24) * (INDIRECT("'"&amp;N$62&amp;"'!C2:C1000")=$C24)
        ),
        5,
        FALSE
    )
)</f>
        <v/>
      </c>
      <c r="O24" s="75" t="str">
        <f t="array" aca="1" ref="O24" ca="1">IF(
    VLOOKUP(
        $A24,
        _xlfn._xlws.FILTER(
            INDIRECT("'"&amp;O$62&amp;"'!A2:E1000"), (INDIRECT("'"&amp;O$62&amp;"'!B2:B1000")=$B24) * (INDIRECT("'"&amp;O$62&amp;"'!C2:C1000")=$C24)
        ),
        5,
        FALSE
    )=0,
    "",
    VLOOKUP(
        $A24,
        _xlfn._xlws.FILTER(
            INDIRECT("'"&amp;O$62&amp;"'!A2:E1000"), (INDIRECT("'"&amp;O$62&amp;"'!B2:B1000")=$B24) * (INDIRECT("'"&amp;O$62&amp;"'!C2:C1000")=$C24)
        ),
        5,
        FALSE
    )
)</f>
        <v/>
      </c>
    </row>
    <row r="25" spans="1:15">
      <c r="A25" s="29" t="s">
        <v>37</v>
      </c>
      <c r="B25" s="60" t="s">
        <v>93</v>
      </c>
      <c r="C25" s="60" t="s">
        <v>75</v>
      </c>
      <c r="D25" s="75" t="str">
        <f t="array" aca="1" ref="D25" ca="1">IF(
    VLOOKUP(
        $A25,
        _xlfn._xlws.FILTER(
            INDIRECT("'"&amp;D$62&amp;"'!A2:E1000"), (INDIRECT("'"&amp;D$62&amp;"'!B2:B1000")=$B25) * (INDIRECT("'"&amp;D$62&amp;"'!C2:C1000")=$C25)
        ),
        5,
        FALSE
    )=0,
    "",
    VLOOKUP(
        $A25,
        _xlfn._xlws.FILTER(
            INDIRECT("'"&amp;D$62&amp;"'!A2:E1000"), (INDIRECT("'"&amp;D$62&amp;"'!B2:B1000")=$B25) * (INDIRECT("'"&amp;D$62&amp;"'!C2:C1000")=$C25)
        ),
        5,
        FALSE
    )
)</f>
        <v>Enviado</v>
      </c>
      <c r="E25" s="75" t="str">
        <f t="array" aca="1" ref="E25" ca="1">IF(
    VLOOKUP(
        $A25,
        _xlfn._xlws.FILTER(
            INDIRECT("'"&amp;E$62&amp;"'!A2:E1000"), (INDIRECT("'"&amp;E$62&amp;"'!B2:B1000")=$B25) * (INDIRECT("'"&amp;E$62&amp;"'!C2:C1000")=$C25)
        ),
        5,
        FALSE
    )=0,
    "",
    VLOOKUP(
        $A25,
        _xlfn._xlws.FILTER(
            INDIRECT("'"&amp;E$62&amp;"'!A2:E1000"), (INDIRECT("'"&amp;E$62&amp;"'!B2:B1000")=$B25) * (INDIRECT("'"&amp;E$62&amp;"'!C2:C1000")=$C25)
        ),
        5,
        FALSE
    )
)</f>
        <v>Enviado</v>
      </c>
      <c r="F25" s="75" t="str">
        <f t="array" aca="1" ref="F25" ca="1">IF(
    VLOOKUP(
        $A25,
        _xlfn._xlws.FILTER(
            INDIRECT("'"&amp;F$62&amp;"'!A2:E1000"), (INDIRECT("'"&amp;F$62&amp;"'!B2:B1000")=$B25) * (INDIRECT("'"&amp;F$62&amp;"'!C2:C1000")=$C25)
        ),
        5,
        FALSE
    )=0,
    "",
    VLOOKUP(
        $A25,
        _xlfn._xlws.FILTER(
            INDIRECT("'"&amp;F$62&amp;"'!A2:E1000"), (INDIRECT("'"&amp;F$62&amp;"'!B2:B1000")=$B25) * (INDIRECT("'"&amp;F$62&amp;"'!C2:C1000")=$C25)
        ),
        5,
        FALSE
    )
)</f>
        <v>Enviado</v>
      </c>
      <c r="G25" s="75" t="str">
        <f t="array" aca="1" ref="G25" ca="1">IF(
    VLOOKUP(
        $A25,
        _xlfn._xlws.FILTER(
            INDIRECT("'"&amp;G$62&amp;"'!A2:E1000"), (INDIRECT("'"&amp;G$62&amp;"'!B2:B1000")=$B25) * (INDIRECT("'"&amp;G$62&amp;"'!C2:C1000")=$C25)
        ),
        5,
        FALSE
    )=0,
    "",
    VLOOKUP(
        $A25,
        _xlfn._xlws.FILTER(
            INDIRECT("'"&amp;G$62&amp;"'!A2:E1000"), (INDIRECT("'"&amp;G$62&amp;"'!B2:B1000")=$B25) * (INDIRECT("'"&amp;G$62&amp;"'!C2:C1000")=$C25)
        ),
        5,
        FALSE
    )
)</f>
        <v>Enviado</v>
      </c>
      <c r="H25" s="75" t="str">
        <f t="array" aca="1" ref="H25" ca="1">IF(
    VLOOKUP(
        $A25,
        _xlfn._xlws.FILTER(
            INDIRECT("'"&amp;H$62&amp;"'!A2:E1000"), (INDIRECT("'"&amp;H$62&amp;"'!B2:B1000")=$B25) * (INDIRECT("'"&amp;H$62&amp;"'!C2:C1000")=$C25)
        ),
        5,
        FALSE
    )=0,
    "",
    VLOOKUP(
        $A25,
        _xlfn._xlws.FILTER(
            INDIRECT("'"&amp;H$62&amp;"'!A2:E1000"), (INDIRECT("'"&amp;H$62&amp;"'!B2:B1000")=$B25) * (INDIRECT("'"&amp;H$62&amp;"'!C2:C1000")=$C25)
        ),
        5,
        FALSE
    )
)</f>
        <v>Enviado</v>
      </c>
      <c r="I25" s="75" t="str">
        <f t="array" aca="1" ref="I25" ca="1">IF(
    VLOOKUP(
        $A25,
        _xlfn._xlws.FILTER(
            INDIRECT("'"&amp;I$62&amp;"'!A2:E1000"), (INDIRECT("'"&amp;I$62&amp;"'!B2:B1000")=$B25) * (INDIRECT("'"&amp;I$62&amp;"'!C2:C1000")=$C25)
        ),
        5,
        FALSE
    )=0,
    "",
    VLOOKUP(
        $A25,
        _xlfn._xlws.FILTER(
            INDIRECT("'"&amp;I$62&amp;"'!A2:E1000"), (INDIRECT("'"&amp;I$62&amp;"'!B2:B1000")=$B25) * (INDIRECT("'"&amp;I$62&amp;"'!C2:C1000")=$C25)
        ),
        5,
        FALSE
    )
)</f>
        <v>Enviado</v>
      </c>
      <c r="J25" s="75" t="str">
        <f t="array" aca="1" ref="J25" ca="1">IF(
    VLOOKUP(
        $A25,
        _xlfn._xlws.FILTER(
            INDIRECT("'"&amp;J$62&amp;"'!A2:E1000"), (INDIRECT("'"&amp;J$62&amp;"'!B2:B1000")=$B25) * (INDIRECT("'"&amp;J$62&amp;"'!C2:C1000")=$C25)
        ),
        5,
        FALSE
    )=0,
    "",
    VLOOKUP(
        $A25,
        _xlfn._xlws.FILTER(
            INDIRECT("'"&amp;J$62&amp;"'!A2:E1000"), (INDIRECT("'"&amp;J$62&amp;"'!B2:B1000")=$B25) * (INDIRECT("'"&amp;J$62&amp;"'!C2:C1000")=$C25)
        ),
        5,
        FALSE
    )
)</f>
        <v>Enviado</v>
      </c>
      <c r="K25" s="75" t="str">
        <f t="array" aca="1" ref="K25" ca="1">IF(
    VLOOKUP(
        $A25,
        _xlfn._xlws.FILTER(
            INDIRECT("'"&amp;K$62&amp;"'!A2:E1000"), (INDIRECT("'"&amp;K$62&amp;"'!B2:B1000")=$B25) * (INDIRECT("'"&amp;K$62&amp;"'!C2:C1000")=$C25)
        ),
        5,
        FALSE
    )=0,
    "",
    VLOOKUP(
        $A25,
        _xlfn._xlws.FILTER(
            INDIRECT("'"&amp;K$62&amp;"'!A2:E1000"), (INDIRECT("'"&amp;K$62&amp;"'!B2:B1000")=$B25) * (INDIRECT("'"&amp;K$62&amp;"'!C2:C1000")=$C25)
        ),
        5,
        FALSE
    )
)</f>
        <v>Enviado</v>
      </c>
      <c r="L25" s="75" t="str">
        <f t="array" aca="1" ref="L25" ca="1">IF(
    VLOOKUP(
        $A25,
        _xlfn._xlws.FILTER(
            INDIRECT("'"&amp;L$62&amp;"'!A2:E1000"), (INDIRECT("'"&amp;L$62&amp;"'!B2:B1000")=$B25) * (INDIRECT("'"&amp;L$62&amp;"'!C2:C1000")=$C25)
        ),
        5,
        FALSE
    )=0,
    "",
    VLOOKUP(
        $A25,
        _xlfn._xlws.FILTER(
            INDIRECT("'"&amp;L$62&amp;"'!A2:E1000"), (INDIRECT("'"&amp;L$62&amp;"'!B2:B1000")=$B25) * (INDIRECT("'"&amp;L$62&amp;"'!C2:C1000")=$C25)
        ),
        5,
        FALSE
    )
)</f>
        <v>Enviado</v>
      </c>
      <c r="M25" s="75" t="str">
        <f t="array" aca="1" ref="M25" ca="1">IF(
    VLOOKUP(
        $A25,
        _xlfn._xlws.FILTER(
            INDIRECT("'"&amp;M$62&amp;"'!A2:E1000"), (INDIRECT("'"&amp;M$62&amp;"'!B2:B1000")=$B25) * (INDIRECT("'"&amp;M$62&amp;"'!C2:C1000")=$C25)
        ),
        5,
        FALSE
    )=0,
    "",
    VLOOKUP(
        $A25,
        _xlfn._xlws.FILTER(
            INDIRECT("'"&amp;M$62&amp;"'!A2:E1000"), (INDIRECT("'"&amp;M$62&amp;"'!B2:B1000")=$B25) * (INDIRECT("'"&amp;M$62&amp;"'!C2:C1000")=$C25)
        ),
        5,
        FALSE
    )
)</f>
        <v>Enviado</v>
      </c>
      <c r="N25" s="75" t="str">
        <f t="array" aca="1" ref="N25" ca="1">IF(
    VLOOKUP(
        $A25,
        _xlfn._xlws.FILTER(
            INDIRECT("'"&amp;N$62&amp;"'!A2:E1000"), (INDIRECT("'"&amp;N$62&amp;"'!B2:B1000")=$B25) * (INDIRECT("'"&amp;N$62&amp;"'!C2:C1000")=$C25)
        ),
        5,
        FALSE
    )=0,
    "",
    VLOOKUP(
        $A25,
        _xlfn._xlws.FILTER(
            INDIRECT("'"&amp;N$62&amp;"'!A2:E1000"), (INDIRECT("'"&amp;N$62&amp;"'!B2:B1000")=$B25) * (INDIRECT("'"&amp;N$62&amp;"'!C2:C1000")=$C25)
        ),
        5,
        FALSE
    )
)</f>
        <v/>
      </c>
      <c r="O25" s="75" t="str">
        <f t="array" aca="1" ref="O25" ca="1">IF(
    VLOOKUP(
        $A25,
        _xlfn._xlws.FILTER(
            INDIRECT("'"&amp;O$62&amp;"'!A2:E1000"), (INDIRECT("'"&amp;O$62&amp;"'!B2:B1000")=$B25) * (INDIRECT("'"&amp;O$62&amp;"'!C2:C1000")=$C25)
        ),
        5,
        FALSE
    )=0,
    "",
    VLOOKUP(
        $A25,
        _xlfn._xlws.FILTER(
            INDIRECT("'"&amp;O$62&amp;"'!A2:E1000"), (INDIRECT("'"&amp;O$62&amp;"'!B2:B1000")=$B25) * (INDIRECT("'"&amp;O$62&amp;"'!C2:C1000")=$C25)
        ),
        5,
        FALSE
    )
)</f>
        <v/>
      </c>
    </row>
    <row r="27" spans="1:15" ht="15.75" customHeight="1">
      <c r="A27" s="77" t="s">
        <v>94</v>
      </c>
      <c r="B27" s="21" t="s">
        <v>72</v>
      </c>
      <c r="C27" s="21" t="s">
        <v>73</v>
      </c>
      <c r="D27" s="74" t="s">
        <v>1</v>
      </c>
      <c r="E27" s="74" t="s">
        <v>2</v>
      </c>
      <c r="F27" s="74" t="s">
        <v>3</v>
      </c>
      <c r="G27" s="74" t="s">
        <v>4</v>
      </c>
      <c r="H27" s="74" t="s">
        <v>5</v>
      </c>
      <c r="I27" s="74" t="s">
        <v>6</v>
      </c>
      <c r="J27" s="74" t="s">
        <v>7</v>
      </c>
      <c r="K27" s="74" t="s">
        <v>8</v>
      </c>
      <c r="L27" s="74" t="s">
        <v>9</v>
      </c>
      <c r="M27" s="74" t="s">
        <v>10</v>
      </c>
      <c r="N27" s="74" t="s">
        <v>11</v>
      </c>
      <c r="O27" s="74" t="s">
        <v>12</v>
      </c>
    </row>
    <row r="28" spans="1:15">
      <c r="A28" s="31" t="s">
        <v>39</v>
      </c>
      <c r="B28" s="60" t="s">
        <v>95</v>
      </c>
      <c r="C28" s="60" t="s">
        <v>75</v>
      </c>
      <c r="D28" s="75" t="str">
        <f t="array" aca="1" ref="D28" ca="1">IF(
    VLOOKUP(
        $A28,
        _xlfn._xlws.FILTER(
            INDIRECT("'"&amp;D$62&amp;"'!A2:E1000"), (INDIRECT("'"&amp;D$62&amp;"'!B2:B1000")=$B28) * (INDIRECT("'"&amp;D$62&amp;"'!C2:C1000")=$C28)
        ),
        5,
        FALSE
    )=0,
    "",
    VLOOKUP(
        $A28,
        _xlfn._xlws.FILTER(
            INDIRECT("'"&amp;D$62&amp;"'!A2:E1000"), (INDIRECT("'"&amp;D$62&amp;"'!B2:B1000")=$B28) * (INDIRECT("'"&amp;D$62&amp;"'!C2:C1000")=$C28)
        ),
        5,
        FALSE
    )
)</f>
        <v>Enviado</v>
      </c>
      <c r="E28" s="75" t="str">
        <f t="array" aca="1" ref="E28" ca="1">IF(
    VLOOKUP(
        $A28,
        _xlfn._xlws.FILTER(
            INDIRECT("'"&amp;E$62&amp;"'!A2:E1000"), (INDIRECT("'"&amp;E$62&amp;"'!B2:B1000")=$B28) * (INDIRECT("'"&amp;E$62&amp;"'!C2:C1000")=$C28)
        ),
        5,
        FALSE
    )=0,
    "",
    VLOOKUP(
        $A28,
        _xlfn._xlws.FILTER(
            INDIRECT("'"&amp;E$62&amp;"'!A2:E1000"), (INDIRECT("'"&amp;E$62&amp;"'!B2:B1000")=$B28) * (INDIRECT("'"&amp;E$62&amp;"'!C2:C1000")=$C28)
        ),
        5,
        FALSE
    )
)</f>
        <v>Enviado</v>
      </c>
      <c r="F28" s="75" t="str">
        <f t="array" aca="1" ref="F28" ca="1">IF(
    VLOOKUP(
        $A28,
        _xlfn._xlws.FILTER(
            INDIRECT("'"&amp;F$62&amp;"'!A2:E1000"), (INDIRECT("'"&amp;F$62&amp;"'!B2:B1000")=$B28) * (INDIRECT("'"&amp;F$62&amp;"'!C2:C1000")=$C28)
        ),
        5,
        FALSE
    )=0,
    "",
    VLOOKUP(
        $A28,
        _xlfn._xlws.FILTER(
            INDIRECT("'"&amp;F$62&amp;"'!A2:E1000"), (INDIRECT("'"&amp;F$62&amp;"'!B2:B1000")=$B28) * (INDIRECT("'"&amp;F$62&amp;"'!C2:C1000")=$C28)
        ),
        5,
        FALSE
    )
)</f>
        <v>Enviado</v>
      </c>
      <c r="G28" s="75" t="str">
        <f t="array" aca="1" ref="G28" ca="1">IF(
    VLOOKUP(
        $A28,
        _xlfn._xlws.FILTER(
            INDIRECT("'"&amp;G$62&amp;"'!A2:E1000"), (INDIRECT("'"&amp;G$62&amp;"'!B2:B1000")=$B28) * (INDIRECT("'"&amp;G$62&amp;"'!C2:C1000")=$C28)
        ),
        5,
        FALSE
    )=0,
    "",
    VLOOKUP(
        $A28,
        _xlfn._xlws.FILTER(
            INDIRECT("'"&amp;G$62&amp;"'!A2:E1000"), (INDIRECT("'"&amp;G$62&amp;"'!B2:B1000")=$B28) * (INDIRECT("'"&amp;G$62&amp;"'!C2:C1000")=$C28)
        ),
        5,
        FALSE
    )
)</f>
        <v>Enviado</v>
      </c>
      <c r="H28" s="75" t="str">
        <f t="array" aca="1" ref="H28" ca="1">IF(
    VLOOKUP(
        $A28,
        _xlfn._xlws.FILTER(
            INDIRECT("'"&amp;H$62&amp;"'!A2:E1000"), (INDIRECT("'"&amp;H$62&amp;"'!B2:B1000")=$B28) * (INDIRECT("'"&amp;H$62&amp;"'!C2:C1000")=$C28)
        ),
        5,
        FALSE
    )=0,
    "",
    VLOOKUP(
        $A28,
        _xlfn._xlws.FILTER(
            INDIRECT("'"&amp;H$62&amp;"'!A2:E1000"), (INDIRECT("'"&amp;H$62&amp;"'!B2:B1000")=$B28) * (INDIRECT("'"&amp;H$62&amp;"'!C2:C1000")=$C28)
        ),
        5,
        FALSE
    )
)</f>
        <v>Enviado</v>
      </c>
      <c r="I28" s="75" t="s">
        <v>14</v>
      </c>
      <c r="J28" s="75" t="str">
        <f t="array" aca="1" ref="J28" ca="1">IF(
    VLOOKUP(
        $A28,
        _xlfn._xlws.FILTER(
            INDIRECT("'"&amp;J$62&amp;"'!A2:E1000"), (INDIRECT("'"&amp;J$62&amp;"'!B2:B1000")=$B28) * (INDIRECT("'"&amp;J$62&amp;"'!C2:C1000")=$C28)
        ),
        5,
        FALSE
    )=0,
    "",
    VLOOKUP(
        $A28,
        _xlfn._xlws.FILTER(
            INDIRECT("'"&amp;J$62&amp;"'!A2:E1000"), (INDIRECT("'"&amp;J$62&amp;"'!B2:B1000")=$B28) * (INDIRECT("'"&amp;J$62&amp;"'!C2:C1000")=$C28)
        ),
        5,
        FALSE
    )
)</f>
        <v>Enviado</v>
      </c>
      <c r="K28" s="75" t="str">
        <f t="array" aca="1" ref="K28" ca="1">IF(
    VLOOKUP(
        $A28,
        _xlfn._xlws.FILTER(
            INDIRECT("'"&amp;K$62&amp;"'!A2:E1000"), (INDIRECT("'"&amp;K$62&amp;"'!B2:B1000")=$B28) * (INDIRECT("'"&amp;K$62&amp;"'!C2:C1000")=$C28)
        ),
        5,
        FALSE
    )=0,
    "",
    VLOOKUP(
        $A28,
        _xlfn._xlws.FILTER(
            INDIRECT("'"&amp;K$62&amp;"'!A2:E1000"), (INDIRECT("'"&amp;K$62&amp;"'!B2:B1000")=$B28) * (INDIRECT("'"&amp;K$62&amp;"'!C2:C1000")=$C28)
        ),
        5,
        FALSE
    )
)</f>
        <v>Enviado</v>
      </c>
      <c r="L28" s="75" t="str">
        <f t="array" aca="1" ref="L28" ca="1">IF(
    VLOOKUP(
        $A28,
        _xlfn._xlws.FILTER(
            INDIRECT("'"&amp;L$62&amp;"'!A2:E1000"), (INDIRECT("'"&amp;L$62&amp;"'!B2:B1000")=$B28) * (INDIRECT("'"&amp;L$62&amp;"'!C2:C1000")=$C28)
        ),
        5,
        FALSE
    )=0,
    "",
    VLOOKUP(
        $A28,
        _xlfn._xlws.FILTER(
            INDIRECT("'"&amp;L$62&amp;"'!A2:E1000"), (INDIRECT("'"&amp;L$62&amp;"'!B2:B1000")=$B28) * (INDIRECT("'"&amp;L$62&amp;"'!C2:C1000")=$C28)
        ),
        5,
        FALSE
    )
)</f>
        <v>Enviado</v>
      </c>
      <c r="M28" s="75" t="str">
        <f t="array" aca="1" ref="M28" ca="1">IF(
    VLOOKUP(
        $A28,
        _xlfn._xlws.FILTER(
            INDIRECT("'"&amp;M$62&amp;"'!A2:E1000"), (INDIRECT("'"&amp;M$62&amp;"'!B2:B1000")=$B28) * (INDIRECT("'"&amp;M$62&amp;"'!C2:C1000")=$C28)
        ),
        5,
        FALSE
    )=0,
    "",
    VLOOKUP(
        $A28,
        _xlfn._xlws.FILTER(
            INDIRECT("'"&amp;M$62&amp;"'!A2:E1000"), (INDIRECT("'"&amp;M$62&amp;"'!B2:B1000")=$B28) * (INDIRECT("'"&amp;M$62&amp;"'!C2:C1000")=$C28)
        ),
        5,
        FALSE
    )
)</f>
        <v>Enviado</v>
      </c>
      <c r="N28" s="75" t="str">
        <f t="array" aca="1" ref="N28" ca="1">IF(
    VLOOKUP(
        $A28,
        _xlfn._xlws.FILTER(
            INDIRECT("'"&amp;N$62&amp;"'!A2:E1000"), (INDIRECT("'"&amp;N$62&amp;"'!B2:B1000")=$B28) * (INDIRECT("'"&amp;N$62&amp;"'!C2:C1000")=$C28)
        ),
        5,
        FALSE
    )=0,
    "",
    VLOOKUP(
        $A28,
        _xlfn._xlws.FILTER(
            INDIRECT("'"&amp;N$62&amp;"'!A2:E1000"), (INDIRECT("'"&amp;N$62&amp;"'!B2:B1000")=$B28) * (INDIRECT("'"&amp;N$62&amp;"'!C2:C1000")=$C28)
        ),
        5,
        FALSE
    )
)</f>
        <v/>
      </c>
      <c r="O28" s="75" t="str">
        <f t="array" aca="1" ref="O28" ca="1">IF(
    VLOOKUP(
        $A28,
        _xlfn._xlws.FILTER(
            INDIRECT("'"&amp;O$62&amp;"'!A2:E1000"), (INDIRECT("'"&amp;O$62&amp;"'!B2:B1000")=$B28) * (INDIRECT("'"&amp;O$62&amp;"'!C2:C1000")=$C28)
        ),
        5,
        FALSE
    )=0,
    "",
    VLOOKUP(
        $A28,
        _xlfn._xlws.FILTER(
            INDIRECT("'"&amp;O$62&amp;"'!A2:E1000"), (INDIRECT("'"&amp;O$62&amp;"'!B2:B1000")=$B28) * (INDIRECT("'"&amp;O$62&amp;"'!C2:C1000")=$C28)
        ),
        5,
        FALSE
    )
)</f>
        <v/>
      </c>
    </row>
    <row r="29" spans="1:15">
      <c r="A29" s="31" t="s">
        <v>39</v>
      </c>
      <c r="B29" s="60" t="s">
        <v>96</v>
      </c>
      <c r="C29" s="60" t="s">
        <v>75</v>
      </c>
      <c r="D29" s="75" t="str">
        <f t="array" aca="1" ref="D29" ca="1">IF(
    VLOOKUP(
        $A29,
        _xlfn._xlws.FILTER(
            INDIRECT("'"&amp;D$62&amp;"'!A2:E1000"), (INDIRECT("'"&amp;D$62&amp;"'!B2:B1000")=$B29) * (INDIRECT("'"&amp;D$62&amp;"'!C2:C1000")=$C29)
        ),
        5,
        FALSE
    )=0,
    "",
    VLOOKUP(
        $A29,
        _xlfn._xlws.FILTER(
            INDIRECT("'"&amp;D$62&amp;"'!A2:E1000"), (INDIRECT("'"&amp;D$62&amp;"'!B2:B1000")=$B29) * (INDIRECT("'"&amp;D$62&amp;"'!C2:C1000")=$C29)
        ),
        5,
        FALSE
    )
)</f>
        <v>Enviado</v>
      </c>
      <c r="E29" s="75" t="str">
        <f t="array" aca="1" ref="E29" ca="1">IF(
    VLOOKUP(
        $A29,
        _xlfn._xlws.FILTER(
            INDIRECT("'"&amp;E$62&amp;"'!A2:E1000"), (INDIRECT("'"&amp;E$62&amp;"'!B2:B1000")=$B29) * (INDIRECT("'"&amp;E$62&amp;"'!C2:C1000")=$C29)
        ),
        5,
        FALSE
    )=0,
    "",
    VLOOKUP(
        $A29,
        _xlfn._xlws.FILTER(
            INDIRECT("'"&amp;E$62&amp;"'!A2:E1000"), (INDIRECT("'"&amp;E$62&amp;"'!B2:B1000")=$B29) * (INDIRECT("'"&amp;E$62&amp;"'!C2:C1000")=$C29)
        ),
        5,
        FALSE
    )
)</f>
        <v>Enviado</v>
      </c>
      <c r="F29" s="75" t="str">
        <f t="array" aca="1" ref="F29" ca="1">IF(
    VLOOKUP(
        $A29,
        _xlfn._xlws.FILTER(
            INDIRECT("'"&amp;F$62&amp;"'!A2:E1000"), (INDIRECT("'"&amp;F$62&amp;"'!B2:B1000")=$B29) * (INDIRECT("'"&amp;F$62&amp;"'!C2:C1000")=$C29)
        ),
        5,
        FALSE
    )=0,
    "",
    VLOOKUP(
        $A29,
        _xlfn._xlws.FILTER(
            INDIRECT("'"&amp;F$62&amp;"'!A2:E1000"), (INDIRECT("'"&amp;F$62&amp;"'!B2:B1000")=$B29) * (INDIRECT("'"&amp;F$62&amp;"'!C2:C1000")=$C29)
        ),
        5,
        FALSE
    )
)</f>
        <v>Enviado</v>
      </c>
      <c r="G29" s="75" t="str">
        <f t="array" aca="1" ref="G29" ca="1">IF(
    VLOOKUP(
        $A29,
        _xlfn._xlws.FILTER(
            INDIRECT("'"&amp;G$62&amp;"'!A2:E1000"), (INDIRECT("'"&amp;G$62&amp;"'!B2:B1000")=$B29) * (INDIRECT("'"&amp;G$62&amp;"'!C2:C1000")=$C29)
        ),
        5,
        FALSE
    )=0,
    "",
    VLOOKUP(
        $A29,
        _xlfn._xlws.FILTER(
            INDIRECT("'"&amp;G$62&amp;"'!A2:E1000"), (INDIRECT("'"&amp;G$62&amp;"'!B2:B1000")=$B29) * (INDIRECT("'"&amp;G$62&amp;"'!C2:C1000")=$C29)
        ),
        5,
        FALSE
    )
)</f>
        <v>Enviado</v>
      </c>
      <c r="H29" s="75" t="str">
        <f t="array" aca="1" ref="H29" ca="1">IF(
    VLOOKUP(
        $A29,
        _xlfn._xlws.FILTER(
            INDIRECT("'"&amp;H$62&amp;"'!A2:E1000"), (INDIRECT("'"&amp;H$62&amp;"'!B2:B1000")=$B29) * (INDIRECT("'"&amp;H$62&amp;"'!C2:C1000")=$C29)
        ),
        5,
        FALSE
    )=0,
    "",
    VLOOKUP(
        $A29,
        _xlfn._xlws.FILTER(
            INDIRECT("'"&amp;H$62&amp;"'!A2:E1000"), (INDIRECT("'"&amp;H$62&amp;"'!B2:B1000")=$B29) * (INDIRECT("'"&amp;H$62&amp;"'!C2:C1000")=$C29)
        ),
        5,
        FALSE
    )
)</f>
        <v>Enviado</v>
      </c>
      <c r="I29" s="75" t="str">
        <f t="array" aca="1" ref="I29" ca="1">IF(
    VLOOKUP(
        $A29,
        _xlfn._xlws.FILTER(
            INDIRECT("'"&amp;I$62&amp;"'!A2:E1000"), (INDIRECT("'"&amp;I$62&amp;"'!B2:B1000")=$B29) * (INDIRECT("'"&amp;I$62&amp;"'!C2:C1000")=$C29)
        ),
        5,
        FALSE
    )=0,
    "",
    VLOOKUP(
        $A29,
        _xlfn._xlws.FILTER(
            INDIRECT("'"&amp;I$62&amp;"'!A2:E1000"), (INDIRECT("'"&amp;I$62&amp;"'!B2:B1000")=$B29) * (INDIRECT("'"&amp;I$62&amp;"'!C2:C1000")=$C29)
        ),
        5,
        FALSE
    )
)</f>
        <v>Enviado</v>
      </c>
      <c r="J29" s="75" t="str">
        <f t="array" aca="1" ref="J29" ca="1">IF(
    VLOOKUP(
        $A29,
        _xlfn._xlws.FILTER(
            INDIRECT("'"&amp;J$62&amp;"'!A2:E1000"), (INDIRECT("'"&amp;J$62&amp;"'!B2:B1000")=$B29) * (INDIRECT("'"&amp;J$62&amp;"'!C2:C1000")=$C29)
        ),
        5,
        FALSE
    )=0,
    "",
    VLOOKUP(
        $A29,
        _xlfn._xlws.FILTER(
            INDIRECT("'"&amp;J$62&amp;"'!A2:E1000"), (INDIRECT("'"&amp;J$62&amp;"'!B2:B1000")=$B29) * (INDIRECT("'"&amp;J$62&amp;"'!C2:C1000")=$C29)
        ),
        5,
        FALSE
    )
)</f>
        <v>Enviado</v>
      </c>
      <c r="K29" s="75" t="str">
        <f t="array" aca="1" ref="K29" ca="1">IF(
    VLOOKUP(
        $A29,
        _xlfn._xlws.FILTER(
            INDIRECT("'"&amp;K$62&amp;"'!A2:E1000"), (INDIRECT("'"&amp;K$62&amp;"'!B2:B1000")=$B29) * (INDIRECT("'"&amp;K$62&amp;"'!C2:C1000")=$C29)
        ),
        5,
        FALSE
    )=0,
    "",
    VLOOKUP(
        $A29,
        _xlfn._xlws.FILTER(
            INDIRECT("'"&amp;K$62&amp;"'!A2:E1000"), (INDIRECT("'"&amp;K$62&amp;"'!B2:B1000")=$B29) * (INDIRECT("'"&amp;K$62&amp;"'!C2:C1000")=$C29)
        ),
        5,
        FALSE
    )
)</f>
        <v>Enviado</v>
      </c>
      <c r="L29" s="75" t="str">
        <f t="array" aca="1" ref="L29" ca="1">IF(
    VLOOKUP(
        $A29,
        _xlfn._xlws.FILTER(
            INDIRECT("'"&amp;L$62&amp;"'!A2:E1000"), (INDIRECT("'"&amp;L$62&amp;"'!B2:B1000")=$B29) * (INDIRECT("'"&amp;L$62&amp;"'!C2:C1000")=$C29)
        ),
        5,
        FALSE
    )=0,
    "",
    VLOOKUP(
        $A29,
        _xlfn._xlws.FILTER(
            INDIRECT("'"&amp;L$62&amp;"'!A2:E1000"), (INDIRECT("'"&amp;L$62&amp;"'!B2:B1000")=$B29) * (INDIRECT("'"&amp;L$62&amp;"'!C2:C1000")=$C29)
        ),
        5,
        FALSE
    )
)</f>
        <v>Enviado</v>
      </c>
      <c r="M29" s="75" t="str">
        <f t="array" aca="1" ref="M29" ca="1">IF(
    VLOOKUP(
        $A29,
        _xlfn._xlws.FILTER(
            INDIRECT("'"&amp;M$62&amp;"'!A2:E1000"), (INDIRECT("'"&amp;M$62&amp;"'!B2:B1000")=$B29) * (INDIRECT("'"&amp;M$62&amp;"'!C2:C1000")=$C29)
        ),
        5,
        FALSE
    )=0,
    "",
    VLOOKUP(
        $A29,
        _xlfn._xlws.FILTER(
            INDIRECT("'"&amp;M$62&amp;"'!A2:E1000"), (INDIRECT("'"&amp;M$62&amp;"'!B2:B1000")=$B29) * (INDIRECT("'"&amp;M$62&amp;"'!C2:C1000")=$C29)
        ),
        5,
        FALSE
    )
)</f>
        <v>Enviado</v>
      </c>
      <c r="N29" s="75" t="str">
        <f t="array" aca="1" ref="N29" ca="1">IF(
    VLOOKUP(
        $A29,
        _xlfn._xlws.FILTER(
            INDIRECT("'"&amp;N$62&amp;"'!A2:E1000"), (INDIRECT("'"&amp;N$62&amp;"'!B2:B1000")=$B29) * (INDIRECT("'"&amp;N$62&amp;"'!C2:C1000")=$C29)
        ),
        5,
        FALSE
    )=0,
    "",
    VLOOKUP(
        $A29,
        _xlfn._xlws.FILTER(
            INDIRECT("'"&amp;N$62&amp;"'!A2:E1000"), (INDIRECT("'"&amp;N$62&amp;"'!B2:B1000")=$B29) * (INDIRECT("'"&amp;N$62&amp;"'!C2:C1000")=$C29)
        ),
        5,
        FALSE
    )
)</f>
        <v/>
      </c>
      <c r="O29" s="75" t="str">
        <f t="array" aca="1" ref="O29" ca="1">IF(
    VLOOKUP(
        $A29,
        _xlfn._xlws.FILTER(
            INDIRECT("'"&amp;O$62&amp;"'!A2:E1000"), (INDIRECT("'"&amp;O$62&amp;"'!B2:B1000")=$B29) * (INDIRECT("'"&amp;O$62&amp;"'!C2:C1000")=$C29)
        ),
        5,
        FALSE
    )=0,
    "",
    VLOOKUP(
        $A29,
        _xlfn._xlws.FILTER(
            INDIRECT("'"&amp;O$62&amp;"'!A2:E1000"), (INDIRECT("'"&amp;O$62&amp;"'!B2:B1000")=$B29) * (INDIRECT("'"&amp;O$62&amp;"'!C2:C1000")=$C29)
        ),
        5,
        FALSE
    )
)</f>
        <v/>
      </c>
    </row>
    <row r="30" spans="1:15">
      <c r="A30" s="31" t="s">
        <v>39</v>
      </c>
      <c r="B30" s="60" t="s">
        <v>97</v>
      </c>
      <c r="C30" s="60" t="s">
        <v>75</v>
      </c>
      <c r="D30" s="75" t="str">
        <f t="array" aca="1" ref="D30" ca="1">IF(
    VLOOKUP(
        $A30,
        _xlfn._xlws.FILTER(
            INDIRECT("'"&amp;D$62&amp;"'!A2:E1000"), (INDIRECT("'"&amp;D$62&amp;"'!B2:B1000")=$B30) * (INDIRECT("'"&amp;D$62&amp;"'!C2:C1000")=$C30)
        ),
        5,
        FALSE
    )=0,
    "",
    VLOOKUP(
        $A30,
        _xlfn._xlws.FILTER(
            INDIRECT("'"&amp;D$62&amp;"'!A2:E1000"), (INDIRECT("'"&amp;D$62&amp;"'!B2:B1000")=$B30) * (INDIRECT("'"&amp;D$62&amp;"'!C2:C1000")=$C30)
        ),
        5,
        FALSE
    )
)</f>
        <v>Enviado</v>
      </c>
      <c r="E30" s="75" t="str">
        <f t="array" aca="1" ref="E30" ca="1">IF(
    VLOOKUP(
        $A30,
        _xlfn._xlws.FILTER(
            INDIRECT("'"&amp;E$62&amp;"'!A2:E1000"), (INDIRECT("'"&amp;E$62&amp;"'!B2:B1000")=$B30) * (INDIRECT("'"&amp;E$62&amp;"'!C2:C1000")=$C30)
        ),
        5,
        FALSE
    )=0,
    "",
    VLOOKUP(
        $A30,
        _xlfn._xlws.FILTER(
            INDIRECT("'"&amp;E$62&amp;"'!A2:E1000"), (INDIRECT("'"&amp;E$62&amp;"'!B2:B1000")=$B30) * (INDIRECT("'"&amp;E$62&amp;"'!C2:C1000")=$C30)
        ),
        5,
        FALSE
    )
)</f>
        <v>Enviado</v>
      </c>
      <c r="F30" s="75" t="str">
        <f t="array" aca="1" ref="F30" ca="1">IF(
    VLOOKUP(
        $A30,
        _xlfn._xlws.FILTER(
            INDIRECT("'"&amp;F$62&amp;"'!A2:E1000"), (INDIRECT("'"&amp;F$62&amp;"'!B2:B1000")=$B30) * (INDIRECT("'"&amp;F$62&amp;"'!C2:C1000")=$C30)
        ),
        5,
        FALSE
    )=0,
    "",
    VLOOKUP(
        $A30,
        _xlfn._xlws.FILTER(
            INDIRECT("'"&amp;F$62&amp;"'!A2:E1000"), (INDIRECT("'"&amp;F$62&amp;"'!B2:B1000")=$B30) * (INDIRECT("'"&amp;F$62&amp;"'!C2:C1000")=$C30)
        ),
        5,
        FALSE
    )
)</f>
        <v>Enviado</v>
      </c>
      <c r="G30" s="75" t="str">
        <f t="array" aca="1" ref="G30" ca="1">IF(
    VLOOKUP(
        $A30,
        _xlfn._xlws.FILTER(
            INDIRECT("'"&amp;G$62&amp;"'!A2:E1000"), (INDIRECT("'"&amp;G$62&amp;"'!B2:B1000")=$B30) * (INDIRECT("'"&amp;G$62&amp;"'!C2:C1000")=$C30)
        ),
        5,
        FALSE
    )=0,
    "",
    VLOOKUP(
        $A30,
        _xlfn._xlws.FILTER(
            INDIRECT("'"&amp;G$62&amp;"'!A2:E1000"), (INDIRECT("'"&amp;G$62&amp;"'!B2:B1000")=$B30) * (INDIRECT("'"&amp;G$62&amp;"'!C2:C1000")=$C30)
        ),
        5,
        FALSE
    )
)</f>
        <v>Enviado</v>
      </c>
      <c r="H30" s="75" t="str">
        <f t="array" aca="1" ref="H30" ca="1">IF(
    VLOOKUP(
        $A30,
        _xlfn._xlws.FILTER(
            INDIRECT("'"&amp;H$62&amp;"'!A2:E1000"), (INDIRECT("'"&amp;H$62&amp;"'!B2:B1000")=$B30) * (INDIRECT("'"&amp;H$62&amp;"'!C2:C1000")=$C30)
        ),
        5,
        FALSE
    )=0,
    "",
    VLOOKUP(
        $A30,
        _xlfn._xlws.FILTER(
            INDIRECT("'"&amp;H$62&amp;"'!A2:E1000"), (INDIRECT("'"&amp;H$62&amp;"'!B2:B1000")=$B30) * (INDIRECT("'"&amp;H$62&amp;"'!C2:C1000")=$C30)
        ),
        5,
        FALSE
    )
)</f>
        <v>Enviado</v>
      </c>
      <c r="I30" s="75" t="str">
        <f t="array" aca="1" ref="I30" ca="1">IF(
    VLOOKUP(
        $A30,
        _xlfn._xlws.FILTER(
            INDIRECT("'"&amp;I$62&amp;"'!A2:E1000"), (INDIRECT("'"&amp;I$62&amp;"'!B2:B1000")=$B30) * (INDIRECT("'"&amp;I$62&amp;"'!C2:C1000")=$C30)
        ),
        5,
        FALSE
    )=0,
    "",
    VLOOKUP(
        $A30,
        _xlfn._xlws.FILTER(
            INDIRECT("'"&amp;I$62&amp;"'!A2:E1000"), (INDIRECT("'"&amp;I$62&amp;"'!B2:B1000")=$B30) * (INDIRECT("'"&amp;I$62&amp;"'!C2:C1000")=$C30)
        ),
        5,
        FALSE
    )
)</f>
        <v>Enviado</v>
      </c>
      <c r="J30" s="75" t="str">
        <f t="array" aca="1" ref="J30" ca="1">IF(
    VLOOKUP(
        $A30,
        _xlfn._xlws.FILTER(
            INDIRECT("'"&amp;J$62&amp;"'!A2:E1000"), (INDIRECT("'"&amp;J$62&amp;"'!B2:B1000")=$B30) * (INDIRECT("'"&amp;J$62&amp;"'!C2:C1000")=$C30)
        ),
        5,
        FALSE
    )=0,
    "",
    VLOOKUP(
        $A30,
        _xlfn._xlws.FILTER(
            INDIRECT("'"&amp;J$62&amp;"'!A2:E1000"), (INDIRECT("'"&amp;J$62&amp;"'!B2:B1000")=$B30) * (INDIRECT("'"&amp;J$62&amp;"'!C2:C1000")=$C30)
        ),
        5,
        FALSE
    )
)</f>
        <v>Enviado</v>
      </c>
      <c r="K30" s="75" t="str">
        <f t="array" aca="1" ref="K30" ca="1">IF(
    VLOOKUP(
        $A30,
        _xlfn._xlws.FILTER(
            INDIRECT("'"&amp;K$62&amp;"'!A2:E1000"), (INDIRECT("'"&amp;K$62&amp;"'!B2:B1000")=$B30) * (INDIRECT("'"&amp;K$62&amp;"'!C2:C1000")=$C30)
        ),
        5,
        FALSE
    )=0,
    "",
    VLOOKUP(
        $A30,
        _xlfn._xlws.FILTER(
            INDIRECT("'"&amp;K$62&amp;"'!A2:E1000"), (INDIRECT("'"&amp;K$62&amp;"'!B2:B1000")=$B30) * (INDIRECT("'"&amp;K$62&amp;"'!C2:C1000")=$C30)
        ),
        5,
        FALSE
    )
)</f>
        <v>Enviado</v>
      </c>
      <c r="L30" s="75" t="str">
        <f t="array" aca="1" ref="L30" ca="1">IF(
    VLOOKUP(
        $A30,
        _xlfn._xlws.FILTER(
            INDIRECT("'"&amp;L$62&amp;"'!A2:E1000"), (INDIRECT("'"&amp;L$62&amp;"'!B2:B1000")=$B30) * (INDIRECT("'"&amp;L$62&amp;"'!C2:C1000")=$C30)
        ),
        5,
        FALSE
    )=0,
    "",
    VLOOKUP(
        $A30,
        _xlfn._xlws.FILTER(
            INDIRECT("'"&amp;L$62&amp;"'!A2:E1000"), (INDIRECT("'"&amp;L$62&amp;"'!B2:B1000")=$B30) * (INDIRECT("'"&amp;L$62&amp;"'!C2:C1000")=$C30)
        ),
        5,
        FALSE
    )
)</f>
        <v>Enviado</v>
      </c>
      <c r="M30" s="75" t="str">
        <f t="array" aca="1" ref="M30" ca="1">IF(
    VLOOKUP(
        $A30,
        _xlfn._xlws.FILTER(
            INDIRECT("'"&amp;M$62&amp;"'!A2:E1000"), (INDIRECT("'"&amp;M$62&amp;"'!B2:B1000")=$B30) * (INDIRECT("'"&amp;M$62&amp;"'!C2:C1000")=$C30)
        ),
        5,
        FALSE
    )=0,
    "",
    VLOOKUP(
        $A30,
        _xlfn._xlws.FILTER(
            INDIRECT("'"&amp;M$62&amp;"'!A2:E1000"), (INDIRECT("'"&amp;M$62&amp;"'!B2:B1000")=$B30) * (INDIRECT("'"&amp;M$62&amp;"'!C2:C1000")=$C30)
        ),
        5,
        FALSE
    )
)</f>
        <v>Enviado</v>
      </c>
      <c r="N30" s="75" t="str">
        <f t="array" aca="1" ref="N30" ca="1">IF(
    VLOOKUP(
        $A30,
        _xlfn._xlws.FILTER(
            INDIRECT("'"&amp;N$62&amp;"'!A2:E1000"), (INDIRECT("'"&amp;N$62&amp;"'!B2:B1000")=$B30) * (INDIRECT("'"&amp;N$62&amp;"'!C2:C1000")=$C30)
        ),
        5,
        FALSE
    )=0,
    "",
    VLOOKUP(
        $A30,
        _xlfn._xlws.FILTER(
            INDIRECT("'"&amp;N$62&amp;"'!A2:E1000"), (INDIRECT("'"&amp;N$62&amp;"'!B2:B1000")=$B30) * (INDIRECT("'"&amp;N$62&amp;"'!C2:C1000")=$C30)
        ),
        5,
        FALSE
    )
)</f>
        <v/>
      </c>
      <c r="O30" s="75" t="str">
        <f t="array" aca="1" ref="O30" ca="1">IF(
    VLOOKUP(
        $A30,
        _xlfn._xlws.FILTER(
            INDIRECT("'"&amp;O$62&amp;"'!A2:E1000"), (INDIRECT("'"&amp;O$62&amp;"'!B2:B1000")=$B30) * (INDIRECT("'"&amp;O$62&amp;"'!C2:C1000")=$C30)
        ),
        5,
        FALSE
    )=0,
    "",
    VLOOKUP(
        $A30,
        _xlfn._xlws.FILTER(
            INDIRECT("'"&amp;O$62&amp;"'!A2:E1000"), (INDIRECT("'"&amp;O$62&amp;"'!B2:B1000")=$B30) * (INDIRECT("'"&amp;O$62&amp;"'!C2:C1000")=$C30)
        ),
        5,
        FALSE
    )
)</f>
        <v/>
      </c>
    </row>
    <row r="32" spans="1:15" ht="15.75" customHeight="1">
      <c r="A32" s="78"/>
      <c r="B32" s="21" t="s">
        <v>72</v>
      </c>
      <c r="C32" s="21" t="s">
        <v>73</v>
      </c>
      <c r="D32" s="74" t="s">
        <v>1</v>
      </c>
      <c r="E32" s="74" t="s">
        <v>2</v>
      </c>
      <c r="F32" s="74" t="s">
        <v>3</v>
      </c>
      <c r="G32" s="74" t="s">
        <v>4</v>
      </c>
      <c r="H32" s="74" t="s">
        <v>5</v>
      </c>
      <c r="I32" s="74" t="s">
        <v>6</v>
      </c>
      <c r="J32" s="74" t="s">
        <v>7</v>
      </c>
      <c r="K32" s="74" t="s">
        <v>8</v>
      </c>
      <c r="L32" s="74" t="s">
        <v>9</v>
      </c>
      <c r="M32" s="74" t="s">
        <v>10</v>
      </c>
      <c r="N32" s="74" t="s">
        <v>11</v>
      </c>
      <c r="O32" s="74" t="s">
        <v>12</v>
      </c>
    </row>
    <row r="33" spans="1:15">
      <c r="A33" s="34" t="s">
        <v>43</v>
      </c>
      <c r="B33" s="60" t="s">
        <v>98</v>
      </c>
      <c r="C33" s="60" t="s">
        <v>75</v>
      </c>
      <c r="D33" s="75" t="str">
        <f t="array" aca="1" ref="D33" ca="1">IF(
    VLOOKUP(
        $A33,
        _xlfn._xlws.FILTER(
            INDIRECT("'"&amp;D$62&amp;"'!A2:E1000"), (INDIRECT("'"&amp;D$62&amp;"'!B2:B1000")=$B33) * (INDIRECT("'"&amp;D$62&amp;"'!C2:C1000")=$C33)
        ),
        5,
        FALSE
    )=0,
    "",
    VLOOKUP(
        $A33,
        _xlfn._xlws.FILTER(
            INDIRECT("'"&amp;D$62&amp;"'!A2:E1000"), (INDIRECT("'"&amp;D$62&amp;"'!B2:B1000")=$B33) * (INDIRECT("'"&amp;D$62&amp;"'!C2:C1000")=$C33)
        ),
        5,
        FALSE
    )
)</f>
        <v>Outras Ocorrências</v>
      </c>
      <c r="E33" s="75" t="str">
        <f t="array" aca="1" ref="E33" ca="1">IF(
    VLOOKUP(
        $A33,
        _xlfn._xlws.FILTER(
            INDIRECT("'"&amp;E$62&amp;"'!A2:E1000"), (INDIRECT("'"&amp;E$62&amp;"'!B2:B1000")=$B33) * (INDIRECT("'"&amp;E$62&amp;"'!C2:C1000")=$C33)
        ),
        5,
        FALSE
    )=0,
    "",
    VLOOKUP(
        $A33,
        _xlfn._xlws.FILTER(
            INDIRECT("'"&amp;E$62&amp;"'!A2:E1000"), (INDIRECT("'"&amp;E$62&amp;"'!B2:B1000")=$B33) * (INDIRECT("'"&amp;E$62&amp;"'!C2:C1000")=$C33)
        ),
        5,
        FALSE
    )
)</f>
        <v>Outras Ocorrências</v>
      </c>
      <c r="F33" s="75" t="str">
        <f t="array" aca="1" ref="F33" ca="1">IF(
    VLOOKUP(
        $A33,
        _xlfn._xlws.FILTER(
            INDIRECT("'"&amp;F$62&amp;"'!A2:E1000"), (INDIRECT("'"&amp;F$62&amp;"'!B2:B1000")=$B33) * (INDIRECT("'"&amp;F$62&amp;"'!C2:C1000")=$C33)
        ),
        5,
        FALSE
    )=0,
    "",
    VLOOKUP(
        $A33,
        _xlfn._xlws.FILTER(
            INDIRECT("'"&amp;F$62&amp;"'!A2:E1000"), (INDIRECT("'"&amp;F$62&amp;"'!B2:B1000")=$B33) * (INDIRECT("'"&amp;F$62&amp;"'!C2:C1000")=$C33)
        ),
        5,
        FALSE
    )
)</f>
        <v>Outras Ocorrências</v>
      </c>
      <c r="G33" s="75" t="str">
        <f t="array" aca="1" ref="G33" ca="1">IF(
    VLOOKUP(
        $A33,
        _xlfn._xlws.FILTER(
            INDIRECT("'"&amp;G$62&amp;"'!A2:E1000"), (INDIRECT("'"&amp;G$62&amp;"'!B2:B1000")=$B33) * (INDIRECT("'"&amp;G$62&amp;"'!C2:C1000")=$C33)
        ),
        5,
        FALSE
    )=0,
    "",
    VLOOKUP(
        $A33,
        _xlfn._xlws.FILTER(
            INDIRECT("'"&amp;G$62&amp;"'!A2:E1000"), (INDIRECT("'"&amp;G$62&amp;"'!B2:B1000")=$B33) * (INDIRECT("'"&amp;G$62&amp;"'!C2:C1000")=$C33)
        ),
        5,
        FALSE
    )
)</f>
        <v>Outras Ocorrências</v>
      </c>
      <c r="H33" s="75" t="str">
        <f t="array" aca="1" ref="H33" ca="1">IF(
    VLOOKUP(
        $A33,
        _xlfn._xlws.FILTER(
            INDIRECT("'"&amp;H$62&amp;"'!A2:E1000"), (INDIRECT("'"&amp;H$62&amp;"'!B2:B1000")=$B33) * (INDIRECT("'"&amp;H$62&amp;"'!C2:C1000")=$C33)
        ),
        5,
        FALSE
    )=0,
    "",
    VLOOKUP(
        $A33,
        _xlfn._xlws.FILTER(
            INDIRECT("'"&amp;H$62&amp;"'!A2:E1000"), (INDIRECT("'"&amp;H$62&amp;"'!B2:B1000")=$B33) * (INDIRECT("'"&amp;H$62&amp;"'!C2:C1000")=$C33)
        ),
        5,
        FALSE
    )
)</f>
        <v>Outras Ocorrências</v>
      </c>
      <c r="I33" s="75" t="str">
        <f t="array" aca="1" ref="I33" ca="1">IF(
    VLOOKUP(
        $A33,
        _xlfn._xlws.FILTER(
            INDIRECT("'"&amp;I$62&amp;"'!A2:E1000"), (INDIRECT("'"&amp;I$62&amp;"'!B2:B1000")=$B33) * (INDIRECT("'"&amp;I$62&amp;"'!C2:C1000")=$C33)
        ),
        5,
        FALSE
    )=0,
    "",
    VLOOKUP(
        $A33,
        _xlfn._xlws.FILTER(
            INDIRECT("'"&amp;I$62&amp;"'!A2:E1000"), (INDIRECT("'"&amp;I$62&amp;"'!B2:B1000")=$B33) * (INDIRECT("'"&amp;I$62&amp;"'!C2:C1000")=$C33)
        ),
        5,
        FALSE
    )
)</f>
        <v>Outras Ocorrências</v>
      </c>
      <c r="J33" s="75" t="str">
        <f t="array" aca="1" ref="J33" ca="1">IF(
    VLOOKUP(
        $A33,
        _xlfn._xlws.FILTER(
            INDIRECT("'"&amp;J$62&amp;"'!A2:E1000"), (INDIRECT("'"&amp;J$62&amp;"'!B2:B1000")=$B33) * (INDIRECT("'"&amp;J$62&amp;"'!C2:C1000")=$C33)
        ),
        5,
        FALSE
    )=0,
    "",
    VLOOKUP(
        $A33,
        _xlfn._xlws.FILTER(
            INDIRECT("'"&amp;J$62&amp;"'!A2:E1000"), (INDIRECT("'"&amp;J$62&amp;"'!B2:B1000")=$B33) * (INDIRECT("'"&amp;J$62&amp;"'!C2:C1000")=$C33)
        ),
        5,
        FALSE
    )
)</f>
        <v>Outras Ocorrências</v>
      </c>
      <c r="K33" s="75" t="str">
        <f t="array" aca="1" ref="K33" ca="1">IF(
    VLOOKUP(
        $A33,
        _xlfn._xlws.FILTER(
            INDIRECT("'"&amp;K$62&amp;"'!A2:E1000"), (INDIRECT("'"&amp;K$62&amp;"'!B2:B1000")=$B33) * (INDIRECT("'"&amp;K$62&amp;"'!C2:C1000")=$C33)
        ),
        5,
        FALSE
    )=0,
    "",
    VLOOKUP(
        $A33,
        _xlfn._xlws.FILTER(
            INDIRECT("'"&amp;K$62&amp;"'!A2:E1000"), (INDIRECT("'"&amp;K$62&amp;"'!B2:B1000")=$B33) * (INDIRECT("'"&amp;K$62&amp;"'!C2:C1000")=$C33)
        ),
        5,
        FALSE
    )
)</f>
        <v>Outras Ocorrências</v>
      </c>
      <c r="L33" s="75" t="str">
        <f t="array" aca="1" ref="L33" ca="1">IF(
    VLOOKUP(
        $A33,
        _xlfn._xlws.FILTER(
            INDIRECT("'"&amp;L$62&amp;"'!A2:E1000"), (INDIRECT("'"&amp;L$62&amp;"'!B2:B1000")=$B33) * (INDIRECT("'"&amp;L$62&amp;"'!C2:C1000")=$C33)
        ),
        5,
        FALSE
    )=0,
    "",
    VLOOKUP(
        $A33,
        _xlfn._xlws.FILTER(
            INDIRECT("'"&amp;L$62&amp;"'!A2:E1000"), (INDIRECT("'"&amp;L$62&amp;"'!B2:B1000")=$B33) * (INDIRECT("'"&amp;L$62&amp;"'!C2:C1000")=$C33)
        ),
        5,
        FALSE
    )
)</f>
        <v>Outras Ocorrências</v>
      </c>
      <c r="M33" s="75" t="str">
        <f t="array" aca="1" ref="M33" ca="1">IF(
    VLOOKUP(
        $A33,
        _xlfn._xlws.FILTER(
            INDIRECT("'"&amp;M$62&amp;"'!A2:E1000"), (INDIRECT("'"&amp;M$62&amp;"'!B2:B1000")=$B33) * (INDIRECT("'"&amp;M$62&amp;"'!C2:C1000")=$C33)
        ),
        5,
        FALSE
    )=0,
    "",
    VLOOKUP(
        $A33,
        _xlfn._xlws.FILTER(
            INDIRECT("'"&amp;M$62&amp;"'!A2:E1000"), (INDIRECT("'"&amp;M$62&amp;"'!B2:B1000")=$B33) * (INDIRECT("'"&amp;M$62&amp;"'!C2:C1000")=$C33)
        ),
        5,
        FALSE
    )
)</f>
        <v>Outras Ocorrências</v>
      </c>
      <c r="N33" s="75" t="str">
        <f t="array" aca="1" ref="N33" ca="1">IF(
    VLOOKUP(
        $A33,
        _xlfn._xlws.FILTER(
            INDIRECT("'"&amp;N$62&amp;"'!A2:E1000"), (INDIRECT("'"&amp;N$62&amp;"'!B2:B1000")=$B33) * (INDIRECT("'"&amp;N$62&amp;"'!C2:C1000")=$C33)
        ),
        5,
        FALSE
    )=0,
    "",
    VLOOKUP(
        $A33,
        _xlfn._xlws.FILTER(
            INDIRECT("'"&amp;N$62&amp;"'!A2:E1000"), (INDIRECT("'"&amp;N$62&amp;"'!B2:B1000")=$B33) * (INDIRECT("'"&amp;N$62&amp;"'!C2:C1000")=$C33)
        ),
        5,
        FALSE
    )
)</f>
        <v/>
      </c>
      <c r="O33" s="75" t="str">
        <f t="array" aca="1" ref="O33" ca="1">IF(
    VLOOKUP(
        $A33,
        _xlfn._xlws.FILTER(
            INDIRECT("'"&amp;O$62&amp;"'!A2:E1000"), (INDIRECT("'"&amp;O$62&amp;"'!B2:B1000")=$B33) * (INDIRECT("'"&amp;O$62&amp;"'!C2:C1000")=$C33)
        ),
        5,
        FALSE
    )=0,
    "",
    VLOOKUP(
        $A33,
        _xlfn._xlws.FILTER(
            INDIRECT("'"&amp;O$62&amp;"'!A2:E1000"), (INDIRECT("'"&amp;O$62&amp;"'!B2:B1000")=$B33) * (INDIRECT("'"&amp;O$62&amp;"'!C2:C1000")=$C33)
        ),
        5,
        FALSE
    )
)</f>
        <v/>
      </c>
    </row>
    <row r="34" spans="1:15">
      <c r="A34" s="34" t="s">
        <v>43</v>
      </c>
      <c r="B34" s="60" t="s">
        <v>99</v>
      </c>
      <c r="C34" s="60" t="s">
        <v>75</v>
      </c>
      <c r="D34" s="75" t="str">
        <f t="array" aca="1" ref="D34" ca="1">IF(
    VLOOKUP(
        $A34,
        _xlfn._xlws.FILTER(
            INDIRECT("'"&amp;D$62&amp;"'!A2:E1000"), (INDIRECT("'"&amp;D$62&amp;"'!B2:B1000")=$B34) * (INDIRECT("'"&amp;D$62&amp;"'!C2:C1000")=$C34)
        ),
        5,
        FALSE
    )=0,
    "",
    VLOOKUP(
        $A34,
        _xlfn._xlws.FILTER(
            INDIRECT("'"&amp;D$62&amp;"'!A2:E1000"), (INDIRECT("'"&amp;D$62&amp;"'!B2:B1000")=$B34) * (INDIRECT("'"&amp;D$62&amp;"'!C2:C1000")=$C34)
        ),
        5,
        FALSE
    )
)</f>
        <v>Enviado</v>
      </c>
      <c r="E34" s="75" t="str">
        <f t="array" aca="1" ref="E34" ca="1">IF(
    VLOOKUP(
        $A34,
        _xlfn._xlws.FILTER(
            INDIRECT("'"&amp;E$62&amp;"'!A2:E1000"), (INDIRECT("'"&amp;E$62&amp;"'!B2:B1000")=$B34) * (INDIRECT("'"&amp;E$62&amp;"'!C2:C1000")=$C34)
        ),
        5,
        FALSE
    )=0,
    "",
    VLOOKUP(
        $A34,
        _xlfn._xlws.FILTER(
            INDIRECT("'"&amp;E$62&amp;"'!A2:E1000"), (INDIRECT("'"&amp;E$62&amp;"'!B2:B1000")=$B34) * (INDIRECT("'"&amp;E$62&amp;"'!C2:C1000")=$C34)
        ),
        5,
        FALSE
    )
)</f>
        <v>Enviado</v>
      </c>
      <c r="F34" s="75" t="str">
        <f t="array" aca="1" ref="F34" ca="1">IF(
    VLOOKUP(
        $A34,
        _xlfn._xlws.FILTER(
            INDIRECT("'"&amp;F$62&amp;"'!A2:E1000"), (INDIRECT("'"&amp;F$62&amp;"'!B2:B1000")=$B34) * (INDIRECT("'"&amp;F$62&amp;"'!C2:C1000")=$C34)
        ),
        5,
        FALSE
    )=0,
    "",
    VLOOKUP(
        $A34,
        _xlfn._xlws.FILTER(
            INDIRECT("'"&amp;F$62&amp;"'!A2:E1000"), (INDIRECT("'"&amp;F$62&amp;"'!B2:B1000")=$B34) * (INDIRECT("'"&amp;F$62&amp;"'!C2:C1000")=$C34)
        ),
        5,
        FALSE
    )
)</f>
        <v>Enviado</v>
      </c>
      <c r="G34" s="75" t="str">
        <f t="array" aca="1" ref="G34" ca="1">IF(
    VLOOKUP(
        $A34,
        _xlfn._xlws.FILTER(
            INDIRECT("'"&amp;G$62&amp;"'!A2:E1000"), (INDIRECT("'"&amp;G$62&amp;"'!B2:B1000")=$B34) * (INDIRECT("'"&amp;G$62&amp;"'!C2:C1000")=$C34)
        ),
        5,
        FALSE
    )=0,
    "",
    VLOOKUP(
        $A34,
        _xlfn._xlws.FILTER(
            INDIRECT("'"&amp;G$62&amp;"'!A2:E1000"), (INDIRECT("'"&amp;G$62&amp;"'!B2:B1000")=$B34) * (INDIRECT("'"&amp;G$62&amp;"'!C2:C1000")=$C34)
        ),
        5,
        FALSE
    )
)</f>
        <v>Enviado</v>
      </c>
      <c r="H34" s="75" t="str">
        <f t="array" aca="1" ref="H34" ca="1">IF(
    VLOOKUP(
        $A34,
        _xlfn._xlws.FILTER(
            INDIRECT("'"&amp;H$62&amp;"'!A2:E1000"), (INDIRECT("'"&amp;H$62&amp;"'!B2:B1000")=$B34) * (INDIRECT("'"&amp;H$62&amp;"'!C2:C1000")=$C34)
        ),
        5,
        FALSE
    )=0,
    "",
    VLOOKUP(
        $A34,
        _xlfn._xlws.FILTER(
            INDIRECT("'"&amp;H$62&amp;"'!A2:E1000"), (INDIRECT("'"&amp;H$62&amp;"'!B2:B1000")=$B34) * (INDIRECT("'"&amp;H$62&amp;"'!C2:C1000")=$C34)
        ),
        5,
        FALSE
    )
)</f>
        <v>Enviado</v>
      </c>
      <c r="I34" s="75" t="str">
        <f t="array" aca="1" ref="I34" ca="1">IF(
    VLOOKUP(
        $A34,
        _xlfn._xlws.FILTER(
            INDIRECT("'"&amp;I$62&amp;"'!A2:E1000"), (INDIRECT("'"&amp;I$62&amp;"'!B2:B1000")=$B34) * (INDIRECT("'"&amp;I$62&amp;"'!C2:C1000")=$C34)
        ),
        5,
        FALSE
    )=0,
    "",
    VLOOKUP(
        $A34,
        _xlfn._xlws.FILTER(
            INDIRECT("'"&amp;I$62&amp;"'!A2:E1000"), (INDIRECT("'"&amp;I$62&amp;"'!B2:B1000")=$B34) * (INDIRECT("'"&amp;I$62&amp;"'!C2:C1000")=$C34)
        ),
        5,
        FALSE
    )
)</f>
        <v>Enviado</v>
      </c>
      <c r="J34" s="75" t="str">
        <f t="array" aca="1" ref="J34" ca="1">IF(
    VLOOKUP(
        $A34,
        _xlfn._xlws.FILTER(
            INDIRECT("'"&amp;J$62&amp;"'!A2:E1000"), (INDIRECT("'"&amp;J$62&amp;"'!B2:B1000")=$B34) * (INDIRECT("'"&amp;J$62&amp;"'!C2:C1000")=$C34)
        ),
        5,
        FALSE
    )=0,
    "",
    VLOOKUP(
        $A34,
        _xlfn._xlws.FILTER(
            INDIRECT("'"&amp;J$62&amp;"'!A2:E1000"), (INDIRECT("'"&amp;J$62&amp;"'!B2:B1000")=$B34) * (INDIRECT("'"&amp;J$62&amp;"'!C2:C1000")=$C34)
        ),
        5,
        FALSE
    )
)</f>
        <v>Enviado</v>
      </c>
      <c r="K34" s="75" t="str">
        <f t="array" aca="1" ref="K34" ca="1">IF(
    VLOOKUP(
        $A34,
        _xlfn._xlws.FILTER(
            INDIRECT("'"&amp;K$62&amp;"'!A2:E1000"), (INDIRECT("'"&amp;K$62&amp;"'!B2:B1000")=$B34) * (INDIRECT("'"&amp;K$62&amp;"'!C2:C1000")=$C34)
        ),
        5,
        FALSE
    )=0,
    "",
    VLOOKUP(
        $A34,
        _xlfn._xlws.FILTER(
            INDIRECT("'"&amp;K$62&amp;"'!A2:E1000"), (INDIRECT("'"&amp;K$62&amp;"'!B2:B1000")=$B34) * (INDIRECT("'"&amp;K$62&amp;"'!C2:C1000")=$C34)
        ),
        5,
        FALSE
    )
)</f>
        <v>Enviado</v>
      </c>
      <c r="L34" s="75" t="str">
        <f t="array" aca="1" ref="L34" ca="1">IF(
    VLOOKUP(
        $A34,
        _xlfn._xlws.FILTER(
            INDIRECT("'"&amp;L$62&amp;"'!A2:E1000"), (INDIRECT("'"&amp;L$62&amp;"'!B2:B1000")=$B34) * (INDIRECT("'"&amp;L$62&amp;"'!C2:C1000")=$C34)
        ),
        5,
        FALSE
    )=0,
    "",
    VLOOKUP(
        $A34,
        _xlfn._xlws.FILTER(
            INDIRECT("'"&amp;L$62&amp;"'!A2:E1000"), (INDIRECT("'"&amp;L$62&amp;"'!B2:B1000")=$B34) * (INDIRECT("'"&amp;L$62&amp;"'!C2:C1000")=$C34)
        ),
        5,
        FALSE
    )
)</f>
        <v>Atrasado &gt;= 2</v>
      </c>
      <c r="M34" s="75" t="str">
        <f t="array" aca="1" ref="M34" ca="1">IF(
    VLOOKUP(
        $A34,
        _xlfn._xlws.FILTER(
            INDIRECT("'"&amp;M$62&amp;"'!A2:E1000"), (INDIRECT("'"&amp;M$62&amp;"'!B2:B1000")=$B34) * (INDIRECT("'"&amp;M$62&amp;"'!C2:C1000")=$C34)
        ),
        5,
        FALSE
    )=0,
    "",
    VLOOKUP(
        $A34,
        _xlfn._xlws.FILTER(
            INDIRECT("'"&amp;M$62&amp;"'!A2:E1000"), (INDIRECT("'"&amp;M$62&amp;"'!B2:B1000")=$B34) * (INDIRECT("'"&amp;M$62&amp;"'!C2:C1000")=$C34)
        ),
        5,
        FALSE
    )
)</f>
        <v>Atrasado</v>
      </c>
      <c r="N34" s="75" t="str">
        <f t="array" aca="1" ref="N34" ca="1">IF(
    VLOOKUP(
        $A34,
        _xlfn._xlws.FILTER(
            INDIRECT("'"&amp;N$62&amp;"'!A2:E1000"), (INDIRECT("'"&amp;N$62&amp;"'!B2:B1000")=$B34) * (INDIRECT("'"&amp;N$62&amp;"'!C2:C1000")=$C34)
        ),
        5,
        FALSE
    )=0,
    "",
    VLOOKUP(
        $A34,
        _xlfn._xlws.FILTER(
            INDIRECT("'"&amp;N$62&amp;"'!A2:E1000"), (INDIRECT("'"&amp;N$62&amp;"'!B2:B1000")=$B34) * (INDIRECT("'"&amp;N$62&amp;"'!C2:C1000")=$C34)
        ),
        5,
        FALSE
    )
)</f>
        <v/>
      </c>
      <c r="O34" s="75" t="str">
        <f t="array" aca="1" ref="O34" ca="1">IF(
    VLOOKUP(
        $A34,
        _xlfn._xlws.FILTER(
            INDIRECT("'"&amp;O$62&amp;"'!A2:E1000"), (INDIRECT("'"&amp;O$62&amp;"'!B2:B1000")=$B34) * (INDIRECT("'"&amp;O$62&amp;"'!C2:C1000")=$C34)
        ),
        5,
        FALSE
    )=0,
    "",
    VLOOKUP(
        $A34,
        _xlfn._xlws.FILTER(
            INDIRECT("'"&amp;O$62&amp;"'!A2:E1000"), (INDIRECT("'"&amp;O$62&amp;"'!B2:B1000")=$B34) * (INDIRECT("'"&amp;O$62&amp;"'!C2:C1000")=$C34)
        ),
        5,
        FALSE
    )
)</f>
        <v/>
      </c>
    </row>
    <row r="35" spans="1:15">
      <c r="A35" s="34" t="s">
        <v>43</v>
      </c>
      <c r="B35" s="60" t="s">
        <v>100</v>
      </c>
      <c r="C35" s="60" t="s">
        <v>75</v>
      </c>
      <c r="D35" s="75" t="str">
        <f t="array" aca="1" ref="D35" ca="1">IF(
    VLOOKUP(
        $A35,
        _xlfn._xlws.FILTER(
            INDIRECT("'"&amp;D$62&amp;"'!A2:E1000"), (INDIRECT("'"&amp;D$62&amp;"'!B2:B1000")=$B35) * (INDIRECT("'"&amp;D$62&amp;"'!C2:C1000")=$C35)
        ),
        5,
        FALSE
    )=0,
    "",
    VLOOKUP(
        $A35,
        _xlfn._xlws.FILTER(
            INDIRECT("'"&amp;D$62&amp;"'!A2:E1000"), (INDIRECT("'"&amp;D$62&amp;"'!B2:B1000")=$B35) * (INDIRECT("'"&amp;D$62&amp;"'!C2:C1000")=$C35)
        ),
        5,
        FALSE
    )
)</f>
        <v>Enviado</v>
      </c>
      <c r="E35" s="75" t="str">
        <f t="array" aca="1" ref="E35" ca="1">IF(
    VLOOKUP(
        $A35,
        _xlfn._xlws.FILTER(
            INDIRECT("'"&amp;E$62&amp;"'!A2:E1000"), (INDIRECT("'"&amp;E$62&amp;"'!B2:B1000")=$B35) * (INDIRECT("'"&amp;E$62&amp;"'!C2:C1000")=$C35)
        ),
        5,
        FALSE
    )=0,
    "",
    VLOOKUP(
        $A35,
        _xlfn._xlws.FILTER(
            INDIRECT("'"&amp;E$62&amp;"'!A2:E1000"), (INDIRECT("'"&amp;E$62&amp;"'!B2:B1000")=$B35) * (INDIRECT("'"&amp;E$62&amp;"'!C2:C1000")=$C35)
        ),
        5,
        FALSE
    )
)</f>
        <v>Enviado</v>
      </c>
      <c r="F35" s="75" t="str">
        <f t="array" aca="1" ref="F35" ca="1">IF(
    VLOOKUP(
        $A35,
        _xlfn._xlws.FILTER(
            INDIRECT("'"&amp;F$62&amp;"'!A2:E1000"), (INDIRECT("'"&amp;F$62&amp;"'!B2:B1000")=$B35) * (INDIRECT("'"&amp;F$62&amp;"'!C2:C1000")=$C35)
        ),
        5,
        FALSE
    )=0,
    "",
    VLOOKUP(
        $A35,
        _xlfn._xlws.FILTER(
            INDIRECT("'"&amp;F$62&amp;"'!A2:E1000"), (INDIRECT("'"&amp;F$62&amp;"'!B2:B1000")=$B35) * (INDIRECT("'"&amp;F$62&amp;"'!C2:C1000")=$C35)
        ),
        5,
        FALSE
    )
)</f>
        <v>Enviado</v>
      </c>
      <c r="G35" s="75" t="str">
        <f t="array" aca="1" ref="G35" ca="1">IF(
    VLOOKUP(
        $A35,
        _xlfn._xlws.FILTER(
            INDIRECT("'"&amp;G$62&amp;"'!A2:E1000"), (INDIRECT("'"&amp;G$62&amp;"'!B2:B1000")=$B35) * (INDIRECT("'"&amp;G$62&amp;"'!C2:C1000")=$C35)
        ),
        5,
        FALSE
    )=0,
    "",
    VLOOKUP(
        $A35,
        _xlfn._xlws.FILTER(
            INDIRECT("'"&amp;G$62&amp;"'!A2:E1000"), (INDIRECT("'"&amp;G$62&amp;"'!B2:B1000")=$B35) * (INDIRECT("'"&amp;G$62&amp;"'!C2:C1000")=$C35)
        ),
        5,
        FALSE
    )
)</f>
        <v>Enviado</v>
      </c>
      <c r="H35" s="75" t="str">
        <f t="array" aca="1" ref="H35" ca="1">IF(
    VLOOKUP(
        $A35,
        _xlfn._xlws.FILTER(
            INDIRECT("'"&amp;H$62&amp;"'!A2:E1000"), (INDIRECT("'"&amp;H$62&amp;"'!B2:B1000")=$B35) * (INDIRECT("'"&amp;H$62&amp;"'!C2:C1000")=$C35)
        ),
        5,
        FALSE
    )=0,
    "",
    VLOOKUP(
        $A35,
        _xlfn._xlws.FILTER(
            INDIRECT("'"&amp;H$62&amp;"'!A2:E1000"), (INDIRECT("'"&amp;H$62&amp;"'!B2:B1000")=$B35) * (INDIRECT("'"&amp;H$62&amp;"'!C2:C1000")=$C35)
        ),
        5,
        FALSE
    )
)</f>
        <v>Enviado</v>
      </c>
      <c r="I35" s="75" t="str">
        <f t="array" aca="1" ref="I35" ca="1">IF(
    VLOOKUP(
        $A35,
        _xlfn._xlws.FILTER(
            INDIRECT("'"&amp;I$62&amp;"'!A2:E1000"), (INDIRECT("'"&amp;I$62&amp;"'!B2:B1000")=$B35) * (INDIRECT("'"&amp;I$62&amp;"'!C2:C1000")=$C35)
        ),
        5,
        FALSE
    )=0,
    "",
    VLOOKUP(
        $A35,
        _xlfn._xlws.FILTER(
            INDIRECT("'"&amp;I$62&amp;"'!A2:E1000"), (INDIRECT("'"&amp;I$62&amp;"'!B2:B1000")=$B35) * (INDIRECT("'"&amp;I$62&amp;"'!C2:C1000")=$C35)
        ),
        5,
        FALSE
    )
)</f>
        <v>Enviado</v>
      </c>
      <c r="J35" s="75" t="str">
        <f t="array" aca="1" ref="J35" ca="1">IF(
    VLOOKUP(
        $A35,
        _xlfn._xlws.FILTER(
            INDIRECT("'"&amp;J$62&amp;"'!A2:E1000"), (INDIRECT("'"&amp;J$62&amp;"'!B2:B1000")=$B35) * (INDIRECT("'"&amp;J$62&amp;"'!C2:C1000")=$C35)
        ),
        5,
        FALSE
    )=0,
    "",
    VLOOKUP(
        $A35,
        _xlfn._xlws.FILTER(
            INDIRECT("'"&amp;J$62&amp;"'!A2:E1000"), (INDIRECT("'"&amp;J$62&amp;"'!B2:B1000")=$B35) * (INDIRECT("'"&amp;J$62&amp;"'!C2:C1000")=$C35)
        ),
        5,
        FALSE
    )
)</f>
        <v>Enviado</v>
      </c>
      <c r="K35" s="75" t="str">
        <f t="array" aca="1" ref="K35" ca="1">IF(
    VLOOKUP(
        $A35,
        _xlfn._xlws.FILTER(
            INDIRECT("'"&amp;K$62&amp;"'!A2:E1000"), (INDIRECT("'"&amp;K$62&amp;"'!B2:B1000")=$B35) * (INDIRECT("'"&amp;K$62&amp;"'!C2:C1000")=$C35)
        ),
        5,
        FALSE
    )=0,
    "",
    VLOOKUP(
        $A35,
        _xlfn._xlws.FILTER(
            INDIRECT("'"&amp;K$62&amp;"'!A2:E1000"), (INDIRECT("'"&amp;K$62&amp;"'!B2:B1000")=$B35) * (INDIRECT("'"&amp;K$62&amp;"'!C2:C1000")=$C35)
        ),
        5,
        FALSE
    )
)</f>
        <v>Enviado</v>
      </c>
      <c r="L35" s="75" t="str">
        <f t="array" aca="1" ref="L35" ca="1">IF(
    VLOOKUP(
        $A35,
        _xlfn._xlws.FILTER(
            INDIRECT("'"&amp;L$62&amp;"'!A2:E1000"), (INDIRECT("'"&amp;L$62&amp;"'!B2:B1000")=$B35) * (INDIRECT("'"&amp;L$62&amp;"'!C2:C1000")=$C35)
        ),
        5,
        FALSE
    )=0,
    "",
    VLOOKUP(
        $A35,
        _xlfn._xlws.FILTER(
            INDIRECT("'"&amp;L$62&amp;"'!A2:E1000"), (INDIRECT("'"&amp;L$62&amp;"'!B2:B1000")=$B35) * (INDIRECT("'"&amp;L$62&amp;"'!C2:C1000")=$C35)
        ),
        5,
        FALSE
    )
)</f>
        <v>Enviado</v>
      </c>
      <c r="M35" s="75" t="str">
        <f t="array" aca="1" ref="M35" ca="1">IF(
    VLOOKUP(
        $A35,
        _xlfn._xlws.FILTER(
            INDIRECT("'"&amp;M$62&amp;"'!A2:E1000"), (INDIRECT("'"&amp;M$62&amp;"'!B2:B1000")=$B35) * (INDIRECT("'"&amp;M$62&amp;"'!C2:C1000")=$C35)
        ),
        5,
        FALSE
    )=0,
    "",
    VLOOKUP(
        $A35,
        _xlfn._xlws.FILTER(
            INDIRECT("'"&amp;M$62&amp;"'!A2:E1000"), (INDIRECT("'"&amp;M$62&amp;"'!B2:B1000")=$B35) * (INDIRECT("'"&amp;M$62&amp;"'!C2:C1000")=$C35)
        ),
        5,
        FALSE
    )
)</f>
        <v>Enviado</v>
      </c>
      <c r="N35" s="75" t="str">
        <f t="array" aca="1" ref="N35" ca="1">IF(
    VLOOKUP(
        $A35,
        _xlfn._xlws.FILTER(
            INDIRECT("'"&amp;N$62&amp;"'!A2:E1000"), (INDIRECT("'"&amp;N$62&amp;"'!B2:B1000")=$B35) * (INDIRECT("'"&amp;N$62&amp;"'!C2:C1000")=$C35)
        ),
        5,
        FALSE
    )=0,
    "",
    VLOOKUP(
        $A35,
        _xlfn._xlws.FILTER(
            INDIRECT("'"&amp;N$62&amp;"'!A2:E1000"), (INDIRECT("'"&amp;N$62&amp;"'!B2:B1000")=$B35) * (INDIRECT("'"&amp;N$62&amp;"'!C2:C1000")=$C35)
        ),
        5,
        FALSE
    )
)</f>
        <v/>
      </c>
      <c r="O35" s="75" t="str">
        <f t="array" aca="1" ref="O35" ca="1">IF(
    VLOOKUP(
        $A35,
        _xlfn._xlws.FILTER(
            INDIRECT("'"&amp;O$62&amp;"'!A2:E1000"), (INDIRECT("'"&amp;O$62&amp;"'!B2:B1000")=$B35) * (INDIRECT("'"&amp;O$62&amp;"'!C2:C1000")=$C35)
        ),
        5,
        FALSE
    )=0,
    "",
    VLOOKUP(
        $A35,
        _xlfn._xlws.FILTER(
            INDIRECT("'"&amp;O$62&amp;"'!A2:E1000"), (INDIRECT("'"&amp;O$62&amp;"'!B2:B1000")=$B35) * (INDIRECT("'"&amp;O$62&amp;"'!C2:C1000")=$C35)
        ),
        5,
        FALSE
    )
)</f>
        <v/>
      </c>
    </row>
    <row r="36" spans="1:15">
      <c r="A36" s="34" t="s">
        <v>43</v>
      </c>
      <c r="B36" s="60" t="s">
        <v>101</v>
      </c>
      <c r="C36" s="60" t="s">
        <v>75</v>
      </c>
      <c r="D36" s="75" t="str">
        <f t="array" aca="1" ref="D36" ca="1">IF(
    VLOOKUP(
        $A36,
        _xlfn._xlws.FILTER(
            INDIRECT("'"&amp;D$62&amp;"'!A2:E1000"), (INDIRECT("'"&amp;D$62&amp;"'!B2:B1000")=$B36) * (INDIRECT("'"&amp;D$62&amp;"'!C2:C1000")=$C36)
        ),
        5,
        FALSE
    )=0,
    "",
    VLOOKUP(
        $A36,
        _xlfn._xlws.FILTER(
            INDIRECT("'"&amp;D$62&amp;"'!A2:E1000"), (INDIRECT("'"&amp;D$62&amp;"'!B2:B1000")=$B36) * (INDIRECT("'"&amp;D$62&amp;"'!C2:C1000")=$C36)
        ),
        5,
        FALSE
    )
)</f>
        <v>Enviado</v>
      </c>
      <c r="E36" s="75" t="str">
        <f t="array" aca="1" ref="E36" ca="1">IF(
    VLOOKUP(
        $A36,
        _xlfn._xlws.FILTER(
            INDIRECT("'"&amp;E$62&amp;"'!A2:E1000"), (INDIRECT("'"&amp;E$62&amp;"'!B2:B1000")=$B36) * (INDIRECT("'"&amp;E$62&amp;"'!C2:C1000")=$C36)
        ),
        5,
        FALSE
    )=0,
    "",
    VLOOKUP(
        $A36,
        _xlfn._xlws.FILTER(
            INDIRECT("'"&amp;E$62&amp;"'!A2:E1000"), (INDIRECT("'"&amp;E$62&amp;"'!B2:B1000")=$B36) * (INDIRECT("'"&amp;E$62&amp;"'!C2:C1000")=$C36)
        ),
        5,
        FALSE
    )
)</f>
        <v>Enviado</v>
      </c>
      <c r="F36" s="75" t="str">
        <f t="array" aca="1" ref="F36" ca="1">IF(
    VLOOKUP(
        $A36,
        _xlfn._xlws.FILTER(
            INDIRECT("'"&amp;F$62&amp;"'!A2:E1000"), (INDIRECT("'"&amp;F$62&amp;"'!B2:B1000")=$B36) * (INDIRECT("'"&amp;F$62&amp;"'!C2:C1000")=$C36)
        ),
        5,
        FALSE
    )=0,
    "",
    VLOOKUP(
        $A36,
        _xlfn._xlws.FILTER(
            INDIRECT("'"&amp;F$62&amp;"'!A2:E1000"), (INDIRECT("'"&amp;F$62&amp;"'!B2:B1000")=$B36) * (INDIRECT("'"&amp;F$62&amp;"'!C2:C1000")=$C36)
        ),
        5,
        FALSE
    )
)</f>
        <v>Enviado</v>
      </c>
      <c r="G36" s="75" t="str">
        <f t="array" aca="1" ref="G36" ca="1">IF(
    VLOOKUP(
        $A36,
        _xlfn._xlws.FILTER(
            INDIRECT("'"&amp;G$62&amp;"'!A2:E1000"), (INDIRECT("'"&amp;G$62&amp;"'!B2:B1000")=$B36) * (INDIRECT("'"&amp;G$62&amp;"'!C2:C1000")=$C36)
        ),
        5,
        FALSE
    )=0,
    "",
    VLOOKUP(
        $A36,
        _xlfn._xlws.FILTER(
            INDIRECT("'"&amp;G$62&amp;"'!A2:E1000"), (INDIRECT("'"&amp;G$62&amp;"'!B2:B1000")=$B36) * (INDIRECT("'"&amp;G$62&amp;"'!C2:C1000")=$C36)
        ),
        5,
        FALSE
    )
)</f>
        <v>Enviado</v>
      </c>
      <c r="H36" s="75" t="str">
        <f t="array" aca="1" ref="H36" ca="1">IF(
    VLOOKUP(
        $A36,
        _xlfn._xlws.FILTER(
            INDIRECT("'"&amp;H$62&amp;"'!A2:E1000"), (INDIRECT("'"&amp;H$62&amp;"'!B2:B1000")=$B36) * (INDIRECT("'"&amp;H$62&amp;"'!C2:C1000")=$C36)
        ),
        5,
        FALSE
    )=0,
    "",
    VLOOKUP(
        $A36,
        _xlfn._xlws.FILTER(
            INDIRECT("'"&amp;H$62&amp;"'!A2:E1000"), (INDIRECT("'"&amp;H$62&amp;"'!B2:B1000")=$B36) * (INDIRECT("'"&amp;H$62&amp;"'!C2:C1000")=$C36)
        ),
        5,
        FALSE
    )
)</f>
        <v>Enviado</v>
      </c>
      <c r="I36" s="75" t="str">
        <f t="array" aca="1" ref="I36" ca="1">IF(
    VLOOKUP(
        $A36,
        _xlfn._xlws.FILTER(
            INDIRECT("'"&amp;I$62&amp;"'!A2:E1000"), (INDIRECT("'"&amp;I$62&amp;"'!B2:B1000")=$B36) * (INDIRECT("'"&amp;I$62&amp;"'!C2:C1000")=$C36)
        ),
        5,
        FALSE
    )=0,
    "",
    VLOOKUP(
        $A36,
        _xlfn._xlws.FILTER(
            INDIRECT("'"&amp;I$62&amp;"'!A2:E1000"), (INDIRECT("'"&amp;I$62&amp;"'!B2:B1000")=$B36) * (INDIRECT("'"&amp;I$62&amp;"'!C2:C1000")=$C36)
        ),
        5,
        FALSE
    )
)</f>
        <v>Enviado</v>
      </c>
      <c r="J36" s="75" t="str">
        <f t="array" aca="1" ref="J36" ca="1">IF(
    VLOOKUP(
        $A36,
        _xlfn._xlws.FILTER(
            INDIRECT("'"&amp;J$62&amp;"'!A2:E1000"), (INDIRECT("'"&amp;J$62&amp;"'!B2:B1000")=$B36) * (INDIRECT("'"&amp;J$62&amp;"'!C2:C1000")=$C36)
        ),
        5,
        FALSE
    )=0,
    "",
    VLOOKUP(
        $A36,
        _xlfn._xlws.FILTER(
            INDIRECT("'"&amp;J$62&amp;"'!A2:E1000"), (INDIRECT("'"&amp;J$62&amp;"'!B2:B1000")=$B36) * (INDIRECT("'"&amp;J$62&amp;"'!C2:C1000")=$C36)
        ),
        5,
        FALSE
    )
)</f>
        <v>Enviado</v>
      </c>
      <c r="K36" s="75" t="str">
        <f t="array" aca="1" ref="K36" ca="1">IF(
    VLOOKUP(
        $A36,
        _xlfn._xlws.FILTER(
            INDIRECT("'"&amp;K$62&amp;"'!A2:E1000"), (INDIRECT("'"&amp;K$62&amp;"'!B2:B1000")=$B36) * (INDIRECT("'"&amp;K$62&amp;"'!C2:C1000")=$C36)
        ),
        5,
        FALSE
    )=0,
    "",
    VLOOKUP(
        $A36,
        _xlfn._xlws.FILTER(
            INDIRECT("'"&amp;K$62&amp;"'!A2:E1000"), (INDIRECT("'"&amp;K$62&amp;"'!B2:B1000")=$B36) * (INDIRECT("'"&amp;K$62&amp;"'!C2:C1000")=$C36)
        ),
        5,
        FALSE
    )
)</f>
        <v>Enviado</v>
      </c>
      <c r="L36" s="75" t="str">
        <f t="array" aca="1" ref="L36" ca="1">IF(
    VLOOKUP(
        $A36,
        _xlfn._xlws.FILTER(
            INDIRECT("'"&amp;L$62&amp;"'!A2:E1000"), (INDIRECT("'"&amp;L$62&amp;"'!B2:B1000")=$B36) * (INDIRECT("'"&amp;L$62&amp;"'!C2:C1000")=$C36)
        ),
        5,
        FALSE
    )=0,
    "",
    VLOOKUP(
        $A36,
        _xlfn._xlws.FILTER(
            INDIRECT("'"&amp;L$62&amp;"'!A2:E1000"), (INDIRECT("'"&amp;L$62&amp;"'!B2:B1000")=$B36) * (INDIRECT("'"&amp;L$62&amp;"'!C2:C1000")=$C36)
        ),
        5,
        FALSE
    )
)</f>
        <v>Enviado</v>
      </c>
      <c r="M36" s="75" t="str">
        <f t="array" aca="1" ref="M36" ca="1">IF(
    VLOOKUP(
        $A36,
        _xlfn._xlws.FILTER(
            INDIRECT("'"&amp;M$62&amp;"'!A2:E1000"), (INDIRECT("'"&amp;M$62&amp;"'!B2:B1000")=$B36) * (INDIRECT("'"&amp;M$62&amp;"'!C2:C1000")=$C36)
        ),
        5,
        FALSE
    )=0,
    "",
    VLOOKUP(
        $A36,
        _xlfn._xlws.FILTER(
            INDIRECT("'"&amp;M$62&amp;"'!A2:E1000"), (INDIRECT("'"&amp;M$62&amp;"'!B2:B1000")=$B36) * (INDIRECT("'"&amp;M$62&amp;"'!C2:C1000")=$C36)
        ),
        5,
        FALSE
    )
)</f>
        <v>Enviado</v>
      </c>
      <c r="N36" s="75" t="str">
        <f t="array" aca="1" ref="N36" ca="1">IF(
    VLOOKUP(
        $A36,
        _xlfn._xlws.FILTER(
            INDIRECT("'"&amp;N$62&amp;"'!A2:E1000"), (INDIRECT("'"&amp;N$62&amp;"'!B2:B1000")=$B36) * (INDIRECT("'"&amp;N$62&amp;"'!C2:C1000")=$C36)
        ),
        5,
        FALSE
    )=0,
    "",
    VLOOKUP(
        $A36,
        _xlfn._xlws.FILTER(
            INDIRECT("'"&amp;N$62&amp;"'!A2:E1000"), (INDIRECT("'"&amp;N$62&amp;"'!B2:B1000")=$B36) * (INDIRECT("'"&amp;N$62&amp;"'!C2:C1000")=$C36)
        ),
        5,
        FALSE
    )
)</f>
        <v/>
      </c>
      <c r="O36" s="75" t="str">
        <f t="array" aca="1" ref="O36" ca="1">IF(
    VLOOKUP(
        $A36,
        _xlfn._xlws.FILTER(
            INDIRECT("'"&amp;O$62&amp;"'!A2:E1000"), (INDIRECT("'"&amp;O$62&amp;"'!B2:B1000")=$B36) * (INDIRECT("'"&amp;O$62&amp;"'!C2:C1000")=$C36)
        ),
        5,
        FALSE
    )=0,
    "",
    VLOOKUP(
        $A36,
        _xlfn._xlws.FILTER(
            INDIRECT("'"&amp;O$62&amp;"'!A2:E1000"), (INDIRECT("'"&amp;O$62&amp;"'!B2:B1000")=$B36) * (INDIRECT("'"&amp;O$62&amp;"'!C2:C1000")=$C36)
        ),
        5,
        FALSE
    )
)</f>
        <v/>
      </c>
    </row>
    <row r="37" spans="1:15">
      <c r="A37" s="34" t="s">
        <v>43</v>
      </c>
      <c r="B37" s="60" t="s">
        <v>102</v>
      </c>
      <c r="C37" s="60" t="s">
        <v>75</v>
      </c>
      <c r="D37" s="75" t="str">
        <f t="array" aca="1" ref="D37" ca="1">IF(
    VLOOKUP(
        $A37,
        _xlfn._xlws.FILTER(
            INDIRECT("'"&amp;D$62&amp;"'!A2:E1000"), (INDIRECT("'"&amp;D$62&amp;"'!B2:B1000")=$B37) * (INDIRECT("'"&amp;D$62&amp;"'!C2:C1000")=$C37)
        ),
        5,
        FALSE
    )=0,
    "",
    VLOOKUP(
        $A37,
        _xlfn._xlws.FILTER(
            INDIRECT("'"&amp;D$62&amp;"'!A2:E1000"), (INDIRECT("'"&amp;D$62&amp;"'!B2:B1000")=$B37) * (INDIRECT("'"&amp;D$62&amp;"'!C2:C1000")=$C37)
        ),
        5,
        FALSE
    )
)</f>
        <v>Enviado</v>
      </c>
      <c r="E37" s="75" t="str">
        <f t="array" aca="1" ref="E37" ca="1">IF(
    VLOOKUP(
        $A37,
        _xlfn._xlws.FILTER(
            INDIRECT("'"&amp;E$62&amp;"'!A2:E1000"), (INDIRECT("'"&amp;E$62&amp;"'!B2:B1000")=$B37) * (INDIRECT("'"&amp;E$62&amp;"'!C2:C1000")=$C37)
        ),
        5,
        FALSE
    )=0,
    "",
    VLOOKUP(
        $A37,
        _xlfn._xlws.FILTER(
            INDIRECT("'"&amp;E$62&amp;"'!A2:E1000"), (INDIRECT("'"&amp;E$62&amp;"'!B2:B1000")=$B37) * (INDIRECT("'"&amp;E$62&amp;"'!C2:C1000")=$C37)
        ),
        5,
        FALSE
    )
)</f>
        <v>Enviado</v>
      </c>
      <c r="F37" s="75" t="str">
        <f t="array" aca="1" ref="F37" ca="1">IF(
    VLOOKUP(
        $A37,
        _xlfn._xlws.FILTER(
            INDIRECT("'"&amp;F$62&amp;"'!A2:E1000"), (INDIRECT("'"&amp;F$62&amp;"'!B2:B1000")=$B37) * (INDIRECT("'"&amp;F$62&amp;"'!C2:C1000")=$C37)
        ),
        5,
        FALSE
    )=0,
    "",
    VLOOKUP(
        $A37,
        _xlfn._xlws.FILTER(
            INDIRECT("'"&amp;F$62&amp;"'!A2:E1000"), (INDIRECT("'"&amp;F$62&amp;"'!B2:B1000")=$B37) * (INDIRECT("'"&amp;F$62&amp;"'!C2:C1000")=$C37)
        ),
        5,
        FALSE
    )
)</f>
        <v>Enviado</v>
      </c>
      <c r="G37" s="75" t="str">
        <f t="array" aca="1" ref="G37" ca="1">IF(
    VLOOKUP(
        $A37,
        _xlfn._xlws.FILTER(
            INDIRECT("'"&amp;G$62&amp;"'!A2:E1000"), (INDIRECT("'"&amp;G$62&amp;"'!B2:B1000")=$B37) * (INDIRECT("'"&amp;G$62&amp;"'!C2:C1000")=$C37)
        ),
        5,
        FALSE
    )=0,
    "",
    VLOOKUP(
        $A37,
        _xlfn._xlws.FILTER(
            INDIRECT("'"&amp;G$62&amp;"'!A2:E1000"), (INDIRECT("'"&amp;G$62&amp;"'!B2:B1000")=$B37) * (INDIRECT("'"&amp;G$62&amp;"'!C2:C1000")=$C37)
        ),
        5,
        FALSE
    )
)</f>
        <v>Enviado</v>
      </c>
      <c r="H37" s="75" t="str">
        <f t="array" aca="1" ref="H37" ca="1">IF(
    VLOOKUP(
        $A37,
        _xlfn._xlws.FILTER(
            INDIRECT("'"&amp;H$62&amp;"'!A2:E1000"), (INDIRECT("'"&amp;H$62&amp;"'!B2:B1000")=$B37) * (INDIRECT("'"&amp;H$62&amp;"'!C2:C1000")=$C37)
        ),
        5,
        FALSE
    )=0,
    "",
    VLOOKUP(
        $A37,
        _xlfn._xlws.FILTER(
            INDIRECT("'"&amp;H$62&amp;"'!A2:E1000"), (INDIRECT("'"&amp;H$62&amp;"'!B2:B1000")=$B37) * (INDIRECT("'"&amp;H$62&amp;"'!C2:C1000")=$C37)
        ),
        5,
        FALSE
    )
)</f>
        <v>Enviado</v>
      </c>
      <c r="I37" s="75" t="str">
        <f t="array" aca="1" ref="I37" ca="1">IF(
    VLOOKUP(
        $A37,
        _xlfn._xlws.FILTER(
            INDIRECT("'"&amp;I$62&amp;"'!A2:E1000"), (INDIRECT("'"&amp;I$62&amp;"'!B2:B1000")=$B37) * (INDIRECT("'"&amp;I$62&amp;"'!C2:C1000")=$C37)
        ),
        5,
        FALSE
    )=0,
    "",
    VLOOKUP(
        $A37,
        _xlfn._xlws.FILTER(
            INDIRECT("'"&amp;I$62&amp;"'!A2:E1000"), (INDIRECT("'"&amp;I$62&amp;"'!B2:B1000")=$B37) * (INDIRECT("'"&amp;I$62&amp;"'!C2:C1000")=$C37)
        ),
        5,
        FALSE
    )
)</f>
        <v>Enviado</v>
      </c>
      <c r="J37" s="75" t="str">
        <f t="array" aca="1" ref="J37" ca="1">IF(
    VLOOKUP(
        $A37,
        _xlfn._xlws.FILTER(
            INDIRECT("'"&amp;J$62&amp;"'!A2:E1000"), (INDIRECT("'"&amp;J$62&amp;"'!B2:B1000")=$B37) * (INDIRECT("'"&amp;J$62&amp;"'!C2:C1000")=$C37)
        ),
        5,
        FALSE
    )=0,
    "",
    VLOOKUP(
        $A37,
        _xlfn._xlws.FILTER(
            INDIRECT("'"&amp;J$62&amp;"'!A2:E1000"), (INDIRECT("'"&amp;J$62&amp;"'!B2:B1000")=$B37) * (INDIRECT("'"&amp;J$62&amp;"'!C2:C1000")=$C37)
        ),
        5,
        FALSE
    )
)</f>
        <v>Enviado</v>
      </c>
      <c r="K37" s="75" t="str">
        <f t="array" aca="1" ref="K37" ca="1">IF(
    VLOOKUP(
        $A37,
        _xlfn._xlws.FILTER(
            INDIRECT("'"&amp;K$62&amp;"'!A2:E1000"), (INDIRECT("'"&amp;K$62&amp;"'!B2:B1000")=$B37) * (INDIRECT("'"&amp;K$62&amp;"'!C2:C1000")=$C37)
        ),
        5,
        FALSE
    )=0,
    "",
    VLOOKUP(
        $A37,
        _xlfn._xlws.FILTER(
            INDIRECT("'"&amp;K$62&amp;"'!A2:E1000"), (INDIRECT("'"&amp;K$62&amp;"'!B2:B1000")=$B37) * (INDIRECT("'"&amp;K$62&amp;"'!C2:C1000")=$C37)
        ),
        5,
        FALSE
    )
)</f>
        <v>Enviado</v>
      </c>
      <c r="L37" s="75" t="str">
        <f t="array" aca="1" ref="L37" ca="1">IF(
    VLOOKUP(
        $A37,
        _xlfn._xlws.FILTER(
            INDIRECT("'"&amp;L$62&amp;"'!A2:E1000"), (INDIRECT("'"&amp;L$62&amp;"'!B2:B1000")=$B37) * (INDIRECT("'"&amp;L$62&amp;"'!C2:C1000")=$C37)
        ),
        5,
        FALSE
    )=0,
    "",
    VLOOKUP(
        $A37,
        _xlfn._xlws.FILTER(
            INDIRECT("'"&amp;L$62&amp;"'!A2:E1000"), (INDIRECT("'"&amp;L$62&amp;"'!B2:B1000")=$B37) * (INDIRECT("'"&amp;L$62&amp;"'!C2:C1000")=$C37)
        ),
        5,
        FALSE
    )
)</f>
        <v>Enviado</v>
      </c>
      <c r="M37" s="75" t="str">
        <f t="array" aca="1" ref="M37" ca="1">IF(
    VLOOKUP(
        $A37,
        _xlfn._xlws.FILTER(
            INDIRECT("'"&amp;M$62&amp;"'!A2:E1000"), (INDIRECT("'"&amp;M$62&amp;"'!B2:B1000")=$B37) * (INDIRECT("'"&amp;M$62&amp;"'!C2:C1000")=$C37)
        ),
        5,
        FALSE
    )=0,
    "",
    VLOOKUP(
        $A37,
        _xlfn._xlws.FILTER(
            INDIRECT("'"&amp;M$62&amp;"'!A2:E1000"), (INDIRECT("'"&amp;M$62&amp;"'!B2:B1000")=$B37) * (INDIRECT("'"&amp;M$62&amp;"'!C2:C1000")=$C37)
        ),
        5,
        FALSE
    )
)</f>
        <v>Enviado</v>
      </c>
      <c r="N37" s="75" t="str">
        <f t="array" aca="1" ref="N37" ca="1">IF(
    VLOOKUP(
        $A37,
        _xlfn._xlws.FILTER(
            INDIRECT("'"&amp;N$62&amp;"'!A2:E1000"), (INDIRECT("'"&amp;N$62&amp;"'!B2:B1000")=$B37) * (INDIRECT("'"&amp;N$62&amp;"'!C2:C1000")=$C37)
        ),
        5,
        FALSE
    )=0,
    "",
    VLOOKUP(
        $A37,
        _xlfn._xlws.FILTER(
            INDIRECT("'"&amp;N$62&amp;"'!A2:E1000"), (INDIRECT("'"&amp;N$62&amp;"'!B2:B1000")=$B37) * (INDIRECT("'"&amp;N$62&amp;"'!C2:C1000")=$C37)
        ),
        5,
        FALSE
    )
)</f>
        <v/>
      </c>
      <c r="O37" s="75" t="str">
        <f t="array" aca="1" ref="O37" ca="1">IF(
    VLOOKUP(
        $A37,
        _xlfn._xlws.FILTER(
            INDIRECT("'"&amp;O$62&amp;"'!A2:E1000"), (INDIRECT("'"&amp;O$62&amp;"'!B2:B1000")=$B37) * (INDIRECT("'"&amp;O$62&amp;"'!C2:C1000")=$C37)
        ),
        5,
        FALSE
    )=0,
    "",
    VLOOKUP(
        $A37,
        _xlfn._xlws.FILTER(
            INDIRECT("'"&amp;O$62&amp;"'!A2:E1000"), (INDIRECT("'"&amp;O$62&amp;"'!B2:B1000")=$B37) * (INDIRECT("'"&amp;O$62&amp;"'!C2:C1000")=$C37)
        ),
        5,
        FALSE
    )
)</f>
        <v/>
      </c>
    </row>
    <row r="38" spans="1:15">
      <c r="A38" s="34" t="s">
        <v>43</v>
      </c>
      <c r="B38" s="60" t="s">
        <v>103</v>
      </c>
      <c r="C38" s="60" t="s">
        <v>75</v>
      </c>
      <c r="D38" s="75" t="str">
        <f t="array" aca="1" ref="D38" ca="1">IF(
    VLOOKUP(
        $A38,
        _xlfn._xlws.FILTER(
            INDIRECT("'"&amp;D$62&amp;"'!A2:E1000"), (INDIRECT("'"&amp;D$62&amp;"'!B2:B1000")=$B38) * (INDIRECT("'"&amp;D$62&amp;"'!C2:C1000")=$C38)
        ),
        5,
        FALSE
    )=0,
    "",
    VLOOKUP(
        $A38,
        _xlfn._xlws.FILTER(
            INDIRECT("'"&amp;D$62&amp;"'!A2:E1000"), (INDIRECT("'"&amp;D$62&amp;"'!B2:B1000")=$B38) * (INDIRECT("'"&amp;D$62&amp;"'!C2:C1000")=$C38)
        ),
        5,
        FALSE
    )
)</f>
        <v>Enviado</v>
      </c>
      <c r="E38" s="75" t="str">
        <f t="array" aca="1" ref="E38" ca="1">IF(
    VLOOKUP(
        $A38,
        _xlfn._xlws.FILTER(
            INDIRECT("'"&amp;E$62&amp;"'!A2:E1000"), (INDIRECT("'"&amp;E$62&amp;"'!B2:B1000")=$B38) * (INDIRECT("'"&amp;E$62&amp;"'!C2:C1000")=$C38)
        ),
        5,
        FALSE
    )=0,
    "",
    VLOOKUP(
        $A38,
        _xlfn._xlws.FILTER(
            INDIRECT("'"&amp;E$62&amp;"'!A2:E1000"), (INDIRECT("'"&amp;E$62&amp;"'!B2:B1000")=$B38) * (INDIRECT("'"&amp;E$62&amp;"'!C2:C1000")=$C38)
        ),
        5,
        FALSE
    )
)</f>
        <v>Enviado</v>
      </c>
      <c r="F38" s="75" t="str">
        <f t="array" aca="1" ref="F38" ca="1">IF(
    VLOOKUP(
        $A38,
        _xlfn._xlws.FILTER(
            INDIRECT("'"&amp;F$62&amp;"'!A2:E1000"), (INDIRECT("'"&amp;F$62&amp;"'!B2:B1000")=$B38) * (INDIRECT("'"&amp;F$62&amp;"'!C2:C1000")=$C38)
        ),
        5,
        FALSE
    )=0,
    "",
    VLOOKUP(
        $A38,
        _xlfn._xlws.FILTER(
            INDIRECT("'"&amp;F$62&amp;"'!A2:E1000"), (INDIRECT("'"&amp;F$62&amp;"'!B2:B1000")=$B38) * (INDIRECT("'"&amp;F$62&amp;"'!C2:C1000")=$C38)
        ),
        5,
        FALSE
    )
)</f>
        <v>Enviado</v>
      </c>
      <c r="G38" s="75" t="str">
        <f t="array" aca="1" ref="G38" ca="1">IF(
    VLOOKUP(
        $A38,
        _xlfn._xlws.FILTER(
            INDIRECT("'"&amp;G$62&amp;"'!A2:E1000"), (INDIRECT("'"&amp;G$62&amp;"'!B2:B1000")=$B38) * (INDIRECT("'"&amp;G$62&amp;"'!C2:C1000")=$C38)
        ),
        5,
        FALSE
    )=0,
    "",
    VLOOKUP(
        $A38,
        _xlfn._xlws.FILTER(
            INDIRECT("'"&amp;G$62&amp;"'!A2:E1000"), (INDIRECT("'"&amp;G$62&amp;"'!B2:B1000")=$B38) * (INDIRECT("'"&amp;G$62&amp;"'!C2:C1000")=$C38)
        ),
        5,
        FALSE
    )
)</f>
        <v>Enviado</v>
      </c>
      <c r="H38" s="75" t="str">
        <f t="array" aca="1" ref="H38" ca="1">IF(
    VLOOKUP(
        $A38,
        _xlfn._xlws.FILTER(
            INDIRECT("'"&amp;H$62&amp;"'!A2:E1000"), (INDIRECT("'"&amp;H$62&amp;"'!B2:B1000")=$B38) * (INDIRECT("'"&amp;H$62&amp;"'!C2:C1000")=$C38)
        ),
        5,
        FALSE
    )=0,
    "",
    VLOOKUP(
        $A38,
        _xlfn._xlws.FILTER(
            INDIRECT("'"&amp;H$62&amp;"'!A2:E1000"), (INDIRECT("'"&amp;H$62&amp;"'!B2:B1000")=$B38) * (INDIRECT("'"&amp;H$62&amp;"'!C2:C1000")=$C38)
        ),
        5,
        FALSE
    )
)</f>
        <v>Enviado</v>
      </c>
      <c r="I38" s="75" t="str">
        <f t="array" aca="1" ref="I38" ca="1">IF(
    VLOOKUP(
        $A38,
        _xlfn._xlws.FILTER(
            INDIRECT("'"&amp;I$62&amp;"'!A2:E1000"), (INDIRECT("'"&amp;I$62&amp;"'!B2:B1000")=$B38) * (INDIRECT("'"&amp;I$62&amp;"'!C2:C1000")=$C38)
        ),
        5,
        FALSE
    )=0,
    "",
    VLOOKUP(
        $A38,
        _xlfn._xlws.FILTER(
            INDIRECT("'"&amp;I$62&amp;"'!A2:E1000"), (INDIRECT("'"&amp;I$62&amp;"'!B2:B1000")=$B38) * (INDIRECT("'"&amp;I$62&amp;"'!C2:C1000")=$C38)
        ),
        5,
        FALSE
    )
)</f>
        <v>Enviado</v>
      </c>
      <c r="J38" s="75" t="str">
        <f t="array" aca="1" ref="J38" ca="1">IF(
    VLOOKUP(
        $A38,
        _xlfn._xlws.FILTER(
            INDIRECT("'"&amp;J$62&amp;"'!A2:E1000"), (INDIRECT("'"&amp;J$62&amp;"'!B2:B1000")=$B38) * (INDIRECT("'"&amp;J$62&amp;"'!C2:C1000")=$C38)
        ),
        5,
        FALSE
    )=0,
    "",
    VLOOKUP(
        $A38,
        _xlfn._xlws.FILTER(
            INDIRECT("'"&amp;J$62&amp;"'!A2:E1000"), (INDIRECT("'"&amp;J$62&amp;"'!B2:B1000")=$B38) * (INDIRECT("'"&amp;J$62&amp;"'!C2:C1000")=$C38)
        ),
        5,
        FALSE
    )
)</f>
        <v>Enviado</v>
      </c>
      <c r="K38" s="75" t="str">
        <f t="array" aca="1" ref="K38" ca="1">IF(
    VLOOKUP(
        $A38,
        _xlfn._xlws.FILTER(
            INDIRECT("'"&amp;K$62&amp;"'!A2:E1000"), (INDIRECT("'"&amp;K$62&amp;"'!B2:B1000")=$B38) * (INDIRECT("'"&amp;K$62&amp;"'!C2:C1000")=$C38)
        ),
        5,
        FALSE
    )=0,
    "",
    VLOOKUP(
        $A38,
        _xlfn._xlws.FILTER(
            INDIRECT("'"&amp;K$62&amp;"'!A2:E1000"), (INDIRECT("'"&amp;K$62&amp;"'!B2:B1000")=$B38) * (INDIRECT("'"&amp;K$62&amp;"'!C2:C1000")=$C38)
        ),
        5,
        FALSE
    )
)</f>
        <v>Enviado</v>
      </c>
      <c r="L38" s="75" t="str">
        <f t="array" aca="1" ref="L38" ca="1">IF(
    VLOOKUP(
        $A38,
        _xlfn._xlws.FILTER(
            INDIRECT("'"&amp;L$62&amp;"'!A2:E1000"), (INDIRECT("'"&amp;L$62&amp;"'!B2:B1000")=$B38) * (INDIRECT("'"&amp;L$62&amp;"'!C2:C1000")=$C38)
        ),
        5,
        FALSE
    )=0,
    "",
    VLOOKUP(
        $A38,
        _xlfn._xlws.FILTER(
            INDIRECT("'"&amp;L$62&amp;"'!A2:E1000"), (INDIRECT("'"&amp;L$62&amp;"'!B2:B1000")=$B38) * (INDIRECT("'"&amp;L$62&amp;"'!C2:C1000")=$C38)
        ),
        5,
        FALSE
    )
)</f>
        <v>Enviado</v>
      </c>
      <c r="M38" s="75" t="str">
        <f t="array" aca="1" ref="M38" ca="1">IF(
    VLOOKUP(
        $A38,
        _xlfn._xlws.FILTER(
            INDIRECT("'"&amp;M$62&amp;"'!A2:E1000"), (INDIRECT("'"&amp;M$62&amp;"'!B2:B1000")=$B38) * (INDIRECT("'"&amp;M$62&amp;"'!C2:C1000")=$C38)
        ),
        5,
        FALSE
    )=0,
    "",
    VLOOKUP(
        $A38,
        _xlfn._xlws.FILTER(
            INDIRECT("'"&amp;M$62&amp;"'!A2:E1000"), (INDIRECT("'"&amp;M$62&amp;"'!B2:B1000")=$B38) * (INDIRECT("'"&amp;M$62&amp;"'!C2:C1000")=$C38)
        ),
        5,
        FALSE
    )
)</f>
        <v>Enviado</v>
      </c>
      <c r="N38" s="75" t="str">
        <f t="array" aca="1" ref="N38" ca="1">IF(
    VLOOKUP(
        $A38,
        _xlfn._xlws.FILTER(
            INDIRECT("'"&amp;N$62&amp;"'!A2:E1000"), (INDIRECT("'"&amp;N$62&amp;"'!B2:B1000")=$B38) * (INDIRECT("'"&amp;N$62&amp;"'!C2:C1000")=$C38)
        ),
        5,
        FALSE
    )=0,
    "",
    VLOOKUP(
        $A38,
        _xlfn._xlws.FILTER(
            INDIRECT("'"&amp;N$62&amp;"'!A2:E1000"), (INDIRECT("'"&amp;N$62&amp;"'!B2:B1000")=$B38) * (INDIRECT("'"&amp;N$62&amp;"'!C2:C1000")=$C38)
        ),
        5,
        FALSE
    )
)</f>
        <v/>
      </c>
      <c r="O38" s="75" t="str">
        <f t="array" aca="1" ref="O38" ca="1">IF(
    VLOOKUP(
        $A38,
        _xlfn._xlws.FILTER(
            INDIRECT("'"&amp;O$62&amp;"'!A2:E1000"), (INDIRECT("'"&amp;O$62&amp;"'!B2:B1000")=$B38) * (INDIRECT("'"&amp;O$62&amp;"'!C2:C1000")=$C38)
        ),
        5,
        FALSE
    )=0,
    "",
    VLOOKUP(
        $A38,
        _xlfn._xlws.FILTER(
            INDIRECT("'"&amp;O$62&amp;"'!A2:E1000"), (INDIRECT("'"&amp;O$62&amp;"'!B2:B1000")=$B38) * (INDIRECT("'"&amp;O$62&amp;"'!C2:C1000")=$C38)
        ),
        5,
        FALSE
    )
)</f>
        <v/>
      </c>
    </row>
    <row r="39" spans="1:15">
      <c r="A39" s="34" t="s">
        <v>43</v>
      </c>
      <c r="B39" s="60" t="s">
        <v>104</v>
      </c>
      <c r="C39" s="60" t="s">
        <v>75</v>
      </c>
      <c r="D39" s="75" t="str">
        <f t="array" aca="1" ref="D39" ca="1">IF(
    VLOOKUP(
        $A39,
        _xlfn._xlws.FILTER(
            INDIRECT("'"&amp;D$62&amp;"'!A2:E1000"), (INDIRECT("'"&amp;D$62&amp;"'!B2:B1000")=$B39) * (INDIRECT("'"&amp;D$62&amp;"'!C2:C1000")=$C39)
        ),
        5,
        FALSE
    )=0,
    "",
    VLOOKUP(
        $A39,
        _xlfn._xlws.FILTER(
            INDIRECT("'"&amp;D$62&amp;"'!A2:E1000"), (INDIRECT("'"&amp;D$62&amp;"'!B2:B1000")=$B39) * (INDIRECT("'"&amp;D$62&amp;"'!C2:C1000")=$C39)
        ),
        5,
        FALSE
    )
)</f>
        <v>Enviado</v>
      </c>
      <c r="E39" s="75" t="str">
        <f t="array" aca="1" ref="E39" ca="1">IF(
    VLOOKUP(
        $A39,
        _xlfn._xlws.FILTER(
            INDIRECT("'"&amp;E$62&amp;"'!A2:E1000"), (INDIRECT("'"&amp;E$62&amp;"'!B2:B1000")=$B39) * (INDIRECT("'"&amp;E$62&amp;"'!C2:C1000")=$C39)
        ),
        5,
        FALSE
    )=0,
    "",
    VLOOKUP(
        $A39,
        _xlfn._xlws.FILTER(
            INDIRECT("'"&amp;E$62&amp;"'!A2:E1000"), (INDIRECT("'"&amp;E$62&amp;"'!B2:B1000")=$B39) * (INDIRECT("'"&amp;E$62&amp;"'!C2:C1000")=$C39)
        ),
        5,
        FALSE
    )
)</f>
        <v>Enviado</v>
      </c>
      <c r="F39" s="75" t="str">
        <f t="array" aca="1" ref="F39" ca="1">IF(
    VLOOKUP(
        $A39,
        _xlfn._xlws.FILTER(
            INDIRECT("'"&amp;F$62&amp;"'!A2:E1000"), (INDIRECT("'"&amp;F$62&amp;"'!B2:B1000")=$B39) * (INDIRECT("'"&amp;F$62&amp;"'!C2:C1000")=$C39)
        ),
        5,
        FALSE
    )=0,
    "",
    VLOOKUP(
        $A39,
        _xlfn._xlws.FILTER(
            INDIRECT("'"&amp;F$62&amp;"'!A2:E1000"), (INDIRECT("'"&amp;F$62&amp;"'!B2:B1000")=$B39) * (INDIRECT("'"&amp;F$62&amp;"'!C2:C1000")=$C39)
        ),
        5,
        FALSE
    )
)</f>
        <v>Enviado</v>
      </c>
      <c r="G39" s="75" t="str">
        <f t="array" aca="1" ref="G39" ca="1">IF(
    VLOOKUP(
        $A39,
        _xlfn._xlws.FILTER(
            INDIRECT("'"&amp;G$62&amp;"'!A2:E1000"), (INDIRECT("'"&amp;G$62&amp;"'!B2:B1000")=$B39) * (INDIRECT("'"&amp;G$62&amp;"'!C2:C1000")=$C39)
        ),
        5,
        FALSE
    )=0,
    "",
    VLOOKUP(
        $A39,
        _xlfn._xlws.FILTER(
            INDIRECT("'"&amp;G$62&amp;"'!A2:E1000"), (INDIRECT("'"&amp;G$62&amp;"'!B2:B1000")=$B39) * (INDIRECT("'"&amp;G$62&amp;"'!C2:C1000")=$C39)
        ),
        5,
        FALSE
    )
)</f>
        <v>Enviado</v>
      </c>
      <c r="H39" s="75" t="str">
        <f t="array" aca="1" ref="H39" ca="1">IF(
    VLOOKUP(
        $A39,
        _xlfn._xlws.FILTER(
            INDIRECT("'"&amp;H$62&amp;"'!A2:E1000"), (INDIRECT("'"&amp;H$62&amp;"'!B2:B1000")=$B39) * (INDIRECT("'"&amp;H$62&amp;"'!C2:C1000")=$C39)
        ),
        5,
        FALSE
    )=0,
    "",
    VLOOKUP(
        $A39,
        _xlfn._xlws.FILTER(
            INDIRECT("'"&amp;H$62&amp;"'!A2:E1000"), (INDIRECT("'"&amp;H$62&amp;"'!B2:B1000")=$B39) * (INDIRECT("'"&amp;H$62&amp;"'!C2:C1000")=$C39)
        ),
        5,
        FALSE
    )
)</f>
        <v>Enviado</v>
      </c>
      <c r="I39" s="75" t="str">
        <f t="array" aca="1" ref="I39" ca="1">IF(
    VLOOKUP(
        $A39,
        _xlfn._xlws.FILTER(
            INDIRECT("'"&amp;I$62&amp;"'!A2:E1000"), (INDIRECT("'"&amp;I$62&amp;"'!B2:B1000")=$B39) * (INDIRECT("'"&amp;I$62&amp;"'!C2:C1000")=$C39)
        ),
        5,
        FALSE
    )=0,
    "",
    VLOOKUP(
        $A39,
        _xlfn._xlws.FILTER(
            INDIRECT("'"&amp;I$62&amp;"'!A2:E1000"), (INDIRECT("'"&amp;I$62&amp;"'!B2:B1000")=$B39) * (INDIRECT("'"&amp;I$62&amp;"'!C2:C1000")=$C39)
        ),
        5,
        FALSE
    )
)</f>
        <v>Enviado</v>
      </c>
      <c r="J39" s="75" t="str">
        <f t="array" aca="1" ref="J39" ca="1">IF(
    VLOOKUP(
        $A39,
        _xlfn._xlws.FILTER(
            INDIRECT("'"&amp;J$62&amp;"'!A2:E1000"), (INDIRECT("'"&amp;J$62&amp;"'!B2:B1000")=$B39) * (INDIRECT("'"&amp;J$62&amp;"'!C2:C1000")=$C39)
        ),
        5,
        FALSE
    )=0,
    "",
    VLOOKUP(
        $A39,
        _xlfn._xlws.FILTER(
            INDIRECT("'"&amp;J$62&amp;"'!A2:E1000"), (INDIRECT("'"&amp;J$62&amp;"'!B2:B1000")=$B39) * (INDIRECT("'"&amp;J$62&amp;"'!C2:C1000")=$C39)
        ),
        5,
        FALSE
    )
)</f>
        <v>Enviado</v>
      </c>
      <c r="K39" s="75" t="str">
        <f t="array" aca="1" ref="K39" ca="1">IF(
    VLOOKUP(
        $A39,
        _xlfn._xlws.FILTER(
            INDIRECT("'"&amp;K$62&amp;"'!A2:E1000"), (INDIRECT("'"&amp;K$62&amp;"'!B2:B1000")=$B39) * (INDIRECT("'"&amp;K$62&amp;"'!C2:C1000")=$C39)
        ),
        5,
        FALSE
    )=0,
    "",
    VLOOKUP(
        $A39,
        _xlfn._xlws.FILTER(
            INDIRECT("'"&amp;K$62&amp;"'!A2:E1000"), (INDIRECT("'"&amp;K$62&amp;"'!B2:B1000")=$B39) * (INDIRECT("'"&amp;K$62&amp;"'!C2:C1000")=$C39)
        ),
        5,
        FALSE
    )
)</f>
        <v>Enviado</v>
      </c>
      <c r="L39" s="75" t="str">
        <f t="array" aca="1" ref="L39" ca="1">IF(
    VLOOKUP(
        $A39,
        _xlfn._xlws.FILTER(
            INDIRECT("'"&amp;L$62&amp;"'!A2:E1000"), (INDIRECT("'"&amp;L$62&amp;"'!B2:B1000")=$B39) * (INDIRECT("'"&amp;L$62&amp;"'!C2:C1000")=$C39)
        ),
        5,
        FALSE
    )=0,
    "",
    VLOOKUP(
        $A39,
        _xlfn._xlws.FILTER(
            INDIRECT("'"&amp;L$62&amp;"'!A2:E1000"), (INDIRECT("'"&amp;L$62&amp;"'!B2:B1000")=$B39) * (INDIRECT("'"&amp;L$62&amp;"'!C2:C1000")=$C39)
        ),
        5,
        FALSE
    )
)</f>
        <v>Enviado</v>
      </c>
      <c r="M39" s="75" t="str">
        <f t="array" aca="1" ref="M39" ca="1">IF(
    VLOOKUP(
        $A39,
        _xlfn._xlws.FILTER(
            INDIRECT("'"&amp;M$62&amp;"'!A2:E1000"), (INDIRECT("'"&amp;M$62&amp;"'!B2:B1000")=$B39) * (INDIRECT("'"&amp;M$62&amp;"'!C2:C1000")=$C39)
        ),
        5,
        FALSE
    )=0,
    "",
    VLOOKUP(
        $A39,
        _xlfn._xlws.FILTER(
            INDIRECT("'"&amp;M$62&amp;"'!A2:E1000"), (INDIRECT("'"&amp;M$62&amp;"'!B2:B1000")=$B39) * (INDIRECT("'"&amp;M$62&amp;"'!C2:C1000")=$C39)
        ),
        5,
        FALSE
    )
)</f>
        <v>Enviado</v>
      </c>
      <c r="N39" s="75" t="str">
        <f t="array" aca="1" ref="N39" ca="1">IF(
    VLOOKUP(
        $A39,
        _xlfn._xlws.FILTER(
            INDIRECT("'"&amp;N$62&amp;"'!A2:E1000"), (INDIRECT("'"&amp;N$62&amp;"'!B2:B1000")=$B39) * (INDIRECT("'"&amp;N$62&amp;"'!C2:C1000")=$C39)
        ),
        5,
        FALSE
    )=0,
    "",
    VLOOKUP(
        $A39,
        _xlfn._xlws.FILTER(
            INDIRECT("'"&amp;N$62&amp;"'!A2:E1000"), (INDIRECT("'"&amp;N$62&amp;"'!B2:B1000")=$B39) * (INDIRECT("'"&amp;N$62&amp;"'!C2:C1000")=$C39)
        ),
        5,
        FALSE
    )
)</f>
        <v/>
      </c>
      <c r="O39" s="75" t="str">
        <f t="array" aca="1" ref="O39" ca="1">IF(
    VLOOKUP(
        $A39,
        _xlfn._xlws.FILTER(
            INDIRECT("'"&amp;O$62&amp;"'!A2:E1000"), (INDIRECT("'"&amp;O$62&amp;"'!B2:B1000")=$B39) * (INDIRECT("'"&amp;O$62&amp;"'!C2:C1000")=$C39)
        ),
        5,
        FALSE
    )=0,
    "",
    VLOOKUP(
        $A39,
        _xlfn._xlws.FILTER(
            INDIRECT("'"&amp;O$62&amp;"'!A2:E1000"), (INDIRECT("'"&amp;O$62&amp;"'!B2:B1000")=$B39) * (INDIRECT("'"&amp;O$62&amp;"'!C2:C1000")=$C39)
        ),
        5,
        FALSE
    )
)</f>
        <v/>
      </c>
    </row>
    <row r="40" spans="1:15">
      <c r="A40" s="34" t="s">
        <v>43</v>
      </c>
      <c r="B40" s="60" t="s">
        <v>105</v>
      </c>
      <c r="C40" s="60" t="s">
        <v>75</v>
      </c>
      <c r="D40" s="75" t="str">
        <f t="array" aca="1" ref="D40" ca="1">IF(
    VLOOKUP(
        $A40,
        _xlfn._xlws.FILTER(
            INDIRECT("'"&amp;D$62&amp;"'!A2:E1000"), (INDIRECT("'"&amp;D$62&amp;"'!B2:B1000")=$B40) * (INDIRECT("'"&amp;D$62&amp;"'!C2:C1000")=$C40)
        ),
        5,
        FALSE
    )=0,
    "",
    VLOOKUP(
        $A40,
        _xlfn._xlws.FILTER(
            INDIRECT("'"&amp;D$62&amp;"'!A2:E1000"), (INDIRECT("'"&amp;D$62&amp;"'!B2:B1000")=$B40) * (INDIRECT("'"&amp;D$62&amp;"'!C2:C1000")=$C40)
        ),
        5,
        FALSE
    )
)</f>
        <v>Sem Técnico</v>
      </c>
      <c r="E40" s="75" t="str">
        <f t="array" aca="1" ref="E40" ca="1">IF(
    VLOOKUP(
        $A40,
        _xlfn._xlws.FILTER(
            INDIRECT("'"&amp;E$62&amp;"'!A2:E1000"), (INDIRECT("'"&amp;E$62&amp;"'!B2:B1000")=$B40) * (INDIRECT("'"&amp;E$62&amp;"'!C2:C1000")=$C40)
        ),
        5,
        FALSE
    )=0,
    "",
    VLOOKUP(
        $A40,
        _xlfn._xlws.FILTER(
            INDIRECT("'"&amp;E$62&amp;"'!A2:E1000"), (INDIRECT("'"&amp;E$62&amp;"'!B2:B1000")=$B40) * (INDIRECT("'"&amp;E$62&amp;"'!C2:C1000")=$C40)
        ),
        5,
        FALSE
    )
)</f>
        <v>Sem Técnico</v>
      </c>
      <c r="F40" s="75" t="str">
        <f t="array" aca="1" ref="F40" ca="1">IF(
    VLOOKUP(
        $A40,
        _xlfn._xlws.FILTER(
            INDIRECT("'"&amp;F$62&amp;"'!A2:E1000"), (INDIRECT("'"&amp;F$62&amp;"'!B2:B1000")=$B40) * (INDIRECT("'"&amp;F$62&amp;"'!C2:C1000")=$C40)
        ),
        5,
        FALSE
    )=0,
    "",
    VLOOKUP(
        $A40,
        _xlfn._xlws.FILTER(
            INDIRECT("'"&amp;F$62&amp;"'!A2:E1000"), (INDIRECT("'"&amp;F$62&amp;"'!B2:B1000")=$B40) * (INDIRECT("'"&amp;F$62&amp;"'!C2:C1000")=$C40)
        ),
        5,
        FALSE
    )
)</f>
        <v>Sem Técnico</v>
      </c>
      <c r="G40" s="75" t="str">
        <f t="array" aca="1" ref="G40" ca="1">IF(
    VLOOKUP(
        $A40,
        _xlfn._xlws.FILTER(
            INDIRECT("'"&amp;G$62&amp;"'!A2:E1000"), (INDIRECT("'"&amp;G$62&amp;"'!B2:B1000")=$B40) * (INDIRECT("'"&amp;G$62&amp;"'!C2:C1000")=$C40)
        ),
        5,
        FALSE
    )=0,
    "",
    VLOOKUP(
        $A40,
        _xlfn._xlws.FILTER(
            INDIRECT("'"&amp;G$62&amp;"'!A2:E1000"), (INDIRECT("'"&amp;G$62&amp;"'!B2:B1000")=$B40) * (INDIRECT("'"&amp;G$62&amp;"'!C2:C1000")=$C40)
        ),
        5,
        FALSE
    )
)</f>
        <v>Sem Técnico</v>
      </c>
      <c r="H40" s="75" t="str">
        <f t="array" aca="1" ref="H40" ca="1">IF(
    VLOOKUP(
        $A40,
        _xlfn._xlws.FILTER(
            INDIRECT("'"&amp;H$62&amp;"'!A2:E1000"), (INDIRECT("'"&amp;H$62&amp;"'!B2:B1000")=$B40) * (INDIRECT("'"&amp;H$62&amp;"'!C2:C1000")=$C40)
        ),
        5,
        FALSE
    )=0,
    "",
    VLOOKUP(
        $A40,
        _xlfn._xlws.FILTER(
            INDIRECT("'"&amp;H$62&amp;"'!A2:E1000"), (INDIRECT("'"&amp;H$62&amp;"'!B2:B1000")=$B40) * (INDIRECT("'"&amp;H$62&amp;"'!C2:C1000")=$C40)
        ),
        5,
        FALSE
    )
)</f>
        <v>Sem Técnico</v>
      </c>
      <c r="I40" s="75" t="str">
        <f t="array" aca="1" ref="I40" ca="1">IF(
    VLOOKUP(
        $A40,
        _xlfn._xlws.FILTER(
            INDIRECT("'"&amp;I$62&amp;"'!A2:E1000"), (INDIRECT("'"&amp;I$62&amp;"'!B2:B1000")=$B40) * (INDIRECT("'"&amp;I$62&amp;"'!C2:C1000")=$C40)
        ),
        5,
        FALSE
    )=0,
    "",
    VLOOKUP(
        $A40,
        _xlfn._xlws.FILTER(
            INDIRECT("'"&amp;I$62&amp;"'!A2:E1000"), (INDIRECT("'"&amp;I$62&amp;"'!B2:B1000")=$B40) * (INDIRECT("'"&amp;I$62&amp;"'!C2:C1000")=$C40)
        ),
        5,
        FALSE
    )
)</f>
        <v>Sem Técnico</v>
      </c>
      <c r="J40" s="75" t="str">
        <f t="array" aca="1" ref="J40" ca="1">IF(
    VLOOKUP(
        $A40,
        _xlfn._xlws.FILTER(
            INDIRECT("'"&amp;J$62&amp;"'!A2:E1000"), (INDIRECT("'"&amp;J$62&amp;"'!B2:B1000")=$B40) * (INDIRECT("'"&amp;J$62&amp;"'!C2:C1000")=$C40)
        ),
        5,
        FALSE
    )=0,
    "",
    VLOOKUP(
        $A40,
        _xlfn._xlws.FILTER(
            INDIRECT("'"&amp;J$62&amp;"'!A2:E1000"), (INDIRECT("'"&amp;J$62&amp;"'!B2:B1000")=$B40) * (INDIRECT("'"&amp;J$62&amp;"'!C2:C1000")=$C40)
        ),
        5,
        FALSE
    )
)</f>
        <v>Sem Técnico</v>
      </c>
      <c r="K40" s="75" t="str">
        <f t="array" aca="1" ref="K40" ca="1">IF(
    VLOOKUP(
        $A40,
        _xlfn._xlws.FILTER(
            INDIRECT("'"&amp;K$62&amp;"'!A2:E1000"), (INDIRECT("'"&amp;K$62&amp;"'!B2:B1000")=$B40) * (INDIRECT("'"&amp;K$62&amp;"'!C2:C1000")=$C40)
        ),
        5,
        FALSE
    )=0,
    "",
    VLOOKUP(
        $A40,
        _xlfn._xlws.FILTER(
            INDIRECT("'"&amp;K$62&amp;"'!A2:E1000"), (INDIRECT("'"&amp;K$62&amp;"'!B2:B1000")=$B40) * (INDIRECT("'"&amp;K$62&amp;"'!C2:C1000")=$C40)
        ),
        5,
        FALSE
    )
)</f>
        <v>Sem Técnico</v>
      </c>
      <c r="L40" s="75" t="str">
        <f t="array" aca="1" ref="L40" ca="1">IF(
    VLOOKUP(
        $A40,
        _xlfn._xlws.FILTER(
            INDIRECT("'"&amp;L$62&amp;"'!A2:E1000"), (INDIRECT("'"&amp;L$62&amp;"'!B2:B1000")=$B40) * (INDIRECT("'"&amp;L$62&amp;"'!C2:C1000")=$C40)
        ),
        5,
        FALSE
    )=0,
    "",
    VLOOKUP(
        $A40,
        _xlfn._xlws.FILTER(
            INDIRECT("'"&amp;L$62&amp;"'!A2:E1000"), (INDIRECT("'"&amp;L$62&amp;"'!B2:B1000")=$B40) * (INDIRECT("'"&amp;L$62&amp;"'!C2:C1000")=$C40)
        ),
        5,
        FALSE
    )
)</f>
        <v>Sem Técnico</v>
      </c>
      <c r="M40" s="75" t="str">
        <f t="array" aca="1" ref="M40" ca="1">IF(
    VLOOKUP(
        $A40,
        _xlfn._xlws.FILTER(
            INDIRECT("'"&amp;M$62&amp;"'!A2:E1000"), (INDIRECT("'"&amp;M$62&amp;"'!B2:B1000")=$B40) * (INDIRECT("'"&amp;M$62&amp;"'!C2:C1000")=$C40)
        ),
        5,
        FALSE
    )=0,
    "",
    VLOOKUP(
        $A40,
        _xlfn._xlws.FILTER(
            INDIRECT("'"&amp;M$62&amp;"'!A2:E1000"), (INDIRECT("'"&amp;M$62&amp;"'!B2:B1000")=$B40) * (INDIRECT("'"&amp;M$62&amp;"'!C2:C1000")=$C40)
        ),
        5,
        FALSE
    )
)</f>
        <v>Sem Técnico</v>
      </c>
      <c r="N40" s="75" t="str">
        <f t="array" aca="1" ref="N40" ca="1">IF(
    VLOOKUP(
        $A40,
        _xlfn._xlws.FILTER(
            INDIRECT("'"&amp;N$62&amp;"'!A2:E1000"), (INDIRECT("'"&amp;N$62&amp;"'!B2:B1000")=$B40) * (INDIRECT("'"&amp;N$62&amp;"'!C2:C1000")=$C40)
        ),
        5,
        FALSE
    )=0,
    "",
    VLOOKUP(
        $A40,
        _xlfn._xlws.FILTER(
            INDIRECT("'"&amp;N$62&amp;"'!A2:E1000"), (INDIRECT("'"&amp;N$62&amp;"'!B2:B1000")=$B40) * (INDIRECT("'"&amp;N$62&amp;"'!C2:C1000")=$C40)
        ),
        5,
        FALSE
    )
)</f>
        <v>Sem Técnico</v>
      </c>
      <c r="O40" s="75" t="str">
        <f t="array" aca="1" ref="O40" ca="1">IF(
    VLOOKUP(
        $A40,
        _xlfn._xlws.FILTER(
            INDIRECT("'"&amp;O$62&amp;"'!A2:E1000"), (INDIRECT("'"&amp;O$62&amp;"'!B2:B1000")=$B40) * (INDIRECT("'"&amp;O$62&amp;"'!C2:C1000")=$C40)
        ),
        5,
        FALSE
    )=0,
    "",
    VLOOKUP(
        $A40,
        _xlfn._xlws.FILTER(
            INDIRECT("'"&amp;O$62&amp;"'!A2:E1000"), (INDIRECT("'"&amp;O$62&amp;"'!B2:B1000")=$B40) * (INDIRECT("'"&amp;O$62&amp;"'!C2:C1000")=$C40)
        ),
        5,
        FALSE
    )
)</f>
        <v>Sem Técnico</v>
      </c>
    </row>
    <row r="42" spans="1:15" ht="15.75" customHeight="1">
      <c r="A42" s="79" t="s">
        <v>106</v>
      </c>
      <c r="B42" s="21" t="s">
        <v>72</v>
      </c>
      <c r="C42" s="21" t="s">
        <v>73</v>
      </c>
      <c r="D42" s="74" t="s">
        <v>1</v>
      </c>
      <c r="E42" s="74" t="s">
        <v>2</v>
      </c>
      <c r="F42" s="74" t="s">
        <v>3</v>
      </c>
      <c r="G42" s="74" t="s">
        <v>4</v>
      </c>
      <c r="H42" s="74" t="s">
        <v>5</v>
      </c>
      <c r="I42" s="74" t="s">
        <v>6</v>
      </c>
      <c r="J42" s="74" t="s">
        <v>7</v>
      </c>
      <c r="K42" s="74" t="s">
        <v>8</v>
      </c>
      <c r="L42" s="74" t="s">
        <v>9</v>
      </c>
      <c r="M42" s="74" t="s">
        <v>10</v>
      </c>
      <c r="N42" s="74" t="s">
        <v>11</v>
      </c>
      <c r="O42" s="74" t="s">
        <v>12</v>
      </c>
    </row>
    <row r="43" spans="1:15">
      <c r="A43" s="30" t="s">
        <v>26</v>
      </c>
      <c r="B43" s="60" t="s">
        <v>107</v>
      </c>
      <c r="C43" s="60" t="s">
        <v>75</v>
      </c>
      <c r="D43" s="75" t="str">
        <f t="array" aca="1" ref="D43" ca="1">IF(
    VLOOKUP(
        $A43,
        _xlfn._xlws.FILTER(
            INDIRECT("'"&amp;D$62&amp;"'!A2:E1000"), (INDIRECT("'"&amp;D$62&amp;"'!B2:B1000")=$B43) * (INDIRECT("'"&amp;D$62&amp;"'!C2:C1000")=$C43)
        ),
        5,
        FALSE
    )=0,
    "",
    VLOOKUP(
        $A43,
        _xlfn._xlws.FILTER(
            INDIRECT("'"&amp;D$62&amp;"'!A2:E1000"), (INDIRECT("'"&amp;D$62&amp;"'!B2:B1000")=$B43) * (INDIRECT("'"&amp;D$62&amp;"'!C2:C1000")=$C43)
        ),
        5,
        FALSE
    )
)</f>
        <v>Enviado</v>
      </c>
      <c r="E43" s="75" t="str">
        <f t="array" aca="1" ref="E43" ca="1">IF(
    VLOOKUP(
        $A43,
        _xlfn._xlws.FILTER(
            INDIRECT("'"&amp;E$62&amp;"'!A2:E1000"), (INDIRECT("'"&amp;E$62&amp;"'!B2:B1000")=$B43) * (INDIRECT("'"&amp;E$62&amp;"'!C2:C1000")=$C43)
        ),
        5,
        FALSE
    )=0,
    "",
    VLOOKUP(
        $A43,
        _xlfn._xlws.FILTER(
            INDIRECT("'"&amp;E$62&amp;"'!A2:E1000"), (INDIRECT("'"&amp;E$62&amp;"'!B2:B1000")=$B43) * (INDIRECT("'"&amp;E$62&amp;"'!C2:C1000")=$C43)
        ),
        5,
        FALSE
    )
)</f>
        <v>Enviado</v>
      </c>
      <c r="F43" s="75" t="str">
        <f t="array" aca="1" ref="F43" ca="1">IF(
    VLOOKUP(
        $A43,
        _xlfn._xlws.FILTER(
            INDIRECT("'"&amp;F$62&amp;"'!A2:E1000"), (INDIRECT("'"&amp;F$62&amp;"'!B2:B1000")=$B43) * (INDIRECT("'"&amp;F$62&amp;"'!C2:C1000")=$C43)
        ),
        5,
        FALSE
    )=0,
    "",
    VLOOKUP(
        $A43,
        _xlfn._xlws.FILTER(
            INDIRECT("'"&amp;F$62&amp;"'!A2:E1000"), (INDIRECT("'"&amp;F$62&amp;"'!B2:B1000")=$B43) * (INDIRECT("'"&amp;F$62&amp;"'!C2:C1000")=$C43)
        ),
        5,
        FALSE
    )
)</f>
        <v>Enviado</v>
      </c>
      <c r="G43" s="75" t="str">
        <f t="array" aca="1" ref="G43" ca="1">IF(
    VLOOKUP(
        $A43,
        _xlfn._xlws.FILTER(
            INDIRECT("'"&amp;G$62&amp;"'!A2:E1000"), (INDIRECT("'"&amp;G$62&amp;"'!B2:B1000")=$B43) * (INDIRECT("'"&amp;G$62&amp;"'!C2:C1000")=$C43)
        ),
        5,
        FALSE
    )=0,
    "",
    VLOOKUP(
        $A43,
        _xlfn._xlws.FILTER(
            INDIRECT("'"&amp;G$62&amp;"'!A2:E1000"), (INDIRECT("'"&amp;G$62&amp;"'!B2:B1000")=$B43) * (INDIRECT("'"&amp;G$62&amp;"'!C2:C1000")=$C43)
        ),
        5,
        FALSE
    )
)</f>
        <v>Enviado</v>
      </c>
      <c r="H43" s="75" t="str">
        <f t="array" aca="1" ref="H43" ca="1">IF(
    VLOOKUP(
        $A43,
        _xlfn._xlws.FILTER(
            INDIRECT("'"&amp;H$62&amp;"'!A2:E1000"), (INDIRECT("'"&amp;H$62&amp;"'!B2:B1000")=$B43) * (INDIRECT("'"&amp;H$62&amp;"'!C2:C1000")=$C43)
        ),
        5,
        FALSE
    )=0,
    "",
    VLOOKUP(
        $A43,
        _xlfn._xlws.FILTER(
            INDIRECT("'"&amp;H$62&amp;"'!A2:E1000"), (INDIRECT("'"&amp;H$62&amp;"'!B2:B1000")=$B43) * (INDIRECT("'"&amp;H$62&amp;"'!C2:C1000")=$C43)
        ),
        5,
        FALSE
    )
)</f>
        <v>Enviado</v>
      </c>
      <c r="I43" s="75" t="str">
        <f t="array" aca="1" ref="I43" ca="1">IF(
    VLOOKUP(
        $A43,
        _xlfn._xlws.FILTER(
            INDIRECT("'"&amp;I$62&amp;"'!A2:E1000"), (INDIRECT("'"&amp;I$62&amp;"'!B2:B1000")=$B43) * (INDIRECT("'"&amp;I$62&amp;"'!C2:C1000")=$C43)
        ),
        5,
        FALSE
    )=0,
    "",
    VLOOKUP(
        $A43,
        _xlfn._xlws.FILTER(
            INDIRECT("'"&amp;I$62&amp;"'!A2:E1000"), (INDIRECT("'"&amp;I$62&amp;"'!B2:B1000")=$B43) * (INDIRECT("'"&amp;I$62&amp;"'!C2:C1000")=$C43)
        ),
        5,
        FALSE
    )
)</f>
        <v>Enviado</v>
      </c>
      <c r="J43" s="75" t="str">
        <f t="array" aca="1" ref="J43" ca="1">IF(
    VLOOKUP(
        $A43,
        _xlfn._xlws.FILTER(
            INDIRECT("'"&amp;J$62&amp;"'!A2:E1000"), (INDIRECT("'"&amp;J$62&amp;"'!B2:B1000")=$B43) * (INDIRECT("'"&amp;J$62&amp;"'!C2:C1000")=$C43)
        ),
        5,
        FALSE
    )=0,
    "",
    VLOOKUP(
        $A43,
        _xlfn._xlws.FILTER(
            INDIRECT("'"&amp;J$62&amp;"'!A2:E1000"), (INDIRECT("'"&amp;J$62&amp;"'!B2:B1000")=$B43) * (INDIRECT("'"&amp;J$62&amp;"'!C2:C1000")=$C43)
        ),
        5,
        FALSE
    )
)</f>
        <v>Enviado</v>
      </c>
      <c r="K43" s="75" t="str">
        <f t="array" aca="1" ref="K43" ca="1">IF(
    VLOOKUP(
        $A43,
        _xlfn._xlws.FILTER(
            INDIRECT("'"&amp;K$62&amp;"'!A2:E1000"), (INDIRECT("'"&amp;K$62&amp;"'!B2:B1000")=$B43) * (INDIRECT("'"&amp;K$62&amp;"'!C2:C1000")=$C43)
        ),
        5,
        FALSE
    )=0,
    "",
    VLOOKUP(
        $A43,
        _xlfn._xlws.FILTER(
            INDIRECT("'"&amp;K$62&amp;"'!A2:E1000"), (INDIRECT("'"&amp;K$62&amp;"'!B2:B1000")=$B43) * (INDIRECT("'"&amp;K$62&amp;"'!C2:C1000")=$C43)
        ),
        5,
        FALSE
    )
)</f>
        <v>Enviado</v>
      </c>
      <c r="L43" s="75" t="str">
        <f t="array" aca="1" ref="L43" ca="1">IF(
    VLOOKUP(
        $A43,
        _xlfn._xlws.FILTER(
            INDIRECT("'"&amp;L$62&amp;"'!A2:E1000"), (INDIRECT("'"&amp;L$62&amp;"'!B2:B1000")=$B43) * (INDIRECT("'"&amp;L$62&amp;"'!C2:C1000")=$C43)
        ),
        5,
        FALSE
    )=0,
    "",
    VLOOKUP(
        $A43,
        _xlfn._xlws.FILTER(
            INDIRECT("'"&amp;L$62&amp;"'!A2:E1000"), (INDIRECT("'"&amp;L$62&amp;"'!B2:B1000")=$B43) * (INDIRECT("'"&amp;L$62&amp;"'!C2:C1000")=$C43)
        ),
        5,
        FALSE
    )
)</f>
        <v>Enviado</v>
      </c>
      <c r="M43" s="75" t="str">
        <f t="array" aca="1" ref="M43" ca="1">IF(
    VLOOKUP(
        $A43,
        _xlfn._xlws.FILTER(
            INDIRECT("'"&amp;M$62&amp;"'!A2:E1000"), (INDIRECT("'"&amp;M$62&amp;"'!B2:B1000")=$B43) * (INDIRECT("'"&amp;M$62&amp;"'!C2:C1000")=$C43)
        ),
        5,
        FALSE
    )=0,
    "",
    VLOOKUP(
        $A43,
        _xlfn._xlws.FILTER(
            INDIRECT("'"&amp;M$62&amp;"'!A2:E1000"), (INDIRECT("'"&amp;M$62&amp;"'!B2:B1000")=$B43) * (INDIRECT("'"&amp;M$62&amp;"'!C2:C1000")=$C43)
        ),
        5,
        FALSE
    )
)</f>
        <v>Atrasado</v>
      </c>
      <c r="N43" s="75" t="str">
        <f t="array" aca="1" ref="N43" ca="1">IF(
    VLOOKUP(
        $A43,
        _xlfn._xlws.FILTER(
            INDIRECT("'"&amp;N$62&amp;"'!A2:E1000"), (INDIRECT("'"&amp;N$62&amp;"'!B2:B1000")=$B43) * (INDIRECT("'"&amp;N$62&amp;"'!C2:C1000")=$C43)
        ),
        5,
        FALSE
    )=0,
    "",
    VLOOKUP(
        $A43,
        _xlfn._xlws.FILTER(
            INDIRECT("'"&amp;N$62&amp;"'!A2:E1000"), (INDIRECT("'"&amp;N$62&amp;"'!B2:B1000")=$B43) * (INDIRECT("'"&amp;N$62&amp;"'!C2:C1000")=$C43)
        ),
        5,
        FALSE
    )
)</f>
        <v/>
      </c>
      <c r="O43" s="75" t="str">
        <f t="array" aca="1" ref="O43" ca="1">IF(
    VLOOKUP(
        $A43,
        _xlfn._xlws.FILTER(
            INDIRECT("'"&amp;O$62&amp;"'!A2:E1000"), (INDIRECT("'"&amp;O$62&amp;"'!B2:B1000")=$B43) * (INDIRECT("'"&amp;O$62&amp;"'!C2:C1000")=$C43)
        ),
        5,
        FALSE
    )=0,
    "",
    VLOOKUP(
        $A43,
        _xlfn._xlws.FILTER(
            INDIRECT("'"&amp;O$62&amp;"'!A2:E1000"), (INDIRECT("'"&amp;O$62&amp;"'!B2:B1000")=$B43) * (INDIRECT("'"&amp;O$62&amp;"'!C2:C1000")=$C43)
        ),
        5,
        FALSE
    )
)</f>
        <v/>
      </c>
    </row>
    <row r="44" spans="1:15">
      <c r="A44" s="30" t="s">
        <v>26</v>
      </c>
      <c r="B44" s="60" t="s">
        <v>108</v>
      </c>
      <c r="C44" s="60" t="s">
        <v>75</v>
      </c>
      <c r="D44" s="75" t="str">
        <f t="array" aca="1" ref="D44" ca="1">IF(
    VLOOKUP(
        $A44,
        _xlfn._xlws.FILTER(
            INDIRECT("'"&amp;D$62&amp;"'!A2:E1000"), (INDIRECT("'"&amp;D$62&amp;"'!B2:B1000")=$B44) * (INDIRECT("'"&amp;D$62&amp;"'!C2:C1000")=$C44)
        ),
        5,
        FALSE
    )=0,
    "",
    VLOOKUP(
        $A44,
        _xlfn._xlws.FILTER(
            INDIRECT("'"&amp;D$62&amp;"'!A2:E1000"), (INDIRECT("'"&amp;D$62&amp;"'!B2:B1000")=$B44) * (INDIRECT("'"&amp;D$62&amp;"'!C2:C1000")=$C44)
        ),
        5,
        FALSE
    )
)</f>
        <v>Enviado</v>
      </c>
      <c r="E44" s="75" t="str">
        <f t="array" aca="1" ref="E44" ca="1">IF(
    VLOOKUP(
        $A44,
        _xlfn._xlws.FILTER(
            INDIRECT("'"&amp;E$62&amp;"'!A2:E1000"), (INDIRECT("'"&amp;E$62&amp;"'!B2:B1000")=$B44) * (INDIRECT("'"&amp;E$62&amp;"'!C2:C1000")=$C44)
        ),
        5,
        FALSE
    )=0,
    "",
    VLOOKUP(
        $A44,
        _xlfn._xlws.FILTER(
            INDIRECT("'"&amp;E$62&amp;"'!A2:E1000"), (INDIRECT("'"&amp;E$62&amp;"'!B2:B1000")=$B44) * (INDIRECT("'"&amp;E$62&amp;"'!C2:C1000")=$C44)
        ),
        5,
        FALSE
    )
)</f>
        <v>Enviado</v>
      </c>
      <c r="F44" s="75" t="str">
        <f t="array" aca="1" ref="F44" ca="1">IF(
    VLOOKUP(
        $A44,
        _xlfn._xlws.FILTER(
            INDIRECT("'"&amp;F$62&amp;"'!A2:E1000"), (INDIRECT("'"&amp;F$62&amp;"'!B2:B1000")=$B44) * (INDIRECT("'"&amp;F$62&amp;"'!C2:C1000")=$C44)
        ),
        5,
        FALSE
    )=0,
    "",
    VLOOKUP(
        $A44,
        _xlfn._xlws.FILTER(
            INDIRECT("'"&amp;F$62&amp;"'!A2:E1000"), (INDIRECT("'"&amp;F$62&amp;"'!B2:B1000")=$B44) * (INDIRECT("'"&amp;F$62&amp;"'!C2:C1000")=$C44)
        ),
        5,
        FALSE
    )
)</f>
        <v>Enviado</v>
      </c>
      <c r="G44" s="75" t="str">
        <f t="array" aca="1" ref="G44" ca="1">IF(
    VLOOKUP(
        $A44,
        _xlfn._xlws.FILTER(
            INDIRECT("'"&amp;G$62&amp;"'!A2:E1000"), (INDIRECT("'"&amp;G$62&amp;"'!B2:B1000")=$B44) * (INDIRECT("'"&amp;G$62&amp;"'!C2:C1000")=$C44)
        ),
        5,
        FALSE
    )=0,
    "",
    VLOOKUP(
        $A44,
        _xlfn._xlws.FILTER(
            INDIRECT("'"&amp;G$62&amp;"'!A2:E1000"), (INDIRECT("'"&amp;G$62&amp;"'!B2:B1000")=$B44) * (INDIRECT("'"&amp;G$62&amp;"'!C2:C1000")=$C44)
        ),
        5,
        FALSE
    )
)</f>
        <v>Enviado</v>
      </c>
      <c r="H44" s="75" t="str">
        <f t="array" aca="1" ref="H44" ca="1">IF(
    VLOOKUP(
        $A44,
        _xlfn._xlws.FILTER(
            INDIRECT("'"&amp;H$62&amp;"'!A2:E1000"), (INDIRECT("'"&amp;H$62&amp;"'!B2:B1000")=$B44) * (INDIRECT("'"&amp;H$62&amp;"'!C2:C1000")=$C44)
        ),
        5,
        FALSE
    )=0,
    "",
    VLOOKUP(
        $A44,
        _xlfn._xlws.FILTER(
            INDIRECT("'"&amp;H$62&amp;"'!A2:E1000"), (INDIRECT("'"&amp;H$62&amp;"'!B2:B1000")=$B44) * (INDIRECT("'"&amp;H$62&amp;"'!C2:C1000")=$C44)
        ),
        5,
        FALSE
    )
)</f>
        <v>Enviado</v>
      </c>
      <c r="I44" s="75" t="str">
        <f t="array" aca="1" ref="I44" ca="1">IF(
    VLOOKUP(
        $A44,
        _xlfn._xlws.FILTER(
            INDIRECT("'"&amp;I$62&amp;"'!A2:E1000"), (INDIRECT("'"&amp;I$62&amp;"'!B2:B1000")=$B44) * (INDIRECT("'"&amp;I$62&amp;"'!C2:C1000")=$C44)
        ),
        5,
        FALSE
    )=0,
    "",
    VLOOKUP(
        $A44,
        _xlfn._xlws.FILTER(
            INDIRECT("'"&amp;I$62&amp;"'!A2:E1000"), (INDIRECT("'"&amp;I$62&amp;"'!B2:B1000")=$B44) * (INDIRECT("'"&amp;I$62&amp;"'!C2:C1000")=$C44)
        ),
        5,
        FALSE
    )
)</f>
        <v>Enviado</v>
      </c>
      <c r="J44" s="75" t="str">
        <f t="array" aca="1" ref="J44" ca="1">IF(
    VLOOKUP(
        $A44,
        _xlfn._xlws.FILTER(
            INDIRECT("'"&amp;J$62&amp;"'!A2:E1000"), (INDIRECT("'"&amp;J$62&amp;"'!B2:B1000")=$B44) * (INDIRECT("'"&amp;J$62&amp;"'!C2:C1000")=$C44)
        ),
        5,
        FALSE
    )=0,
    "",
    VLOOKUP(
        $A44,
        _xlfn._xlws.FILTER(
            INDIRECT("'"&amp;J$62&amp;"'!A2:E1000"), (INDIRECT("'"&amp;J$62&amp;"'!B2:B1000")=$B44) * (INDIRECT("'"&amp;J$62&amp;"'!C2:C1000")=$C44)
        ),
        5,
        FALSE
    )
)</f>
        <v>Enviado</v>
      </c>
      <c r="K44" s="75" t="str">
        <f t="array" aca="1" ref="K44" ca="1">IF(
    VLOOKUP(
        $A44,
        _xlfn._xlws.FILTER(
            INDIRECT("'"&amp;K$62&amp;"'!A2:E1000"), (INDIRECT("'"&amp;K$62&amp;"'!B2:B1000")=$B44) * (INDIRECT("'"&amp;K$62&amp;"'!C2:C1000")=$C44)
        ),
        5,
        FALSE
    )=0,
    "",
    VLOOKUP(
        $A44,
        _xlfn._xlws.FILTER(
            INDIRECT("'"&amp;K$62&amp;"'!A2:E1000"), (INDIRECT("'"&amp;K$62&amp;"'!B2:B1000")=$B44) * (INDIRECT("'"&amp;K$62&amp;"'!C2:C1000")=$C44)
        ),
        5,
        FALSE
    )
)</f>
        <v>Enviado</v>
      </c>
      <c r="L44" s="75" t="str">
        <f t="array" aca="1" ref="L44" ca="1">IF(
    VLOOKUP(
        $A44,
        _xlfn._xlws.FILTER(
            INDIRECT("'"&amp;L$62&amp;"'!A2:E1000"), (INDIRECT("'"&amp;L$62&amp;"'!B2:B1000")=$B44) * (INDIRECT("'"&amp;L$62&amp;"'!C2:C1000")=$C44)
        ),
        5,
        FALSE
    )=0,
    "",
    VLOOKUP(
        $A44,
        _xlfn._xlws.FILTER(
            INDIRECT("'"&amp;L$62&amp;"'!A2:E1000"), (INDIRECT("'"&amp;L$62&amp;"'!B2:B1000")=$B44) * (INDIRECT("'"&amp;L$62&amp;"'!C2:C1000")=$C44)
        ),
        5,
        FALSE
    )
)</f>
        <v>Enviado</v>
      </c>
      <c r="M44" s="75" t="str">
        <f t="array" aca="1" ref="M44" ca="1">IF(
    VLOOKUP(
        $A44,
        _xlfn._xlws.FILTER(
            INDIRECT("'"&amp;M$62&amp;"'!A2:E1000"), (INDIRECT("'"&amp;M$62&amp;"'!B2:B1000")=$B44) * (INDIRECT("'"&amp;M$62&amp;"'!C2:C1000")=$C44)
        ),
        5,
        FALSE
    )=0,
    "",
    VLOOKUP(
        $A44,
        _xlfn._xlws.FILTER(
            INDIRECT("'"&amp;M$62&amp;"'!A2:E1000"), (INDIRECT("'"&amp;M$62&amp;"'!B2:B1000")=$B44) * (INDIRECT("'"&amp;M$62&amp;"'!C2:C1000")=$C44)
        ),
        5,
        FALSE
    )
)</f>
        <v>Enviado</v>
      </c>
      <c r="N44" s="75" t="str">
        <f t="array" aca="1" ref="N44" ca="1">IF(
    VLOOKUP(
        $A44,
        _xlfn._xlws.FILTER(
            INDIRECT("'"&amp;N$62&amp;"'!A2:E1000"), (INDIRECT("'"&amp;N$62&amp;"'!B2:B1000")=$B44) * (INDIRECT("'"&amp;N$62&amp;"'!C2:C1000")=$C44)
        ),
        5,
        FALSE
    )=0,
    "",
    VLOOKUP(
        $A44,
        _xlfn._xlws.FILTER(
            INDIRECT("'"&amp;N$62&amp;"'!A2:E1000"), (INDIRECT("'"&amp;N$62&amp;"'!B2:B1000")=$B44) * (INDIRECT("'"&amp;N$62&amp;"'!C2:C1000")=$C44)
        ),
        5,
        FALSE
    )
)</f>
        <v/>
      </c>
      <c r="O44" s="75" t="str">
        <f t="array" aca="1" ref="O44" ca="1">IF(
    VLOOKUP(
        $A44,
        _xlfn._xlws.FILTER(
            INDIRECT("'"&amp;O$62&amp;"'!A2:E1000"), (INDIRECT("'"&amp;O$62&amp;"'!B2:B1000")=$B44) * (INDIRECT("'"&amp;O$62&amp;"'!C2:C1000")=$C44)
        ),
        5,
        FALSE
    )=0,
    "",
    VLOOKUP(
        $A44,
        _xlfn._xlws.FILTER(
            INDIRECT("'"&amp;O$62&amp;"'!A2:E1000"), (INDIRECT("'"&amp;O$62&amp;"'!B2:B1000")=$B44) * (INDIRECT("'"&amp;O$62&amp;"'!C2:C1000")=$C44)
        ),
        5,
        FALSE
    )
)</f>
        <v/>
      </c>
    </row>
    <row r="45" spans="1:15">
      <c r="A45" s="30" t="s">
        <v>26</v>
      </c>
      <c r="B45" s="60" t="s">
        <v>109</v>
      </c>
      <c r="C45" s="60" t="s">
        <v>75</v>
      </c>
      <c r="D45" s="75" t="str">
        <f t="array" aca="1" ref="D45" ca="1">IF(
    VLOOKUP(
        $A45,
        _xlfn._xlws.FILTER(
            INDIRECT("'"&amp;D$62&amp;"'!A2:E1000"), (INDIRECT("'"&amp;D$62&amp;"'!B2:B1000")=$B45) * (INDIRECT("'"&amp;D$62&amp;"'!C2:C1000")=$C45)
        ),
        5,
        FALSE
    )=0,
    "",
    VLOOKUP(
        $A45,
        _xlfn._xlws.FILTER(
            INDIRECT("'"&amp;D$62&amp;"'!A2:E1000"), (INDIRECT("'"&amp;D$62&amp;"'!B2:B1000")=$B45) * (INDIRECT("'"&amp;D$62&amp;"'!C2:C1000")=$C45)
        ),
        5,
        FALSE
    )
)</f>
        <v>Enviado</v>
      </c>
      <c r="E45" s="75" t="str">
        <f t="array" aca="1" ref="E45" ca="1">IF(
    VLOOKUP(
        $A45,
        _xlfn._xlws.FILTER(
            INDIRECT("'"&amp;E$62&amp;"'!A2:E1000"), (INDIRECT("'"&amp;E$62&amp;"'!B2:B1000")=$B45) * (INDIRECT("'"&amp;E$62&amp;"'!C2:C1000")=$C45)
        ),
        5,
        FALSE
    )=0,
    "",
    VLOOKUP(
        $A45,
        _xlfn._xlws.FILTER(
            INDIRECT("'"&amp;E$62&amp;"'!A2:E1000"), (INDIRECT("'"&amp;E$62&amp;"'!B2:B1000")=$B45) * (INDIRECT("'"&amp;E$62&amp;"'!C2:C1000")=$C45)
        ),
        5,
        FALSE
    )
)</f>
        <v>Enviado</v>
      </c>
      <c r="F45" s="75" t="str">
        <f t="array" aca="1" ref="F45" ca="1">IF(
    VLOOKUP(
        $A45,
        _xlfn._xlws.FILTER(
            INDIRECT("'"&amp;F$62&amp;"'!A2:E1000"), (INDIRECT("'"&amp;F$62&amp;"'!B2:B1000")=$B45) * (INDIRECT("'"&amp;F$62&amp;"'!C2:C1000")=$C45)
        ),
        5,
        FALSE
    )=0,
    "",
    VLOOKUP(
        $A45,
        _xlfn._xlws.FILTER(
            INDIRECT("'"&amp;F$62&amp;"'!A2:E1000"), (INDIRECT("'"&amp;F$62&amp;"'!B2:B1000")=$B45) * (INDIRECT("'"&amp;F$62&amp;"'!C2:C1000")=$C45)
        ),
        5,
        FALSE
    )
)</f>
        <v>Enviado</v>
      </c>
      <c r="G45" s="75" t="str">
        <f t="array" aca="1" ref="G45" ca="1">IF(
    VLOOKUP(
        $A45,
        _xlfn._xlws.FILTER(
            INDIRECT("'"&amp;G$62&amp;"'!A2:E1000"), (INDIRECT("'"&amp;G$62&amp;"'!B2:B1000")=$B45) * (INDIRECT("'"&amp;G$62&amp;"'!C2:C1000")=$C45)
        ),
        5,
        FALSE
    )=0,
    "",
    VLOOKUP(
        $A45,
        _xlfn._xlws.FILTER(
            INDIRECT("'"&amp;G$62&amp;"'!A2:E1000"), (INDIRECT("'"&amp;G$62&amp;"'!B2:B1000")=$B45) * (INDIRECT("'"&amp;G$62&amp;"'!C2:C1000")=$C45)
        ),
        5,
        FALSE
    )
)</f>
        <v>Enviado</v>
      </c>
      <c r="H45" s="75" t="str">
        <f t="array" aca="1" ref="H45" ca="1">IF(
    VLOOKUP(
        $A45,
        _xlfn._xlws.FILTER(
            INDIRECT("'"&amp;H$62&amp;"'!A2:E1000"), (INDIRECT("'"&amp;H$62&amp;"'!B2:B1000")=$B45) * (INDIRECT("'"&amp;H$62&amp;"'!C2:C1000")=$C45)
        ),
        5,
        FALSE
    )=0,
    "",
    VLOOKUP(
        $A45,
        _xlfn._xlws.FILTER(
            INDIRECT("'"&amp;H$62&amp;"'!A2:E1000"), (INDIRECT("'"&amp;H$62&amp;"'!B2:B1000")=$B45) * (INDIRECT("'"&amp;H$62&amp;"'!C2:C1000")=$C45)
        ),
        5,
        FALSE
    )
)</f>
        <v>Enviado</v>
      </c>
      <c r="I45" s="75" t="str">
        <f t="array" aca="1" ref="I45" ca="1">IF(
    VLOOKUP(
        $A45,
        _xlfn._xlws.FILTER(
            INDIRECT("'"&amp;I$62&amp;"'!A2:E1000"), (INDIRECT("'"&amp;I$62&amp;"'!B2:B1000")=$B45) * (INDIRECT("'"&amp;I$62&amp;"'!C2:C1000")=$C45)
        ),
        5,
        FALSE
    )=0,
    "",
    VLOOKUP(
        $A45,
        _xlfn._xlws.FILTER(
            INDIRECT("'"&amp;I$62&amp;"'!A2:E1000"), (INDIRECT("'"&amp;I$62&amp;"'!B2:B1000")=$B45) * (INDIRECT("'"&amp;I$62&amp;"'!C2:C1000")=$C45)
        ),
        5,
        FALSE
    )
)</f>
        <v>Enviado</v>
      </c>
      <c r="J45" s="75" t="str">
        <f t="array" aca="1" ref="J45" ca="1">IF(
    VLOOKUP(
        $A45,
        _xlfn._xlws.FILTER(
            INDIRECT("'"&amp;J$62&amp;"'!A2:E1000"), (INDIRECT("'"&amp;J$62&amp;"'!B2:B1000")=$B45) * (INDIRECT("'"&amp;J$62&amp;"'!C2:C1000")=$C45)
        ),
        5,
        FALSE
    )=0,
    "",
    VLOOKUP(
        $A45,
        _xlfn._xlws.FILTER(
            INDIRECT("'"&amp;J$62&amp;"'!A2:E1000"), (INDIRECT("'"&amp;J$62&amp;"'!B2:B1000")=$B45) * (INDIRECT("'"&amp;J$62&amp;"'!C2:C1000")=$C45)
        ),
        5,
        FALSE
    )
)</f>
        <v>Enviado</v>
      </c>
      <c r="K45" s="75" t="str">
        <f t="array" aca="1" ref="K45" ca="1">IF(
    VLOOKUP(
        $A45,
        _xlfn._xlws.FILTER(
            INDIRECT("'"&amp;K$62&amp;"'!A2:E1000"), (INDIRECT("'"&amp;K$62&amp;"'!B2:B1000")=$B45) * (INDIRECT("'"&amp;K$62&amp;"'!C2:C1000")=$C45)
        ),
        5,
        FALSE
    )=0,
    "",
    VLOOKUP(
        $A45,
        _xlfn._xlws.FILTER(
            INDIRECT("'"&amp;K$62&amp;"'!A2:E1000"), (INDIRECT("'"&amp;K$62&amp;"'!B2:B1000")=$B45) * (INDIRECT("'"&amp;K$62&amp;"'!C2:C1000")=$C45)
        ),
        5,
        FALSE
    )
)</f>
        <v>Enviado</v>
      </c>
      <c r="L45" s="75" t="str">
        <f t="array" aca="1" ref="L45" ca="1">IF(
    VLOOKUP(
        $A45,
        _xlfn._xlws.FILTER(
            INDIRECT("'"&amp;L$62&amp;"'!A2:E1000"), (INDIRECT("'"&amp;L$62&amp;"'!B2:B1000")=$B45) * (INDIRECT("'"&amp;L$62&amp;"'!C2:C1000")=$C45)
        ),
        5,
        FALSE
    )=0,
    "",
    VLOOKUP(
        $A45,
        _xlfn._xlws.FILTER(
            INDIRECT("'"&amp;L$62&amp;"'!A2:E1000"), (INDIRECT("'"&amp;L$62&amp;"'!B2:B1000")=$B45) * (INDIRECT("'"&amp;L$62&amp;"'!C2:C1000")=$C45)
        ),
        5,
        FALSE
    )
)</f>
        <v>Enviado</v>
      </c>
      <c r="M45" s="75" t="str">
        <f t="array" aca="1" ref="M45" ca="1">IF(
    VLOOKUP(
        $A45,
        _xlfn._xlws.FILTER(
            INDIRECT("'"&amp;M$62&amp;"'!A2:E1000"), (INDIRECT("'"&amp;M$62&amp;"'!B2:B1000")=$B45) * (INDIRECT("'"&amp;M$62&amp;"'!C2:C1000")=$C45)
        ),
        5,
        FALSE
    )=0,
    "",
    VLOOKUP(
        $A45,
        _xlfn._xlws.FILTER(
            INDIRECT("'"&amp;M$62&amp;"'!A2:E1000"), (INDIRECT("'"&amp;M$62&amp;"'!B2:B1000")=$B45) * (INDIRECT("'"&amp;M$62&amp;"'!C2:C1000")=$C45)
        ),
        5,
        FALSE
    )
)</f>
        <v>Enviado</v>
      </c>
      <c r="N45" s="75" t="str">
        <f t="array" aca="1" ref="N45" ca="1">IF(
    VLOOKUP(
        $A45,
        _xlfn._xlws.FILTER(
            INDIRECT("'"&amp;N$62&amp;"'!A2:E1000"), (INDIRECT("'"&amp;N$62&amp;"'!B2:B1000")=$B45) * (INDIRECT("'"&amp;N$62&amp;"'!C2:C1000")=$C45)
        ),
        5,
        FALSE
    )=0,
    "",
    VLOOKUP(
        $A45,
        _xlfn._xlws.FILTER(
            INDIRECT("'"&amp;N$62&amp;"'!A2:E1000"), (INDIRECT("'"&amp;N$62&amp;"'!B2:B1000")=$B45) * (INDIRECT("'"&amp;N$62&amp;"'!C2:C1000")=$C45)
        ),
        5,
        FALSE
    )
)</f>
        <v/>
      </c>
      <c r="O45" s="75" t="str">
        <f t="array" aca="1" ref="O45" ca="1">IF(
    VLOOKUP(
        $A45,
        _xlfn._xlws.FILTER(
            INDIRECT("'"&amp;O$62&amp;"'!A2:E1000"), (INDIRECT("'"&amp;O$62&amp;"'!B2:B1000")=$B45) * (INDIRECT("'"&amp;O$62&amp;"'!C2:C1000")=$C45)
        ),
        5,
        FALSE
    )=0,
    "",
    VLOOKUP(
        $A45,
        _xlfn._xlws.FILTER(
            INDIRECT("'"&amp;O$62&amp;"'!A2:E1000"), (INDIRECT("'"&amp;O$62&amp;"'!B2:B1000")=$B45) * (INDIRECT("'"&amp;O$62&amp;"'!C2:C1000")=$C45)
        ),
        5,
        FALSE
    )
)</f>
        <v/>
      </c>
    </row>
    <row r="46" spans="1:15">
      <c r="A46" s="30" t="s">
        <v>26</v>
      </c>
      <c r="B46" s="60" t="s">
        <v>110</v>
      </c>
      <c r="C46" s="60" t="s">
        <v>75</v>
      </c>
      <c r="D46" s="75" t="str">
        <f t="array" aca="1" ref="D46" ca="1">IF(
    VLOOKUP(
        $A46,
        _xlfn._xlws.FILTER(
            INDIRECT("'"&amp;D$62&amp;"'!A2:E1000"), (INDIRECT("'"&amp;D$62&amp;"'!B2:B1000")=$B46) * (INDIRECT("'"&amp;D$62&amp;"'!C2:C1000")=$C46)
        ),
        5,
        FALSE
    )=0,
    "",
    VLOOKUP(
        $A46,
        _xlfn._xlws.FILTER(
            INDIRECT("'"&amp;D$62&amp;"'!A2:E1000"), (INDIRECT("'"&amp;D$62&amp;"'!B2:B1000")=$B46) * (INDIRECT("'"&amp;D$62&amp;"'!C2:C1000")=$C46)
        ),
        5,
        FALSE
    )
)</f>
        <v>Enviado</v>
      </c>
      <c r="E46" s="75" t="str">
        <f t="array" aca="1" ref="E46" ca="1">IF(
    VLOOKUP(
        $A46,
        _xlfn._xlws.FILTER(
            INDIRECT("'"&amp;E$62&amp;"'!A2:E1000"), (INDIRECT("'"&amp;E$62&amp;"'!B2:B1000")=$B46) * (INDIRECT("'"&amp;E$62&amp;"'!C2:C1000")=$C46)
        ),
        5,
        FALSE
    )=0,
    "",
    VLOOKUP(
        $A46,
        _xlfn._xlws.FILTER(
            INDIRECT("'"&amp;E$62&amp;"'!A2:E1000"), (INDIRECT("'"&amp;E$62&amp;"'!B2:B1000")=$B46) * (INDIRECT("'"&amp;E$62&amp;"'!C2:C1000")=$C46)
        ),
        5,
        FALSE
    )
)</f>
        <v>Enviado</v>
      </c>
      <c r="F46" s="75" t="str">
        <f t="array" aca="1" ref="F46" ca="1">IF(
    VLOOKUP(
        $A46,
        _xlfn._xlws.FILTER(
            INDIRECT("'"&amp;F$62&amp;"'!A2:E1000"), (INDIRECT("'"&amp;F$62&amp;"'!B2:B1000")=$B46) * (INDIRECT("'"&amp;F$62&amp;"'!C2:C1000")=$C46)
        ),
        5,
        FALSE
    )=0,
    "",
    VLOOKUP(
        $A46,
        _xlfn._xlws.FILTER(
            INDIRECT("'"&amp;F$62&amp;"'!A2:E1000"), (INDIRECT("'"&amp;F$62&amp;"'!B2:B1000")=$B46) * (INDIRECT("'"&amp;F$62&amp;"'!C2:C1000")=$C46)
        ),
        5,
        FALSE
    )
)</f>
        <v>Enviado</v>
      </c>
      <c r="G46" s="75" t="str">
        <f t="array" aca="1" ref="G46" ca="1">IF(
    VLOOKUP(
        $A46,
        _xlfn._xlws.FILTER(
            INDIRECT("'"&amp;G$62&amp;"'!A2:E1000"), (INDIRECT("'"&amp;G$62&amp;"'!B2:B1000")=$B46) * (INDIRECT("'"&amp;G$62&amp;"'!C2:C1000")=$C46)
        ),
        5,
        FALSE
    )=0,
    "",
    VLOOKUP(
        $A46,
        _xlfn._xlws.FILTER(
            INDIRECT("'"&amp;G$62&amp;"'!A2:E1000"), (INDIRECT("'"&amp;G$62&amp;"'!B2:B1000")=$B46) * (INDIRECT("'"&amp;G$62&amp;"'!C2:C1000")=$C46)
        ),
        5,
        FALSE
    )
)</f>
        <v>Enviado</v>
      </c>
      <c r="H46" s="75" t="str">
        <f t="array" aca="1" ref="H46" ca="1">IF(
    VLOOKUP(
        $A46,
        _xlfn._xlws.FILTER(
            INDIRECT("'"&amp;H$62&amp;"'!A2:E1000"), (INDIRECT("'"&amp;H$62&amp;"'!B2:B1000")=$B46) * (INDIRECT("'"&amp;H$62&amp;"'!C2:C1000")=$C46)
        ),
        5,
        FALSE
    )=0,
    "",
    VLOOKUP(
        $A46,
        _xlfn._xlws.FILTER(
            INDIRECT("'"&amp;H$62&amp;"'!A2:E1000"), (INDIRECT("'"&amp;H$62&amp;"'!B2:B1000")=$B46) * (INDIRECT("'"&amp;H$62&amp;"'!C2:C1000")=$C46)
        ),
        5,
        FALSE
    )
)</f>
        <v>Enviado</v>
      </c>
      <c r="I46" s="75" t="str">
        <f t="array" aca="1" ref="I46" ca="1">IF(
    VLOOKUP(
        $A46,
        _xlfn._xlws.FILTER(
            INDIRECT("'"&amp;I$62&amp;"'!A2:E1000"), (INDIRECT("'"&amp;I$62&amp;"'!B2:B1000")=$B46) * (INDIRECT("'"&amp;I$62&amp;"'!C2:C1000")=$C46)
        ),
        5,
        FALSE
    )=0,
    "",
    VLOOKUP(
        $A46,
        _xlfn._xlws.FILTER(
            INDIRECT("'"&amp;I$62&amp;"'!A2:E1000"), (INDIRECT("'"&amp;I$62&amp;"'!B2:B1000")=$B46) * (INDIRECT("'"&amp;I$62&amp;"'!C2:C1000")=$C46)
        ),
        5,
        FALSE
    )
)</f>
        <v>Enviado</v>
      </c>
      <c r="J46" s="75" t="str">
        <f t="array" aca="1" ref="J46" ca="1">IF(
    VLOOKUP(
        $A46,
        _xlfn._xlws.FILTER(
            INDIRECT("'"&amp;J$62&amp;"'!A2:E1000"), (INDIRECT("'"&amp;J$62&amp;"'!B2:B1000")=$B46) * (INDIRECT("'"&amp;J$62&amp;"'!C2:C1000")=$C46)
        ),
        5,
        FALSE
    )=0,
    "",
    VLOOKUP(
        $A46,
        _xlfn._xlws.FILTER(
            INDIRECT("'"&amp;J$62&amp;"'!A2:E1000"), (INDIRECT("'"&amp;J$62&amp;"'!B2:B1000")=$B46) * (INDIRECT("'"&amp;J$62&amp;"'!C2:C1000")=$C46)
        ),
        5,
        FALSE
    )
)</f>
        <v>Enviado</v>
      </c>
      <c r="K46" s="75" t="str">
        <f t="array" aca="1" ref="K46" ca="1">IF(
    VLOOKUP(
        $A46,
        _xlfn._xlws.FILTER(
            INDIRECT("'"&amp;K$62&amp;"'!A2:E1000"), (INDIRECT("'"&amp;K$62&amp;"'!B2:B1000")=$B46) * (INDIRECT("'"&amp;K$62&amp;"'!C2:C1000")=$C46)
        ),
        5,
        FALSE
    )=0,
    "",
    VLOOKUP(
        $A46,
        _xlfn._xlws.FILTER(
            INDIRECT("'"&amp;K$62&amp;"'!A2:E1000"), (INDIRECT("'"&amp;K$62&amp;"'!B2:B1000")=$B46) * (INDIRECT("'"&amp;K$62&amp;"'!C2:C1000")=$C46)
        ),
        5,
        FALSE
    )
)</f>
        <v>Enviado</v>
      </c>
      <c r="L46" s="75" t="str">
        <f t="array" aca="1" ref="L46" ca="1">IF(
    VLOOKUP(
        $A46,
        _xlfn._xlws.FILTER(
            INDIRECT("'"&amp;L$62&amp;"'!A2:E1000"), (INDIRECT("'"&amp;L$62&amp;"'!B2:B1000")=$B46) * (INDIRECT("'"&amp;L$62&amp;"'!C2:C1000")=$C46)
        ),
        5,
        FALSE
    )=0,
    "",
    VLOOKUP(
        $A46,
        _xlfn._xlws.FILTER(
            INDIRECT("'"&amp;L$62&amp;"'!A2:E1000"), (INDIRECT("'"&amp;L$62&amp;"'!B2:B1000")=$B46) * (INDIRECT("'"&amp;L$62&amp;"'!C2:C1000")=$C46)
        ),
        5,
        FALSE
    )
)</f>
        <v>Enviado</v>
      </c>
      <c r="M46" s="75" t="str">
        <f t="array" aca="1" ref="M46" ca="1">IF(
    VLOOKUP(
        $A46,
        _xlfn._xlws.FILTER(
            INDIRECT("'"&amp;M$62&amp;"'!A2:E1000"), (INDIRECT("'"&amp;M$62&amp;"'!B2:B1000")=$B46) * (INDIRECT("'"&amp;M$62&amp;"'!C2:C1000")=$C46)
        ),
        5,
        FALSE
    )=0,
    "",
    VLOOKUP(
        $A46,
        _xlfn._xlws.FILTER(
            INDIRECT("'"&amp;M$62&amp;"'!A2:E1000"), (INDIRECT("'"&amp;M$62&amp;"'!B2:B1000")=$B46) * (INDIRECT("'"&amp;M$62&amp;"'!C2:C1000")=$C46)
        ),
        5,
        FALSE
    )
)</f>
        <v>Enviado</v>
      </c>
      <c r="N46" s="75" t="str">
        <f t="array" aca="1" ref="N46" ca="1">IF(
    VLOOKUP(
        $A46,
        _xlfn._xlws.FILTER(
            INDIRECT("'"&amp;N$62&amp;"'!A2:E1000"), (INDIRECT("'"&amp;N$62&amp;"'!B2:B1000")=$B46) * (INDIRECT("'"&amp;N$62&amp;"'!C2:C1000")=$C46)
        ),
        5,
        FALSE
    )=0,
    "",
    VLOOKUP(
        $A46,
        _xlfn._xlws.FILTER(
            INDIRECT("'"&amp;N$62&amp;"'!A2:E1000"), (INDIRECT("'"&amp;N$62&amp;"'!B2:B1000")=$B46) * (INDIRECT("'"&amp;N$62&amp;"'!C2:C1000")=$C46)
        ),
        5,
        FALSE
    )
)</f>
        <v/>
      </c>
      <c r="O46" s="75" t="str">
        <f t="array" aca="1" ref="O46" ca="1">IF(
    VLOOKUP(
        $A46,
        _xlfn._xlws.FILTER(
            INDIRECT("'"&amp;O$62&amp;"'!A2:E1000"), (INDIRECT("'"&amp;O$62&amp;"'!B2:B1000")=$B46) * (INDIRECT("'"&amp;O$62&amp;"'!C2:C1000")=$C46)
        ),
        5,
        FALSE
    )=0,
    "",
    VLOOKUP(
        $A46,
        _xlfn._xlws.FILTER(
            INDIRECT("'"&amp;O$62&amp;"'!A2:E1000"), (INDIRECT("'"&amp;O$62&amp;"'!B2:B1000")=$B46) * (INDIRECT("'"&amp;O$62&amp;"'!C2:C1000")=$C46)
        ),
        5,
        FALSE
    )
)</f>
        <v/>
      </c>
    </row>
    <row r="47" spans="1:15">
      <c r="A47" s="30" t="s">
        <v>26</v>
      </c>
      <c r="B47" s="60" t="s">
        <v>111</v>
      </c>
      <c r="C47" s="60" t="s">
        <v>75</v>
      </c>
      <c r="D47" s="75" t="str">
        <f t="array" aca="1" ref="D47" ca="1">IF(
    VLOOKUP(
        $A47,
        _xlfn._xlws.FILTER(
            INDIRECT("'"&amp;D$62&amp;"'!A2:E1000"), (INDIRECT("'"&amp;D$62&amp;"'!B2:B1000")=$B47) * (INDIRECT("'"&amp;D$62&amp;"'!C2:C1000")=$C47)
        ),
        5,
        FALSE
    )=0,
    "",
    VLOOKUP(
        $A47,
        _xlfn._xlws.FILTER(
            INDIRECT("'"&amp;D$62&amp;"'!A2:E1000"), (INDIRECT("'"&amp;D$62&amp;"'!B2:B1000")=$B47) * (INDIRECT("'"&amp;D$62&amp;"'!C2:C1000")=$C47)
        ),
        5,
        FALSE
    )
)</f>
        <v>Enviado</v>
      </c>
      <c r="E47" s="75" t="str">
        <f t="array" aca="1" ref="E47" ca="1">IF(
    VLOOKUP(
        $A47,
        _xlfn._xlws.FILTER(
            INDIRECT("'"&amp;E$62&amp;"'!A2:E1000"), (INDIRECT("'"&amp;E$62&amp;"'!B2:B1000")=$B47) * (INDIRECT("'"&amp;E$62&amp;"'!C2:C1000")=$C47)
        ),
        5,
        FALSE
    )=0,
    "",
    VLOOKUP(
        $A47,
        _xlfn._xlws.FILTER(
            INDIRECT("'"&amp;E$62&amp;"'!A2:E1000"), (INDIRECT("'"&amp;E$62&amp;"'!B2:B1000")=$B47) * (INDIRECT("'"&amp;E$62&amp;"'!C2:C1000")=$C47)
        ),
        5,
        FALSE
    )
)</f>
        <v>Enviado</v>
      </c>
      <c r="F47" s="75" t="str">
        <f t="array" aca="1" ref="F47" ca="1">IF(
    VLOOKUP(
        $A47,
        _xlfn._xlws.FILTER(
            INDIRECT("'"&amp;F$62&amp;"'!A2:E1000"), (INDIRECT("'"&amp;F$62&amp;"'!B2:B1000")=$B47) * (INDIRECT("'"&amp;F$62&amp;"'!C2:C1000")=$C47)
        ),
        5,
        FALSE
    )=0,
    "",
    VLOOKUP(
        $A47,
        _xlfn._xlws.FILTER(
            INDIRECT("'"&amp;F$62&amp;"'!A2:E1000"), (INDIRECT("'"&amp;F$62&amp;"'!B2:B1000")=$B47) * (INDIRECT("'"&amp;F$62&amp;"'!C2:C1000")=$C47)
        ),
        5,
        FALSE
    )
)</f>
        <v>Enviado</v>
      </c>
      <c r="G47" s="75" t="str">
        <f t="array" aca="1" ref="G47" ca="1">IF(
    VLOOKUP(
        $A47,
        _xlfn._xlws.FILTER(
            INDIRECT("'"&amp;G$62&amp;"'!A2:E1000"), (INDIRECT("'"&amp;G$62&amp;"'!B2:B1000")=$B47) * (INDIRECT("'"&amp;G$62&amp;"'!C2:C1000")=$C47)
        ),
        5,
        FALSE
    )=0,
    "",
    VLOOKUP(
        $A47,
        _xlfn._xlws.FILTER(
            INDIRECT("'"&amp;G$62&amp;"'!A2:E1000"), (INDIRECT("'"&amp;G$62&amp;"'!B2:B1000")=$B47) * (INDIRECT("'"&amp;G$62&amp;"'!C2:C1000")=$C47)
        ),
        5,
        FALSE
    )
)</f>
        <v>Enviado</v>
      </c>
      <c r="H47" s="75" t="str">
        <f t="array" aca="1" ref="H47" ca="1">IF(
    VLOOKUP(
        $A47,
        _xlfn._xlws.FILTER(
            INDIRECT("'"&amp;H$62&amp;"'!A2:E1000"), (INDIRECT("'"&amp;H$62&amp;"'!B2:B1000")=$B47) * (INDIRECT("'"&amp;H$62&amp;"'!C2:C1000")=$C47)
        ),
        5,
        FALSE
    )=0,
    "",
    VLOOKUP(
        $A47,
        _xlfn._xlws.FILTER(
            INDIRECT("'"&amp;H$62&amp;"'!A2:E1000"), (INDIRECT("'"&amp;H$62&amp;"'!B2:B1000")=$B47) * (INDIRECT("'"&amp;H$62&amp;"'!C2:C1000")=$C47)
        ),
        5,
        FALSE
    )
)</f>
        <v>Enviado</v>
      </c>
      <c r="I47" s="75" t="str">
        <f t="array" aca="1" ref="I47" ca="1">IF(
    VLOOKUP(
        $A47,
        _xlfn._xlws.FILTER(
            INDIRECT("'"&amp;I$62&amp;"'!A2:E1000"), (INDIRECT("'"&amp;I$62&amp;"'!B2:B1000")=$B47) * (INDIRECT("'"&amp;I$62&amp;"'!C2:C1000")=$C47)
        ),
        5,
        FALSE
    )=0,
    "",
    VLOOKUP(
        $A47,
        _xlfn._xlws.FILTER(
            INDIRECT("'"&amp;I$62&amp;"'!A2:E1000"), (INDIRECT("'"&amp;I$62&amp;"'!B2:B1000")=$B47) * (INDIRECT("'"&amp;I$62&amp;"'!C2:C1000")=$C47)
        ),
        5,
        FALSE
    )
)</f>
        <v>Enviado</v>
      </c>
      <c r="J47" s="75" t="str">
        <f t="array" aca="1" ref="J47" ca="1">IF(
    VLOOKUP(
        $A47,
        _xlfn._xlws.FILTER(
            INDIRECT("'"&amp;J$62&amp;"'!A2:E1000"), (INDIRECT("'"&amp;J$62&amp;"'!B2:B1000")=$B47) * (INDIRECT("'"&amp;J$62&amp;"'!C2:C1000")=$C47)
        ),
        5,
        FALSE
    )=0,
    "",
    VLOOKUP(
        $A47,
        _xlfn._xlws.FILTER(
            INDIRECT("'"&amp;J$62&amp;"'!A2:E1000"), (INDIRECT("'"&amp;J$62&amp;"'!B2:B1000")=$B47) * (INDIRECT("'"&amp;J$62&amp;"'!C2:C1000")=$C47)
        ),
        5,
        FALSE
    )
)</f>
        <v>Enviado</v>
      </c>
      <c r="K47" s="75" t="str">
        <f t="array" aca="1" ref="K47" ca="1">IF(
    VLOOKUP(
        $A47,
        _xlfn._xlws.FILTER(
            INDIRECT("'"&amp;K$62&amp;"'!A2:E1000"), (INDIRECT("'"&amp;K$62&amp;"'!B2:B1000")=$B47) * (INDIRECT("'"&amp;K$62&amp;"'!C2:C1000")=$C47)
        ),
        5,
        FALSE
    )=0,
    "",
    VLOOKUP(
        $A47,
        _xlfn._xlws.FILTER(
            INDIRECT("'"&amp;K$62&amp;"'!A2:E1000"), (INDIRECT("'"&amp;K$62&amp;"'!B2:B1000")=$B47) * (INDIRECT("'"&amp;K$62&amp;"'!C2:C1000")=$C47)
        ),
        5,
        FALSE
    )
)</f>
        <v>Enviado</v>
      </c>
      <c r="L47" s="75" t="str">
        <f t="array" aca="1" ref="L47" ca="1">IF(
    VLOOKUP(
        $A47,
        _xlfn._xlws.FILTER(
            INDIRECT("'"&amp;L$62&amp;"'!A2:E1000"), (INDIRECT("'"&amp;L$62&amp;"'!B2:B1000")=$B47) * (INDIRECT("'"&amp;L$62&amp;"'!C2:C1000")=$C47)
        ),
        5,
        FALSE
    )=0,
    "",
    VLOOKUP(
        $A47,
        _xlfn._xlws.FILTER(
            INDIRECT("'"&amp;L$62&amp;"'!A2:E1000"), (INDIRECT("'"&amp;L$62&amp;"'!B2:B1000")=$B47) * (INDIRECT("'"&amp;L$62&amp;"'!C2:C1000")=$C47)
        ),
        5,
        FALSE
    )
)</f>
        <v>Enviado</v>
      </c>
      <c r="M47" s="75" t="str">
        <f t="array" aca="1" ref="M47" ca="1">IF(
    VLOOKUP(
        $A47,
        _xlfn._xlws.FILTER(
            INDIRECT("'"&amp;M$62&amp;"'!A2:E1000"), (INDIRECT("'"&amp;M$62&amp;"'!B2:B1000")=$B47) * (INDIRECT("'"&amp;M$62&amp;"'!C2:C1000")=$C47)
        ),
        5,
        FALSE
    )=0,
    "",
    VLOOKUP(
        $A47,
        _xlfn._xlws.FILTER(
            INDIRECT("'"&amp;M$62&amp;"'!A2:E1000"), (INDIRECT("'"&amp;M$62&amp;"'!B2:B1000")=$B47) * (INDIRECT("'"&amp;M$62&amp;"'!C2:C1000")=$C47)
        ),
        5,
        FALSE
    )
)</f>
        <v>Enviado</v>
      </c>
      <c r="N47" s="75" t="str">
        <f t="array" aca="1" ref="N47" ca="1">IF(
    VLOOKUP(
        $A47,
        _xlfn._xlws.FILTER(
            INDIRECT("'"&amp;N$62&amp;"'!A2:E1000"), (INDIRECT("'"&amp;N$62&amp;"'!B2:B1000")=$B47) * (INDIRECT("'"&amp;N$62&amp;"'!C2:C1000")=$C47)
        ),
        5,
        FALSE
    )=0,
    "",
    VLOOKUP(
        $A47,
        _xlfn._xlws.FILTER(
            INDIRECT("'"&amp;N$62&amp;"'!A2:E1000"), (INDIRECT("'"&amp;N$62&amp;"'!B2:B1000")=$B47) * (INDIRECT("'"&amp;N$62&amp;"'!C2:C1000")=$C47)
        ),
        5,
        FALSE
    )
)</f>
        <v/>
      </c>
      <c r="O47" s="75" t="str">
        <f t="array" aca="1" ref="O47" ca="1">IF(
    VLOOKUP(
        $A47,
        _xlfn._xlws.FILTER(
            INDIRECT("'"&amp;O$62&amp;"'!A2:E1000"), (INDIRECT("'"&amp;O$62&amp;"'!B2:B1000")=$B47) * (INDIRECT("'"&amp;O$62&amp;"'!C2:C1000")=$C47)
        ),
        5,
        FALSE
    )=0,
    "",
    VLOOKUP(
        $A47,
        _xlfn._xlws.FILTER(
            INDIRECT("'"&amp;O$62&amp;"'!A2:E1000"), (INDIRECT("'"&amp;O$62&amp;"'!B2:B1000")=$B47) * (INDIRECT("'"&amp;O$62&amp;"'!C2:C1000")=$C47)
        ),
        5,
        FALSE
    )
)</f>
        <v/>
      </c>
    </row>
    <row r="48" spans="1:15">
      <c r="A48" s="30" t="s">
        <v>26</v>
      </c>
      <c r="B48" s="60" t="s">
        <v>112</v>
      </c>
      <c r="C48" s="60" t="s">
        <v>75</v>
      </c>
      <c r="D48" s="75" t="str">
        <f t="array" aca="1" ref="D48" ca="1">IF(
    VLOOKUP(
        $A48,
        _xlfn._xlws.FILTER(
            INDIRECT("'"&amp;D$62&amp;"'!A2:E1000"), (INDIRECT("'"&amp;D$62&amp;"'!B2:B1000")=$B48) * (INDIRECT("'"&amp;D$62&amp;"'!C2:C1000")=$C48)
        ),
        5,
        FALSE
    )=0,
    "",
    VLOOKUP(
        $A48,
        _xlfn._xlws.FILTER(
            INDIRECT("'"&amp;D$62&amp;"'!A2:E1000"), (INDIRECT("'"&amp;D$62&amp;"'!B2:B1000")=$B48) * (INDIRECT("'"&amp;D$62&amp;"'!C2:C1000")=$C48)
        ),
        5,
        FALSE
    )
)</f>
        <v>Enviado</v>
      </c>
      <c r="E48" s="75" t="str">
        <f t="array" aca="1" ref="E48" ca="1">IF(
    VLOOKUP(
        $A48,
        _xlfn._xlws.FILTER(
            INDIRECT("'"&amp;E$62&amp;"'!A2:E1000"), (INDIRECT("'"&amp;E$62&amp;"'!B2:B1000")=$B48) * (INDIRECT("'"&amp;E$62&amp;"'!C2:C1000")=$C48)
        ),
        5,
        FALSE
    )=0,
    "",
    VLOOKUP(
        $A48,
        _xlfn._xlws.FILTER(
            INDIRECT("'"&amp;E$62&amp;"'!A2:E1000"), (INDIRECT("'"&amp;E$62&amp;"'!B2:B1000")=$B48) * (INDIRECT("'"&amp;E$62&amp;"'!C2:C1000")=$C48)
        ),
        5,
        FALSE
    )
)</f>
        <v>Enviado</v>
      </c>
      <c r="F48" s="75" t="str">
        <f t="array" aca="1" ref="F48" ca="1">IF(
    VLOOKUP(
        $A48,
        _xlfn._xlws.FILTER(
            INDIRECT("'"&amp;F$62&amp;"'!A2:E1000"), (INDIRECT("'"&amp;F$62&amp;"'!B2:B1000")=$B48) * (INDIRECT("'"&amp;F$62&amp;"'!C2:C1000")=$C48)
        ),
        5,
        FALSE
    )=0,
    "",
    VLOOKUP(
        $A48,
        _xlfn._xlws.FILTER(
            INDIRECT("'"&amp;F$62&amp;"'!A2:E1000"), (INDIRECT("'"&amp;F$62&amp;"'!B2:B1000")=$B48) * (INDIRECT("'"&amp;F$62&amp;"'!C2:C1000")=$C48)
        ),
        5,
        FALSE
    )
)</f>
        <v>Enviado</v>
      </c>
      <c r="G48" s="75" t="str">
        <f t="array" aca="1" ref="G48" ca="1">IF(
    VLOOKUP(
        $A48,
        _xlfn._xlws.FILTER(
            INDIRECT("'"&amp;G$62&amp;"'!A2:E1000"), (INDIRECT("'"&amp;G$62&amp;"'!B2:B1000")=$B48) * (INDIRECT("'"&amp;G$62&amp;"'!C2:C1000")=$C48)
        ),
        5,
        FALSE
    )=0,
    "",
    VLOOKUP(
        $A48,
        _xlfn._xlws.FILTER(
            INDIRECT("'"&amp;G$62&amp;"'!A2:E1000"), (INDIRECT("'"&amp;G$62&amp;"'!B2:B1000")=$B48) * (INDIRECT("'"&amp;G$62&amp;"'!C2:C1000")=$C48)
        ),
        5,
        FALSE
    )
)</f>
        <v>Enviado</v>
      </c>
      <c r="H48" s="75" t="str">
        <f t="array" aca="1" ref="H48" ca="1">IF(
    VLOOKUP(
        $A48,
        _xlfn._xlws.FILTER(
            INDIRECT("'"&amp;H$62&amp;"'!A2:E1000"), (INDIRECT("'"&amp;H$62&amp;"'!B2:B1000")=$B48) * (INDIRECT("'"&amp;H$62&amp;"'!C2:C1000")=$C48)
        ),
        5,
        FALSE
    )=0,
    "",
    VLOOKUP(
        $A48,
        _xlfn._xlws.FILTER(
            INDIRECT("'"&amp;H$62&amp;"'!A2:E1000"), (INDIRECT("'"&amp;H$62&amp;"'!B2:B1000")=$B48) * (INDIRECT("'"&amp;H$62&amp;"'!C2:C1000")=$C48)
        ),
        5,
        FALSE
    )
)</f>
        <v>Enviado</v>
      </c>
      <c r="I48" s="75" t="str">
        <f t="array" aca="1" ref="I48" ca="1">IF(
    VLOOKUP(
        $A48,
        _xlfn._xlws.FILTER(
            INDIRECT("'"&amp;I$62&amp;"'!A2:E1000"), (INDIRECT("'"&amp;I$62&amp;"'!B2:B1000")=$B48) * (INDIRECT("'"&amp;I$62&amp;"'!C2:C1000")=$C48)
        ),
        5,
        FALSE
    )=0,
    "",
    VLOOKUP(
        $A48,
        _xlfn._xlws.FILTER(
            INDIRECT("'"&amp;I$62&amp;"'!A2:E1000"), (INDIRECT("'"&amp;I$62&amp;"'!B2:B1000")=$B48) * (INDIRECT("'"&amp;I$62&amp;"'!C2:C1000")=$C48)
        ),
        5,
        FALSE
    )
)</f>
        <v>Enviado</v>
      </c>
      <c r="J48" s="75" t="str">
        <f t="array" aca="1" ref="J48" ca="1">IF(
    VLOOKUP(
        $A48,
        _xlfn._xlws.FILTER(
            INDIRECT("'"&amp;J$62&amp;"'!A2:E1000"), (INDIRECT("'"&amp;J$62&amp;"'!B2:B1000")=$B48) * (INDIRECT("'"&amp;J$62&amp;"'!C2:C1000")=$C48)
        ),
        5,
        FALSE
    )=0,
    "",
    VLOOKUP(
        $A48,
        _xlfn._xlws.FILTER(
            INDIRECT("'"&amp;J$62&amp;"'!A2:E1000"), (INDIRECT("'"&amp;J$62&amp;"'!B2:B1000")=$B48) * (INDIRECT("'"&amp;J$62&amp;"'!C2:C1000")=$C48)
        ),
        5,
        FALSE
    )
)</f>
        <v>Enviado</v>
      </c>
      <c r="K48" s="75" t="str">
        <f t="array" aca="1" ref="K48" ca="1">IF(
    VLOOKUP(
        $A48,
        _xlfn._xlws.FILTER(
            INDIRECT("'"&amp;K$62&amp;"'!A2:E1000"), (INDIRECT("'"&amp;K$62&amp;"'!B2:B1000")=$B48) * (INDIRECT("'"&amp;K$62&amp;"'!C2:C1000")=$C48)
        ),
        5,
        FALSE
    )=0,
    "",
    VLOOKUP(
        $A48,
        _xlfn._xlws.FILTER(
            INDIRECT("'"&amp;K$62&amp;"'!A2:E1000"), (INDIRECT("'"&amp;K$62&amp;"'!B2:B1000")=$B48) * (INDIRECT("'"&amp;K$62&amp;"'!C2:C1000")=$C48)
        ),
        5,
        FALSE
    )
)</f>
        <v>Enviado</v>
      </c>
      <c r="L48" s="75" t="str">
        <f t="array" aca="1" ref="L48" ca="1">IF(
    VLOOKUP(
        $A48,
        _xlfn._xlws.FILTER(
            INDIRECT("'"&amp;L$62&amp;"'!A2:E1000"), (INDIRECT("'"&amp;L$62&amp;"'!B2:B1000")=$B48) * (INDIRECT("'"&amp;L$62&amp;"'!C2:C1000")=$C48)
        ),
        5,
        FALSE
    )=0,
    "",
    VLOOKUP(
        $A48,
        _xlfn._xlws.FILTER(
            INDIRECT("'"&amp;L$62&amp;"'!A2:E1000"), (INDIRECT("'"&amp;L$62&amp;"'!B2:B1000")=$B48) * (INDIRECT("'"&amp;L$62&amp;"'!C2:C1000")=$C48)
        ),
        5,
        FALSE
    )
)</f>
        <v>Enviado</v>
      </c>
      <c r="M48" s="75" t="str">
        <f t="array" aca="1" ref="M48" ca="1">IF(
    VLOOKUP(
        $A48,
        _xlfn._xlws.FILTER(
            INDIRECT("'"&amp;M$62&amp;"'!A2:E1000"), (INDIRECT("'"&amp;M$62&amp;"'!B2:B1000")=$B48) * (INDIRECT("'"&amp;M$62&amp;"'!C2:C1000")=$C48)
        ),
        5,
        FALSE
    )=0,
    "",
    VLOOKUP(
        $A48,
        _xlfn._xlws.FILTER(
            INDIRECT("'"&amp;M$62&amp;"'!A2:E1000"), (INDIRECT("'"&amp;M$62&amp;"'!B2:B1000")=$B48) * (INDIRECT("'"&amp;M$62&amp;"'!C2:C1000")=$C48)
        ),
        5,
        FALSE
    )
)</f>
        <v>Enviado</v>
      </c>
      <c r="N48" s="75" t="str">
        <f t="array" aca="1" ref="N48" ca="1">IF(
    VLOOKUP(
        $A48,
        _xlfn._xlws.FILTER(
            INDIRECT("'"&amp;N$62&amp;"'!A2:E1000"), (INDIRECT("'"&amp;N$62&amp;"'!B2:B1000")=$B48) * (INDIRECT("'"&amp;N$62&amp;"'!C2:C1000")=$C48)
        ),
        5,
        FALSE
    )=0,
    "",
    VLOOKUP(
        $A48,
        _xlfn._xlws.FILTER(
            INDIRECT("'"&amp;N$62&amp;"'!A2:E1000"), (INDIRECT("'"&amp;N$62&amp;"'!B2:B1000")=$B48) * (INDIRECT("'"&amp;N$62&amp;"'!C2:C1000")=$C48)
        ),
        5,
        FALSE
    )
)</f>
        <v/>
      </c>
      <c r="O48" s="75" t="str">
        <f t="array" aca="1" ref="O48" ca="1">IF(
    VLOOKUP(
        $A48,
        _xlfn._xlws.FILTER(
            INDIRECT("'"&amp;O$62&amp;"'!A2:E1000"), (INDIRECT("'"&amp;O$62&amp;"'!B2:B1000")=$B48) * (INDIRECT("'"&amp;O$62&amp;"'!C2:C1000")=$C48)
        ),
        5,
        FALSE
    )=0,
    "",
    VLOOKUP(
        $A48,
        _xlfn._xlws.FILTER(
            INDIRECT("'"&amp;O$62&amp;"'!A2:E1000"), (INDIRECT("'"&amp;O$62&amp;"'!B2:B1000")=$B48) * (INDIRECT("'"&amp;O$62&amp;"'!C2:C1000")=$C48)
        ),
        5,
        FALSE
    )
)</f>
        <v/>
      </c>
    </row>
    <row r="49" spans="1:20">
      <c r="A49" s="30" t="s">
        <v>26</v>
      </c>
      <c r="B49" s="60" t="s">
        <v>113</v>
      </c>
      <c r="C49" s="60" t="s">
        <v>75</v>
      </c>
      <c r="D49" s="75" t="str">
        <f t="array" aca="1" ref="D49" ca="1">IF(
    VLOOKUP(
        $A49,
        _xlfn._xlws.FILTER(
            INDIRECT("'"&amp;D$62&amp;"'!A2:E1000"), (INDIRECT("'"&amp;D$62&amp;"'!B2:B1000")=$B49) * (INDIRECT("'"&amp;D$62&amp;"'!C2:C1000")=$C49)
        ),
        5,
        FALSE
    )=0,
    "",
    VLOOKUP(
        $A49,
        _xlfn._xlws.FILTER(
            INDIRECT("'"&amp;D$62&amp;"'!A2:E1000"), (INDIRECT("'"&amp;D$62&amp;"'!B2:B1000")=$B49) * (INDIRECT("'"&amp;D$62&amp;"'!C2:C1000")=$C49)
        ),
        5,
        FALSE
    )
)</f>
        <v>Enviado</v>
      </c>
      <c r="E49" s="75" t="str">
        <f t="array" aca="1" ref="E49" ca="1">IF(
    VLOOKUP(
        $A49,
        _xlfn._xlws.FILTER(
            INDIRECT("'"&amp;E$62&amp;"'!A2:E1000"), (INDIRECT("'"&amp;E$62&amp;"'!B2:B1000")=$B49) * (INDIRECT("'"&amp;E$62&amp;"'!C2:C1000")=$C49)
        ),
        5,
        FALSE
    )=0,
    "",
    VLOOKUP(
        $A49,
        _xlfn._xlws.FILTER(
            INDIRECT("'"&amp;E$62&amp;"'!A2:E1000"), (INDIRECT("'"&amp;E$62&amp;"'!B2:B1000")=$B49) * (INDIRECT("'"&amp;E$62&amp;"'!C2:C1000")=$C49)
        ),
        5,
        FALSE
    )
)</f>
        <v>Enviado</v>
      </c>
      <c r="F49" s="75" t="str">
        <f t="array" aca="1" ref="F49" ca="1">IF(
    VLOOKUP(
        $A49,
        _xlfn._xlws.FILTER(
            INDIRECT("'"&amp;F$62&amp;"'!A2:E1000"), (INDIRECT("'"&amp;F$62&amp;"'!B2:B1000")=$B49) * (INDIRECT("'"&amp;F$62&amp;"'!C2:C1000")=$C49)
        ),
        5,
        FALSE
    )=0,
    "",
    VLOOKUP(
        $A49,
        _xlfn._xlws.FILTER(
            INDIRECT("'"&amp;F$62&amp;"'!A2:E1000"), (INDIRECT("'"&amp;F$62&amp;"'!B2:B1000")=$B49) * (INDIRECT("'"&amp;F$62&amp;"'!C2:C1000")=$C49)
        ),
        5,
        FALSE
    )
)</f>
        <v>Enviado</v>
      </c>
      <c r="G49" s="75" t="str">
        <f t="array" aca="1" ref="G49" ca="1">IF(
    VLOOKUP(
        $A49,
        _xlfn._xlws.FILTER(
            INDIRECT("'"&amp;G$62&amp;"'!A2:E1000"), (INDIRECT("'"&amp;G$62&amp;"'!B2:B1000")=$B49) * (INDIRECT("'"&amp;G$62&amp;"'!C2:C1000")=$C49)
        ),
        5,
        FALSE
    )=0,
    "",
    VLOOKUP(
        $A49,
        _xlfn._xlws.FILTER(
            INDIRECT("'"&amp;G$62&amp;"'!A2:E1000"), (INDIRECT("'"&amp;G$62&amp;"'!B2:B1000")=$B49) * (INDIRECT("'"&amp;G$62&amp;"'!C2:C1000")=$C49)
        ),
        5,
        FALSE
    )
)</f>
        <v>Enviado</v>
      </c>
      <c r="H49" s="75" t="str">
        <f t="array" aca="1" ref="H49" ca="1">IF(
    VLOOKUP(
        $A49,
        _xlfn._xlws.FILTER(
            INDIRECT("'"&amp;H$62&amp;"'!A2:E1000"), (INDIRECT("'"&amp;H$62&amp;"'!B2:B1000")=$B49) * (INDIRECT("'"&amp;H$62&amp;"'!C2:C1000")=$C49)
        ),
        5,
        FALSE
    )=0,
    "",
    VLOOKUP(
        $A49,
        _xlfn._xlws.FILTER(
            INDIRECT("'"&amp;H$62&amp;"'!A2:E1000"), (INDIRECT("'"&amp;H$62&amp;"'!B2:B1000")=$B49) * (INDIRECT("'"&amp;H$62&amp;"'!C2:C1000")=$C49)
        ),
        5,
        FALSE
    )
)</f>
        <v>Enviado</v>
      </c>
      <c r="I49" s="75" t="str">
        <f t="array" aca="1" ref="I49" ca="1">IF(
    VLOOKUP(
        $A49,
        _xlfn._xlws.FILTER(
            INDIRECT("'"&amp;I$62&amp;"'!A2:E1000"), (INDIRECT("'"&amp;I$62&amp;"'!B2:B1000")=$B49) * (INDIRECT("'"&amp;I$62&amp;"'!C2:C1000")=$C49)
        ),
        5,
        FALSE
    )=0,
    "",
    VLOOKUP(
        $A49,
        _xlfn._xlws.FILTER(
            INDIRECT("'"&amp;I$62&amp;"'!A2:E1000"), (INDIRECT("'"&amp;I$62&amp;"'!B2:B1000")=$B49) * (INDIRECT("'"&amp;I$62&amp;"'!C2:C1000")=$C49)
        ),
        5,
        FALSE
    )
)</f>
        <v>Enviado</v>
      </c>
      <c r="J49" s="75" t="str">
        <f t="array" aca="1" ref="J49" ca="1">IF(
    VLOOKUP(
        $A49,
        _xlfn._xlws.FILTER(
            INDIRECT("'"&amp;J$62&amp;"'!A2:E1000"), (INDIRECT("'"&amp;J$62&amp;"'!B2:B1000")=$B49) * (INDIRECT("'"&amp;J$62&amp;"'!C2:C1000")=$C49)
        ),
        5,
        FALSE
    )=0,
    "",
    VLOOKUP(
        $A49,
        _xlfn._xlws.FILTER(
            INDIRECT("'"&amp;J$62&amp;"'!A2:E1000"), (INDIRECT("'"&amp;J$62&amp;"'!B2:B1000")=$B49) * (INDIRECT("'"&amp;J$62&amp;"'!C2:C1000")=$C49)
        ),
        5,
        FALSE
    )
)</f>
        <v>Enviado</v>
      </c>
      <c r="K49" s="75" t="str">
        <f t="array" aca="1" ref="K49" ca="1">IF(
    VLOOKUP(
        $A49,
        _xlfn._xlws.FILTER(
            INDIRECT("'"&amp;K$62&amp;"'!A2:E1000"), (INDIRECT("'"&amp;K$62&amp;"'!B2:B1000")=$B49) * (INDIRECT("'"&amp;K$62&amp;"'!C2:C1000")=$C49)
        ),
        5,
        FALSE
    )=0,
    "",
    VLOOKUP(
        $A49,
        _xlfn._xlws.FILTER(
            INDIRECT("'"&amp;K$62&amp;"'!A2:E1000"), (INDIRECT("'"&amp;K$62&amp;"'!B2:B1000")=$B49) * (INDIRECT("'"&amp;K$62&amp;"'!C2:C1000")=$C49)
        ),
        5,
        FALSE
    )
)</f>
        <v>Enviado</v>
      </c>
      <c r="L49" s="75" t="str">
        <f t="array" aca="1" ref="L49" ca="1">IF(
    VLOOKUP(
        $A49,
        _xlfn._xlws.FILTER(
            INDIRECT("'"&amp;L$62&amp;"'!A2:E1000"), (INDIRECT("'"&amp;L$62&amp;"'!B2:B1000")=$B49) * (INDIRECT("'"&amp;L$62&amp;"'!C2:C1000")=$C49)
        ),
        5,
        FALSE
    )=0,
    "",
    VLOOKUP(
        $A49,
        _xlfn._xlws.FILTER(
            INDIRECT("'"&amp;L$62&amp;"'!A2:E1000"), (INDIRECT("'"&amp;L$62&amp;"'!B2:B1000")=$B49) * (INDIRECT("'"&amp;L$62&amp;"'!C2:C1000")=$C49)
        ),
        5,
        FALSE
    )
)</f>
        <v>Enviado</v>
      </c>
      <c r="M49" s="75" t="str">
        <f t="array" aca="1" ref="M49" ca="1">IF(
    VLOOKUP(
        $A49,
        _xlfn._xlws.FILTER(
            INDIRECT("'"&amp;M$62&amp;"'!A2:E1000"), (INDIRECT("'"&amp;M$62&amp;"'!B2:B1000")=$B49) * (INDIRECT("'"&amp;M$62&amp;"'!C2:C1000")=$C49)
        ),
        5,
        FALSE
    )=0,
    "",
    VLOOKUP(
        $A49,
        _xlfn._xlws.FILTER(
            INDIRECT("'"&amp;M$62&amp;"'!A2:E1000"), (INDIRECT("'"&amp;M$62&amp;"'!B2:B1000")=$B49) * (INDIRECT("'"&amp;M$62&amp;"'!C2:C1000")=$C49)
        ),
        5,
        FALSE
    )
)</f>
        <v>Enviado</v>
      </c>
      <c r="N49" s="75" t="str">
        <f t="array" aca="1" ref="N49" ca="1">IF(
    VLOOKUP(
        $A49,
        _xlfn._xlws.FILTER(
            INDIRECT("'"&amp;N$62&amp;"'!A2:E1000"), (INDIRECT("'"&amp;N$62&amp;"'!B2:B1000")=$B49) * (INDIRECT("'"&amp;N$62&amp;"'!C2:C1000")=$C49)
        ),
        5,
        FALSE
    )=0,
    "",
    VLOOKUP(
        $A49,
        _xlfn._xlws.FILTER(
            INDIRECT("'"&amp;N$62&amp;"'!A2:E1000"), (INDIRECT("'"&amp;N$62&amp;"'!B2:B1000")=$B49) * (INDIRECT("'"&amp;N$62&amp;"'!C2:C1000")=$C49)
        ),
        5,
        FALSE
    )
)</f>
        <v/>
      </c>
      <c r="O49" s="75" t="str">
        <f t="array" aca="1" ref="O49" ca="1">IF(
    VLOOKUP(
        $A49,
        _xlfn._xlws.FILTER(
            INDIRECT("'"&amp;O$62&amp;"'!A2:E1000"), (INDIRECT("'"&amp;O$62&amp;"'!B2:B1000")=$B49) * (INDIRECT("'"&amp;O$62&amp;"'!C2:C1000")=$C49)
        ),
        5,
        FALSE
    )=0,
    "",
    VLOOKUP(
        $A49,
        _xlfn._xlws.FILTER(
            INDIRECT("'"&amp;O$62&amp;"'!A2:E1000"), (INDIRECT("'"&amp;O$62&amp;"'!B2:B1000")=$B49) * (INDIRECT("'"&amp;O$62&amp;"'!C2:C1000")=$C49)
        ),
        5,
        FALSE
    )
)</f>
        <v/>
      </c>
    </row>
    <row r="50" spans="1:20">
      <c r="A50" s="30" t="s">
        <v>26</v>
      </c>
      <c r="B50" s="60" t="s">
        <v>114</v>
      </c>
      <c r="C50" s="60" t="s">
        <v>75</v>
      </c>
      <c r="D50" s="75" t="str">
        <f t="array" aca="1" ref="D50" ca="1">IF(
    VLOOKUP(
        $A50,
        _xlfn._xlws.FILTER(
            INDIRECT("'"&amp;D$62&amp;"'!A2:E1000"), (INDIRECT("'"&amp;D$62&amp;"'!B2:B1000")=$B50) * (INDIRECT("'"&amp;D$62&amp;"'!C2:C1000")=$C50)
        ),
        5,
        FALSE
    )=0,
    "",
    VLOOKUP(
        $A50,
        _xlfn._xlws.FILTER(
            INDIRECT("'"&amp;D$62&amp;"'!A2:E1000"), (INDIRECT("'"&amp;D$62&amp;"'!B2:B1000")=$B50) * (INDIRECT("'"&amp;D$62&amp;"'!C2:C1000")=$C50)
        ),
        5,
        FALSE
    )
)</f>
        <v>Enviado</v>
      </c>
      <c r="E50" s="75" t="str">
        <f t="array" aca="1" ref="E50" ca="1">IF(
    VLOOKUP(
        $A50,
        _xlfn._xlws.FILTER(
            INDIRECT("'"&amp;E$62&amp;"'!A2:E1000"), (INDIRECT("'"&amp;E$62&amp;"'!B2:B1000")=$B50) * (INDIRECT("'"&amp;E$62&amp;"'!C2:C1000")=$C50)
        ),
        5,
        FALSE
    )=0,
    "",
    VLOOKUP(
        $A50,
        _xlfn._xlws.FILTER(
            INDIRECT("'"&amp;E$62&amp;"'!A2:E1000"), (INDIRECT("'"&amp;E$62&amp;"'!B2:B1000")=$B50) * (INDIRECT("'"&amp;E$62&amp;"'!C2:C1000")=$C50)
        ),
        5,
        FALSE
    )
)</f>
        <v>Enviado</v>
      </c>
      <c r="F50" s="75" t="str">
        <f t="array" aca="1" ref="F50" ca="1">IF(
    VLOOKUP(
        $A50,
        _xlfn._xlws.FILTER(
            INDIRECT("'"&amp;F$62&amp;"'!A2:E1000"), (INDIRECT("'"&amp;F$62&amp;"'!B2:B1000")=$B50) * (INDIRECT("'"&amp;F$62&amp;"'!C2:C1000")=$C50)
        ),
        5,
        FALSE
    )=0,
    "",
    VLOOKUP(
        $A50,
        _xlfn._xlws.FILTER(
            INDIRECT("'"&amp;F$62&amp;"'!A2:E1000"), (INDIRECT("'"&amp;F$62&amp;"'!B2:B1000")=$B50) * (INDIRECT("'"&amp;F$62&amp;"'!C2:C1000")=$C50)
        ),
        5,
        FALSE
    )
)</f>
        <v>Enviado</v>
      </c>
      <c r="G50" s="75" t="str">
        <f t="array" aca="1" ref="G50" ca="1">IF(
    VLOOKUP(
        $A50,
        _xlfn._xlws.FILTER(
            INDIRECT("'"&amp;G$62&amp;"'!A2:E1000"), (INDIRECT("'"&amp;G$62&amp;"'!B2:B1000")=$B50) * (INDIRECT("'"&amp;G$62&amp;"'!C2:C1000")=$C50)
        ),
        5,
        FALSE
    )=0,
    "",
    VLOOKUP(
        $A50,
        _xlfn._xlws.FILTER(
            INDIRECT("'"&amp;G$62&amp;"'!A2:E1000"), (INDIRECT("'"&amp;G$62&amp;"'!B2:B1000")=$B50) * (INDIRECT("'"&amp;G$62&amp;"'!C2:C1000")=$C50)
        ),
        5,
        FALSE
    )
)</f>
        <v>Enviado</v>
      </c>
      <c r="H50" s="75" t="str">
        <f t="array" aca="1" ref="H50" ca="1">IF(
    VLOOKUP(
        $A50,
        _xlfn._xlws.FILTER(
            INDIRECT("'"&amp;H$62&amp;"'!A2:E1000"), (INDIRECT("'"&amp;H$62&amp;"'!B2:B1000")=$B50) * (INDIRECT("'"&amp;H$62&amp;"'!C2:C1000")=$C50)
        ),
        5,
        FALSE
    )=0,
    "",
    VLOOKUP(
        $A50,
        _xlfn._xlws.FILTER(
            INDIRECT("'"&amp;H$62&amp;"'!A2:E1000"), (INDIRECT("'"&amp;H$62&amp;"'!B2:B1000")=$B50) * (INDIRECT("'"&amp;H$62&amp;"'!C2:C1000")=$C50)
        ),
        5,
        FALSE
    )
)</f>
        <v>Enviado</v>
      </c>
      <c r="I50" s="75" t="str">
        <f t="array" aca="1" ref="I50" ca="1">IF(
    VLOOKUP(
        $A50,
        _xlfn._xlws.FILTER(
            INDIRECT("'"&amp;I$62&amp;"'!A2:E1000"), (INDIRECT("'"&amp;I$62&amp;"'!B2:B1000")=$B50) * (INDIRECT("'"&amp;I$62&amp;"'!C2:C1000")=$C50)
        ),
        5,
        FALSE
    )=0,
    "",
    VLOOKUP(
        $A50,
        _xlfn._xlws.FILTER(
            INDIRECT("'"&amp;I$62&amp;"'!A2:E1000"), (INDIRECT("'"&amp;I$62&amp;"'!B2:B1000")=$B50) * (INDIRECT("'"&amp;I$62&amp;"'!C2:C1000")=$C50)
        ),
        5,
        FALSE
    )
)</f>
        <v>Enviado</v>
      </c>
      <c r="J50" s="75" t="str">
        <f t="array" aca="1" ref="J50" ca="1">IF(
    VLOOKUP(
        $A50,
        _xlfn._xlws.FILTER(
            INDIRECT("'"&amp;J$62&amp;"'!A2:E1000"), (INDIRECT("'"&amp;J$62&amp;"'!B2:B1000")=$B50) * (INDIRECT("'"&amp;J$62&amp;"'!C2:C1000")=$C50)
        ),
        5,
        FALSE
    )=0,
    "",
    VLOOKUP(
        $A50,
        _xlfn._xlws.FILTER(
            INDIRECT("'"&amp;J$62&amp;"'!A2:E1000"), (INDIRECT("'"&amp;J$62&amp;"'!B2:B1000")=$B50) * (INDIRECT("'"&amp;J$62&amp;"'!C2:C1000")=$C50)
        ),
        5,
        FALSE
    )
)</f>
        <v>Enviado</v>
      </c>
      <c r="K50" s="75" t="str">
        <f t="array" aca="1" ref="K50" ca="1">IF(
    VLOOKUP(
        $A50,
        _xlfn._xlws.FILTER(
            INDIRECT("'"&amp;K$62&amp;"'!A2:E1000"), (INDIRECT("'"&amp;K$62&amp;"'!B2:B1000")=$B50) * (INDIRECT("'"&amp;K$62&amp;"'!C2:C1000")=$C50)
        ),
        5,
        FALSE
    )=0,
    "",
    VLOOKUP(
        $A50,
        _xlfn._xlws.FILTER(
            INDIRECT("'"&amp;K$62&amp;"'!A2:E1000"), (INDIRECT("'"&amp;K$62&amp;"'!B2:B1000")=$B50) * (INDIRECT("'"&amp;K$62&amp;"'!C2:C1000")=$C50)
        ),
        5,
        FALSE
    )
)</f>
        <v>Enviado</v>
      </c>
      <c r="L50" s="75" t="str">
        <f t="array" aca="1" ref="L50" ca="1">IF(
    VLOOKUP(
        $A50,
        _xlfn._xlws.FILTER(
            INDIRECT("'"&amp;L$62&amp;"'!A2:E1000"), (INDIRECT("'"&amp;L$62&amp;"'!B2:B1000")=$B50) * (INDIRECT("'"&amp;L$62&amp;"'!C2:C1000")=$C50)
        ),
        5,
        FALSE
    )=0,
    "",
    VLOOKUP(
        $A50,
        _xlfn._xlws.FILTER(
            INDIRECT("'"&amp;L$62&amp;"'!A2:E1000"), (INDIRECT("'"&amp;L$62&amp;"'!B2:B1000")=$B50) * (INDIRECT("'"&amp;L$62&amp;"'!C2:C1000")=$C50)
        ),
        5,
        FALSE
    )
)</f>
        <v>Atrasado &gt;= 2</v>
      </c>
      <c r="M50" s="75" t="str">
        <f t="array" aca="1" ref="M50" ca="1">IF(
    VLOOKUP(
        $A50,
        _xlfn._xlws.FILTER(
            INDIRECT("'"&amp;M$62&amp;"'!A2:E1000"), (INDIRECT("'"&amp;M$62&amp;"'!B2:B1000")=$B50) * (INDIRECT("'"&amp;M$62&amp;"'!C2:C1000")=$C50)
        ),
        5,
        FALSE
    )=0,
    "",
    VLOOKUP(
        $A50,
        _xlfn._xlws.FILTER(
            INDIRECT("'"&amp;M$62&amp;"'!A2:E1000"), (INDIRECT("'"&amp;M$62&amp;"'!B2:B1000")=$B50) * (INDIRECT("'"&amp;M$62&amp;"'!C2:C1000")=$C50)
        ),
        5,
        FALSE
    )
)</f>
        <v>Atrasado</v>
      </c>
      <c r="N50" s="75" t="str">
        <f t="array" aca="1" ref="N50" ca="1">IF(
    VLOOKUP(
        $A50,
        _xlfn._xlws.FILTER(
            INDIRECT("'"&amp;N$62&amp;"'!A2:E1000"), (INDIRECT("'"&amp;N$62&amp;"'!B2:B1000")=$B50) * (INDIRECT("'"&amp;N$62&amp;"'!C2:C1000")=$C50)
        ),
        5,
        FALSE
    )=0,
    "",
    VLOOKUP(
        $A50,
        _xlfn._xlws.FILTER(
            INDIRECT("'"&amp;N$62&amp;"'!A2:E1000"), (INDIRECT("'"&amp;N$62&amp;"'!B2:B1000")=$B50) * (INDIRECT("'"&amp;N$62&amp;"'!C2:C1000")=$C50)
        ),
        5,
        FALSE
    )
)</f>
        <v/>
      </c>
      <c r="O50" s="75" t="str">
        <f t="array" aca="1" ref="O50" ca="1">IF(
    VLOOKUP(
        $A50,
        _xlfn._xlws.FILTER(
            INDIRECT("'"&amp;O$62&amp;"'!A2:E1000"), (INDIRECT("'"&amp;O$62&amp;"'!B2:B1000")=$B50) * (INDIRECT("'"&amp;O$62&amp;"'!C2:C1000")=$C50)
        ),
        5,
        FALSE
    )=0,
    "",
    VLOOKUP(
        $A50,
        _xlfn._xlws.FILTER(
            INDIRECT("'"&amp;O$62&amp;"'!A2:E1000"), (INDIRECT("'"&amp;O$62&amp;"'!B2:B1000")=$B50) * (INDIRECT("'"&amp;O$62&amp;"'!C2:C1000")=$C50)
        ),
        5,
        FALSE
    )
)</f>
        <v/>
      </c>
    </row>
    <row r="52" spans="1:20" ht="15.75" customHeight="1">
      <c r="A52" s="80" t="s">
        <v>115</v>
      </c>
      <c r="B52" s="21" t="s">
        <v>72</v>
      </c>
      <c r="C52" s="21" t="s">
        <v>73</v>
      </c>
      <c r="D52" s="74" t="s">
        <v>1</v>
      </c>
      <c r="E52" s="74" t="s">
        <v>2</v>
      </c>
      <c r="F52" s="74" t="s">
        <v>3</v>
      </c>
      <c r="G52" s="74" t="s">
        <v>4</v>
      </c>
      <c r="H52" s="74" t="s">
        <v>5</v>
      </c>
      <c r="I52" s="74" t="s">
        <v>6</v>
      </c>
      <c r="J52" s="74" t="s">
        <v>7</v>
      </c>
      <c r="K52" s="74" t="s">
        <v>8</v>
      </c>
      <c r="L52" s="74" t="s">
        <v>9</v>
      </c>
      <c r="M52" s="74" t="s">
        <v>10</v>
      </c>
      <c r="N52" s="74" t="s">
        <v>11</v>
      </c>
      <c r="O52" s="74" t="s">
        <v>12</v>
      </c>
    </row>
    <row r="53" spans="1:20">
      <c r="A53" s="28" t="s">
        <v>42</v>
      </c>
      <c r="B53" s="60" t="s">
        <v>116</v>
      </c>
      <c r="C53" s="60" t="s">
        <v>75</v>
      </c>
      <c r="D53" s="75" t="str">
        <f t="array" aca="1" ref="D53" ca="1">IF(
    VLOOKUP(
        $A53,
        _xlfn._xlws.FILTER(
            INDIRECT("'"&amp;D$62&amp;"'!A2:E1000"), (INDIRECT("'"&amp;D$62&amp;"'!B2:B1000")=$B53) * (INDIRECT("'"&amp;D$62&amp;"'!C2:C1000")=$C53)
        ),
        5,
        FALSE
    )=0,
    "",
    VLOOKUP(
        $A53,
        _xlfn._xlws.FILTER(
            INDIRECT("'"&amp;D$62&amp;"'!A2:E1000"), (INDIRECT("'"&amp;D$62&amp;"'!B2:B1000")=$B53) * (INDIRECT("'"&amp;D$62&amp;"'!C2:C1000")=$C53)
        ),
        5,
        FALSE
    )
)</f>
        <v>Enviado</v>
      </c>
      <c r="E53" s="75" t="str">
        <f t="array" aca="1" ref="E53" ca="1">IF(
    VLOOKUP(
        $A53,
        _xlfn._xlws.FILTER(
            INDIRECT("'"&amp;E$62&amp;"'!A2:E1000"), (INDIRECT("'"&amp;E$62&amp;"'!B2:B1000")=$B53) * (INDIRECT("'"&amp;E$62&amp;"'!C2:C1000")=$C53)
        ),
        5,
        FALSE
    )=0,
    "",
    VLOOKUP(
        $A53,
        _xlfn._xlws.FILTER(
            INDIRECT("'"&amp;E$62&amp;"'!A2:E1000"), (INDIRECT("'"&amp;E$62&amp;"'!B2:B1000")=$B53) * (INDIRECT("'"&amp;E$62&amp;"'!C2:C1000")=$C53)
        ),
        5,
        FALSE
    )
)</f>
        <v>Enviado</v>
      </c>
      <c r="F53" s="75" t="str">
        <f t="array" aca="1" ref="F53" ca="1">IF(
    VLOOKUP(
        $A53,
        _xlfn._xlws.FILTER(
            INDIRECT("'"&amp;F$62&amp;"'!A2:E1000"), (INDIRECT("'"&amp;F$62&amp;"'!B2:B1000")=$B53) * (INDIRECT("'"&amp;F$62&amp;"'!C2:C1000")=$C53)
        ),
        5,
        FALSE
    )=0,
    "",
    VLOOKUP(
        $A53,
        _xlfn._xlws.FILTER(
            INDIRECT("'"&amp;F$62&amp;"'!A2:E1000"), (INDIRECT("'"&amp;F$62&amp;"'!B2:B1000")=$B53) * (INDIRECT("'"&amp;F$62&amp;"'!C2:C1000")=$C53)
        ),
        5,
        FALSE
    )
)</f>
        <v>Enviado</v>
      </c>
      <c r="G53" s="75" t="str">
        <f t="array" aca="1" ref="G53" ca="1">IF(
    VLOOKUP(
        $A53,
        _xlfn._xlws.FILTER(
            INDIRECT("'"&amp;G$62&amp;"'!A2:E1000"), (INDIRECT("'"&amp;G$62&amp;"'!B2:B1000")=$B53) * (INDIRECT("'"&amp;G$62&amp;"'!C2:C1000")=$C53)
        ),
        5,
        FALSE
    )=0,
    "",
    VLOOKUP(
        $A53,
        _xlfn._xlws.FILTER(
            INDIRECT("'"&amp;G$62&amp;"'!A2:E1000"), (INDIRECT("'"&amp;G$62&amp;"'!B2:B1000")=$B53) * (INDIRECT("'"&amp;G$62&amp;"'!C2:C1000")=$C53)
        ),
        5,
        FALSE
    )
)</f>
        <v>Sem Técnico</v>
      </c>
      <c r="H53" s="75" t="str">
        <f t="array" aca="1" ref="H53" ca="1">IF(
    VLOOKUP(
        $A53,
        _xlfn._xlws.FILTER(
            INDIRECT("'"&amp;H$62&amp;"'!A2:E1000"), (INDIRECT("'"&amp;H$62&amp;"'!B2:B1000")=$B53) * (INDIRECT("'"&amp;H$62&amp;"'!C2:C1000")=$C53)
        ),
        5,
        FALSE
    )=0,
    "",
    VLOOKUP(
        $A53,
        _xlfn._xlws.FILTER(
            INDIRECT("'"&amp;H$62&amp;"'!A2:E1000"), (INDIRECT("'"&amp;H$62&amp;"'!B2:B1000")=$B53) * (INDIRECT("'"&amp;H$62&amp;"'!C2:C1000")=$C53)
        ),
        5,
        FALSE
    )
)</f>
        <v>Sem Técnico</v>
      </c>
      <c r="I53" s="75" t="str">
        <f t="array" aca="1" ref="I53" ca="1">IF(
    VLOOKUP(
        $A53,
        _xlfn._xlws.FILTER(
            INDIRECT("'"&amp;I$62&amp;"'!A2:E1000"), (INDIRECT("'"&amp;I$62&amp;"'!B2:B1000")=$B53) * (INDIRECT("'"&amp;I$62&amp;"'!C2:C1000")=$C53)
        ),
        5,
        FALSE
    )=0,
    "",
    VLOOKUP(
        $A53,
        _xlfn._xlws.FILTER(
            INDIRECT("'"&amp;I$62&amp;"'!A2:E1000"), (INDIRECT("'"&amp;I$62&amp;"'!B2:B1000")=$B53) * (INDIRECT("'"&amp;I$62&amp;"'!C2:C1000")=$C53)
        ),
        5,
        FALSE
    )
)</f>
        <v>Atrasado &gt;= 2</v>
      </c>
      <c r="J53" s="75" t="str">
        <f t="array" aca="1" ref="J53" ca="1">IF(
    VLOOKUP(
        $A53,
        _xlfn._xlws.FILTER(
            INDIRECT("'"&amp;J$62&amp;"'!A2:E1000"), (INDIRECT("'"&amp;J$62&amp;"'!B2:B1000")=$B53) * (INDIRECT("'"&amp;J$62&amp;"'!C2:C1000")=$C53)
        ),
        5,
        FALSE
    )=0,
    "",
    VLOOKUP(
        $A53,
        _xlfn._xlws.FILTER(
            INDIRECT("'"&amp;J$62&amp;"'!A2:E1000"), (INDIRECT("'"&amp;J$62&amp;"'!B2:B1000")=$B53) * (INDIRECT("'"&amp;J$62&amp;"'!C2:C1000")=$C53)
        ),
        5,
        FALSE
    )
)</f>
        <v>Atrasado &gt;= 2</v>
      </c>
      <c r="K53" s="75" t="str">
        <f t="array" aca="1" ref="K53" ca="1">IF(
    VLOOKUP(
        $A53,
        _xlfn._xlws.FILTER(
            INDIRECT("'"&amp;K$62&amp;"'!A2:E1000"), (INDIRECT("'"&amp;K$62&amp;"'!B2:B1000")=$B53) * (INDIRECT("'"&amp;K$62&amp;"'!C2:C1000")=$C53)
        ),
        5,
        FALSE
    )=0,
    "",
    VLOOKUP(
        $A53,
        _xlfn._xlws.FILTER(
            INDIRECT("'"&amp;K$62&amp;"'!A2:E1000"), (INDIRECT("'"&amp;K$62&amp;"'!B2:B1000")=$B53) * (INDIRECT("'"&amp;K$62&amp;"'!C2:C1000")=$C53)
        ),
        5,
        FALSE
    )
)</f>
        <v>Enviado</v>
      </c>
      <c r="L53" s="75" t="str">
        <f t="array" aca="1" ref="L53" ca="1">IF(
    VLOOKUP(
        $A53,
        _xlfn._xlws.FILTER(
            INDIRECT("'"&amp;L$62&amp;"'!A2:E1000"), (INDIRECT("'"&amp;L$62&amp;"'!B2:B1000")=$B53) * (INDIRECT("'"&amp;L$62&amp;"'!C2:C1000")=$C53)
        ),
        5,
        FALSE
    )=0,
    "",
    VLOOKUP(
        $A53,
        _xlfn._xlws.FILTER(
            INDIRECT("'"&amp;L$62&amp;"'!A2:E1000"), (INDIRECT("'"&amp;L$62&amp;"'!B2:B1000")=$B53) * (INDIRECT("'"&amp;L$62&amp;"'!C2:C1000")=$C53)
        ),
        5,
        FALSE
    )
)</f>
        <v>Atrasado &gt;= 2</v>
      </c>
      <c r="M53" s="75" t="str">
        <f t="array" aca="1" ref="M53" ca="1">IF(
    VLOOKUP(
        $A53,
        _xlfn._xlws.FILTER(
            INDIRECT("'"&amp;M$62&amp;"'!A2:E1000"), (INDIRECT("'"&amp;M$62&amp;"'!B2:B1000")=$B53) * (INDIRECT("'"&amp;M$62&amp;"'!C2:C1000")=$C53)
        ),
        5,
        FALSE
    )=0,
    "",
    VLOOKUP(
        $A53,
        _xlfn._xlws.FILTER(
            INDIRECT("'"&amp;M$62&amp;"'!A2:E1000"), (INDIRECT("'"&amp;M$62&amp;"'!B2:B1000")=$B53) * (INDIRECT("'"&amp;M$62&amp;"'!C2:C1000")=$C53)
        ),
        5,
        FALSE
    )
)</f>
        <v>Atrasado</v>
      </c>
      <c r="N53" s="75" t="str">
        <f t="array" aca="1" ref="N53" ca="1">IF(
    VLOOKUP(
        $A53,
        _xlfn._xlws.FILTER(
            INDIRECT("'"&amp;N$62&amp;"'!A2:E1000"), (INDIRECT("'"&amp;N$62&amp;"'!B2:B1000")=$B53) * (INDIRECT("'"&amp;N$62&amp;"'!C2:C1000")=$C53)
        ),
        5,
        FALSE
    )=0,
    "",
    VLOOKUP(
        $A53,
        _xlfn._xlws.FILTER(
            INDIRECT("'"&amp;N$62&amp;"'!A2:E1000"), (INDIRECT("'"&amp;N$62&amp;"'!B2:B1000")=$B53) * (INDIRECT("'"&amp;N$62&amp;"'!C2:C1000")=$C53)
        ),
        5,
        FALSE
    )
)</f>
        <v/>
      </c>
      <c r="O53" s="75" t="str">
        <f t="array" aca="1" ref="O53" ca="1">IF(
    VLOOKUP(
        $A53,
        _xlfn._xlws.FILTER(
            INDIRECT("'"&amp;O$62&amp;"'!A2:E1000"), (INDIRECT("'"&amp;O$62&amp;"'!B2:B1000")=$B53) * (INDIRECT("'"&amp;O$62&amp;"'!C2:C1000")=$C53)
        ),
        5,
        FALSE
    )=0,
    "",
    VLOOKUP(
        $A53,
        _xlfn._xlws.FILTER(
            INDIRECT("'"&amp;O$62&amp;"'!A2:E1000"), (INDIRECT("'"&amp;O$62&amp;"'!B2:B1000")=$B53) * (INDIRECT("'"&amp;O$62&amp;"'!C2:C1000")=$C53)
        ),
        5,
        FALSE
    )
)</f>
        <v/>
      </c>
    </row>
    <row r="54" spans="1:20">
      <c r="A54" s="28" t="s">
        <v>42</v>
      </c>
      <c r="B54" s="60" t="s">
        <v>117</v>
      </c>
      <c r="C54" s="60" t="s">
        <v>75</v>
      </c>
      <c r="D54" s="75" t="str">
        <f t="array" aca="1" ref="D54" ca="1">IF(
    VLOOKUP(
        $A54,
        _xlfn._xlws.FILTER(
            INDIRECT("'"&amp;D$62&amp;"'!A2:E1000"), (INDIRECT("'"&amp;D$62&amp;"'!B2:B1000")=$B54) * (INDIRECT("'"&amp;D$62&amp;"'!C2:C1000")=$C54)
        ),
        5,
        FALSE
    )=0,
    "",
    VLOOKUP(
        $A54,
        _xlfn._xlws.FILTER(
            INDIRECT("'"&amp;D$62&amp;"'!A2:E1000"), (INDIRECT("'"&amp;D$62&amp;"'!B2:B1000")=$B54) * (INDIRECT("'"&amp;D$62&amp;"'!C2:C1000")=$C54)
        ),
        5,
        FALSE
    )
)</f>
        <v>Enviado</v>
      </c>
      <c r="E54" s="75" t="str">
        <f t="array" aca="1" ref="E54" ca="1">IF(
    VLOOKUP(
        $A54,
        _xlfn._xlws.FILTER(
            INDIRECT("'"&amp;E$62&amp;"'!A2:E1000"), (INDIRECT("'"&amp;E$62&amp;"'!B2:B1000")=$B54) * (INDIRECT("'"&amp;E$62&amp;"'!C2:C1000")=$C54)
        ),
        5,
        FALSE
    )=0,
    "",
    VLOOKUP(
        $A54,
        _xlfn._xlws.FILTER(
            INDIRECT("'"&amp;E$62&amp;"'!A2:E1000"), (INDIRECT("'"&amp;E$62&amp;"'!B2:B1000")=$B54) * (INDIRECT("'"&amp;E$62&amp;"'!C2:C1000")=$C54)
        ),
        5,
        FALSE
    )
)</f>
        <v>Enviado</v>
      </c>
      <c r="F54" s="75" t="str">
        <f t="array" aca="1" ref="F54" ca="1">IF(
    VLOOKUP(
        $A54,
        _xlfn._xlws.FILTER(
            INDIRECT("'"&amp;F$62&amp;"'!A2:E1000"), (INDIRECT("'"&amp;F$62&amp;"'!B2:B1000")=$B54) * (INDIRECT("'"&amp;F$62&amp;"'!C2:C1000")=$C54)
        ),
        5,
        FALSE
    )=0,
    "",
    VLOOKUP(
        $A54,
        _xlfn._xlws.FILTER(
            INDIRECT("'"&amp;F$62&amp;"'!A2:E1000"), (INDIRECT("'"&amp;F$62&amp;"'!B2:B1000")=$B54) * (INDIRECT("'"&amp;F$62&amp;"'!C2:C1000")=$C54)
        ),
        5,
        FALSE
    )
)</f>
        <v>Enviado</v>
      </c>
      <c r="G54" s="75" t="str">
        <f t="array" aca="1" ref="G54" ca="1">IF(
    VLOOKUP(
        $A54,
        _xlfn._xlws.FILTER(
            INDIRECT("'"&amp;G$62&amp;"'!A2:E1000"), (INDIRECT("'"&amp;G$62&amp;"'!B2:B1000")=$B54) * (INDIRECT("'"&amp;G$62&amp;"'!C2:C1000")=$C54)
        ),
        5,
        FALSE
    )=0,
    "",
    VLOOKUP(
        $A54,
        _xlfn._xlws.FILTER(
            INDIRECT("'"&amp;G$62&amp;"'!A2:E1000"), (INDIRECT("'"&amp;G$62&amp;"'!B2:B1000")=$B54) * (INDIRECT("'"&amp;G$62&amp;"'!C2:C1000")=$C54)
        ),
        5,
        FALSE
    )
)</f>
        <v>Enviado</v>
      </c>
      <c r="H54" s="75" t="str">
        <f t="array" aca="1" ref="H54" ca="1">IF(
    VLOOKUP(
        $A54,
        _xlfn._xlws.FILTER(
            INDIRECT("'"&amp;H$62&amp;"'!A2:E1000"), (INDIRECT("'"&amp;H$62&amp;"'!B2:B1000")=$B54) * (INDIRECT("'"&amp;H$62&amp;"'!C2:C1000")=$C54)
        ),
        5,
        FALSE
    )=0,
    "",
    VLOOKUP(
        $A54,
        _xlfn._xlws.FILTER(
            INDIRECT("'"&amp;H$62&amp;"'!A2:E1000"), (INDIRECT("'"&amp;H$62&amp;"'!B2:B1000")=$B54) * (INDIRECT("'"&amp;H$62&amp;"'!C2:C1000")=$C54)
        ),
        5,
        FALSE
    )
)</f>
        <v>Enviado</v>
      </c>
      <c r="I54" s="75" t="str">
        <f t="array" aca="1" ref="I54" ca="1">IF(
    VLOOKUP(
        $A54,
        _xlfn._xlws.FILTER(
            INDIRECT("'"&amp;I$62&amp;"'!A2:E1000"), (INDIRECT("'"&amp;I$62&amp;"'!B2:B1000")=$B54) * (INDIRECT("'"&amp;I$62&amp;"'!C2:C1000")=$C54)
        ),
        5,
        FALSE
    )=0,
    "",
    VLOOKUP(
        $A54,
        _xlfn._xlws.FILTER(
            INDIRECT("'"&amp;I$62&amp;"'!A2:E1000"), (INDIRECT("'"&amp;I$62&amp;"'!B2:B1000")=$B54) * (INDIRECT("'"&amp;I$62&amp;"'!C2:C1000")=$C54)
        ),
        5,
        FALSE
    )
)</f>
        <v>Enviado</v>
      </c>
      <c r="J54" s="75" t="str">
        <f t="array" aca="1" ref="J54" ca="1">IF(
    VLOOKUP(
        $A54,
        _xlfn._xlws.FILTER(
            INDIRECT("'"&amp;J$62&amp;"'!A2:E1000"), (INDIRECT("'"&amp;J$62&amp;"'!B2:B1000")=$B54) * (INDIRECT("'"&amp;J$62&amp;"'!C2:C1000")=$C54)
        ),
        5,
        FALSE
    )=0,
    "",
    VLOOKUP(
        $A54,
        _xlfn._xlws.FILTER(
            INDIRECT("'"&amp;J$62&amp;"'!A2:E1000"), (INDIRECT("'"&amp;J$62&amp;"'!B2:B1000")=$B54) * (INDIRECT("'"&amp;J$62&amp;"'!C2:C1000")=$C54)
        ),
        5,
        FALSE
    )
)</f>
        <v>Enviado</v>
      </c>
      <c r="K54" s="75" t="str">
        <f t="array" aca="1" ref="K54" ca="1">IF(
    VLOOKUP(
        $A54,
        _xlfn._xlws.FILTER(
            INDIRECT("'"&amp;K$62&amp;"'!A2:E1000"), (INDIRECT("'"&amp;K$62&amp;"'!B2:B1000")=$B54) * (INDIRECT("'"&amp;K$62&amp;"'!C2:C1000")=$C54)
        ),
        5,
        FALSE
    )=0,
    "",
    VLOOKUP(
        $A54,
        _xlfn._xlws.FILTER(
            INDIRECT("'"&amp;K$62&amp;"'!A2:E1000"), (INDIRECT("'"&amp;K$62&amp;"'!B2:B1000")=$B54) * (INDIRECT("'"&amp;K$62&amp;"'!C2:C1000")=$C54)
        ),
        5,
        FALSE
    )
)</f>
        <v>Enviado</v>
      </c>
      <c r="L54" s="75" t="str">
        <f t="array" aca="1" ref="L54" ca="1">IF(
    VLOOKUP(
        $A54,
        _xlfn._xlws.FILTER(
            INDIRECT("'"&amp;L$62&amp;"'!A2:E1000"), (INDIRECT("'"&amp;L$62&amp;"'!B2:B1000")=$B54) * (INDIRECT("'"&amp;L$62&amp;"'!C2:C1000")=$C54)
        ),
        5,
        FALSE
    )=0,
    "",
    VLOOKUP(
        $A54,
        _xlfn._xlws.FILTER(
            INDIRECT("'"&amp;L$62&amp;"'!A2:E1000"), (INDIRECT("'"&amp;L$62&amp;"'!B2:B1000")=$B54) * (INDIRECT("'"&amp;L$62&amp;"'!C2:C1000")=$C54)
        ),
        5,
        FALSE
    )
)</f>
        <v>Enviado</v>
      </c>
      <c r="M54" s="75" t="str">
        <f t="array" aca="1" ref="M54" ca="1">IF(
    VLOOKUP(
        $A54,
        _xlfn._xlws.FILTER(
            INDIRECT("'"&amp;M$62&amp;"'!A2:E1000"), (INDIRECT("'"&amp;M$62&amp;"'!B2:B1000")=$B54) * (INDIRECT("'"&amp;M$62&amp;"'!C2:C1000")=$C54)
        ),
        5,
        FALSE
    )=0,
    "",
    VLOOKUP(
        $A54,
        _xlfn._xlws.FILTER(
            INDIRECT("'"&amp;M$62&amp;"'!A2:E1000"), (INDIRECT("'"&amp;M$62&amp;"'!B2:B1000")=$B54) * (INDIRECT("'"&amp;M$62&amp;"'!C2:C1000")=$C54)
        ),
        5,
        FALSE
    )
)</f>
        <v>Enviado</v>
      </c>
      <c r="N54" s="75" t="str">
        <f t="array" aca="1" ref="N54" ca="1">IF(
    VLOOKUP(
        $A54,
        _xlfn._xlws.FILTER(
            INDIRECT("'"&amp;N$62&amp;"'!A2:E1000"), (INDIRECT("'"&amp;N$62&amp;"'!B2:B1000")=$B54) * (INDIRECT("'"&amp;N$62&amp;"'!C2:C1000")=$C54)
        ),
        5,
        FALSE
    )=0,
    "",
    VLOOKUP(
        $A54,
        _xlfn._xlws.FILTER(
            INDIRECT("'"&amp;N$62&amp;"'!A2:E1000"), (INDIRECT("'"&amp;N$62&amp;"'!B2:B1000")=$B54) * (INDIRECT("'"&amp;N$62&amp;"'!C2:C1000")=$C54)
        ),
        5,
        FALSE
    )
)</f>
        <v/>
      </c>
      <c r="O54" s="75" t="str">
        <f t="array" aca="1" ref="O54" ca="1">IF(
    VLOOKUP(
        $A54,
        _xlfn._xlws.FILTER(
            INDIRECT("'"&amp;O$62&amp;"'!A2:E1000"), (INDIRECT("'"&amp;O$62&amp;"'!B2:B1000")=$B54) * (INDIRECT("'"&amp;O$62&amp;"'!C2:C1000")=$C54)
        ),
        5,
        FALSE
    )=0,
    "",
    VLOOKUP(
        $A54,
        _xlfn._xlws.FILTER(
            INDIRECT("'"&amp;O$62&amp;"'!A2:E1000"), (INDIRECT("'"&amp;O$62&amp;"'!B2:B1000")=$B54) * (INDIRECT("'"&amp;O$62&amp;"'!C2:C1000")=$C54)
        ),
        5,
        FALSE
    )
)</f>
        <v/>
      </c>
    </row>
    <row r="55" spans="1:20">
      <c r="A55" s="28" t="s">
        <v>42</v>
      </c>
      <c r="B55" s="60" t="s">
        <v>118</v>
      </c>
      <c r="C55" s="60" t="s">
        <v>75</v>
      </c>
      <c r="D55" s="75" t="str">
        <f t="array" aca="1" ref="D55" ca="1">IF(
    VLOOKUP(
        $A55,
        _xlfn._xlws.FILTER(
            INDIRECT("'"&amp;D$62&amp;"'!A2:E1000"), (INDIRECT("'"&amp;D$62&amp;"'!B2:B1000")=$B55) * (INDIRECT("'"&amp;D$62&amp;"'!C2:C1000")=$C55)
        ),
        5,
        FALSE
    )=0,
    "",
    VLOOKUP(
        $A55,
        _xlfn._xlws.FILTER(
            INDIRECT("'"&amp;D$62&amp;"'!A2:E1000"), (INDIRECT("'"&amp;D$62&amp;"'!B2:B1000")=$B55) * (INDIRECT("'"&amp;D$62&amp;"'!C2:C1000")=$C55)
        ),
        5,
        FALSE
    )
)</f>
        <v>Enviado</v>
      </c>
      <c r="E55" s="75" t="str">
        <f t="array" aca="1" ref="E55" ca="1">IF(
    VLOOKUP(
        $A55,
        _xlfn._xlws.FILTER(
            INDIRECT("'"&amp;E$62&amp;"'!A2:E1000"), (INDIRECT("'"&amp;E$62&amp;"'!B2:B1000")=$B55) * (INDIRECT("'"&amp;E$62&amp;"'!C2:C1000")=$C55)
        ),
        5,
        FALSE
    )=0,
    "",
    VLOOKUP(
        $A55,
        _xlfn._xlws.FILTER(
            INDIRECT("'"&amp;E$62&amp;"'!A2:E1000"), (INDIRECT("'"&amp;E$62&amp;"'!B2:B1000")=$B55) * (INDIRECT("'"&amp;E$62&amp;"'!C2:C1000")=$C55)
        ),
        5,
        FALSE
    )
)</f>
        <v>Enviado</v>
      </c>
      <c r="F55" s="75" t="str">
        <f t="array" aca="1" ref="F55" ca="1">IF(
    VLOOKUP(
        $A55,
        _xlfn._xlws.FILTER(
            INDIRECT("'"&amp;F$62&amp;"'!A2:E1000"), (INDIRECT("'"&amp;F$62&amp;"'!B2:B1000")=$B55) * (INDIRECT("'"&amp;F$62&amp;"'!C2:C1000")=$C55)
        ),
        5,
        FALSE
    )=0,
    "",
    VLOOKUP(
        $A55,
        _xlfn._xlws.FILTER(
            INDIRECT("'"&amp;F$62&amp;"'!A2:E1000"), (INDIRECT("'"&amp;F$62&amp;"'!B2:B1000")=$B55) * (INDIRECT("'"&amp;F$62&amp;"'!C2:C1000")=$C55)
        ),
        5,
        FALSE
    )
)</f>
        <v>Enviado</v>
      </c>
      <c r="G55" s="75" t="str">
        <f t="array" aca="1" ref="G55" ca="1">IF(
    VLOOKUP(
        $A55,
        _xlfn._xlws.FILTER(
            INDIRECT("'"&amp;G$62&amp;"'!A2:E1000"), (INDIRECT("'"&amp;G$62&amp;"'!B2:B1000")=$B55) * (INDIRECT("'"&amp;G$62&amp;"'!C2:C1000")=$C55)
        ),
        5,
        FALSE
    )=0,
    "",
    VLOOKUP(
        $A55,
        _xlfn._xlws.FILTER(
            INDIRECT("'"&amp;G$62&amp;"'!A2:E1000"), (INDIRECT("'"&amp;G$62&amp;"'!B2:B1000")=$B55) * (INDIRECT("'"&amp;G$62&amp;"'!C2:C1000")=$C55)
        ),
        5,
        FALSE
    )
)</f>
        <v>Enviado</v>
      </c>
      <c r="H55" s="75" t="str">
        <f t="array" aca="1" ref="H55" ca="1">IF(
    VLOOKUP(
        $A55,
        _xlfn._xlws.FILTER(
            INDIRECT("'"&amp;H$62&amp;"'!A2:E1000"), (INDIRECT("'"&amp;H$62&amp;"'!B2:B1000")=$B55) * (INDIRECT("'"&amp;H$62&amp;"'!C2:C1000")=$C55)
        ),
        5,
        FALSE
    )=0,
    "",
    VLOOKUP(
        $A55,
        _xlfn._xlws.FILTER(
            INDIRECT("'"&amp;H$62&amp;"'!A2:E1000"), (INDIRECT("'"&amp;H$62&amp;"'!B2:B1000")=$B55) * (INDIRECT("'"&amp;H$62&amp;"'!C2:C1000")=$C55)
        ),
        5,
        FALSE
    )
)</f>
        <v>Enviado</v>
      </c>
      <c r="I55" s="75" t="str">
        <f t="array" aca="1" ref="I55" ca="1">IF(
    VLOOKUP(
        $A55,
        _xlfn._xlws.FILTER(
            INDIRECT("'"&amp;I$62&amp;"'!A2:E1000"), (INDIRECT("'"&amp;I$62&amp;"'!B2:B1000")=$B55) * (INDIRECT("'"&amp;I$62&amp;"'!C2:C1000")=$C55)
        ),
        5,
        FALSE
    )=0,
    "",
    VLOOKUP(
        $A55,
        _xlfn._xlws.FILTER(
            INDIRECT("'"&amp;I$62&amp;"'!A2:E1000"), (INDIRECT("'"&amp;I$62&amp;"'!B2:B1000")=$B55) * (INDIRECT("'"&amp;I$62&amp;"'!C2:C1000")=$C55)
        ),
        5,
        FALSE
    )
)</f>
        <v>Enviado</v>
      </c>
      <c r="J55" s="75" t="str">
        <f t="array" aca="1" ref="J55" ca="1">IF(
    VLOOKUP(
        $A55,
        _xlfn._xlws.FILTER(
            INDIRECT("'"&amp;J$62&amp;"'!A2:E1000"), (INDIRECT("'"&amp;J$62&amp;"'!B2:B1000")=$B55) * (INDIRECT("'"&amp;J$62&amp;"'!C2:C1000")=$C55)
        ),
        5,
        FALSE
    )=0,
    "",
    VLOOKUP(
        $A55,
        _xlfn._xlws.FILTER(
            INDIRECT("'"&amp;J$62&amp;"'!A2:E1000"), (INDIRECT("'"&amp;J$62&amp;"'!B2:B1000")=$B55) * (INDIRECT("'"&amp;J$62&amp;"'!C2:C1000")=$C55)
        ),
        5,
        FALSE
    )
)</f>
        <v>Enviado</v>
      </c>
      <c r="K55" s="75" t="str">
        <f t="array" aca="1" ref="K55" ca="1">IF(
    VLOOKUP(
        $A55,
        _xlfn._xlws.FILTER(
            INDIRECT("'"&amp;K$62&amp;"'!A2:E1000"), (INDIRECT("'"&amp;K$62&amp;"'!B2:B1000")=$B55) * (INDIRECT("'"&amp;K$62&amp;"'!C2:C1000")=$C55)
        ),
        5,
        FALSE
    )=0,
    "",
    VLOOKUP(
        $A55,
        _xlfn._xlws.FILTER(
            INDIRECT("'"&amp;K$62&amp;"'!A2:E1000"), (INDIRECT("'"&amp;K$62&amp;"'!B2:B1000")=$B55) * (INDIRECT("'"&amp;K$62&amp;"'!C2:C1000")=$C55)
        ),
        5,
        FALSE
    )
)</f>
        <v>Enviado</v>
      </c>
      <c r="L55" s="75" t="str">
        <f t="array" aca="1" ref="L55" ca="1">IF(
    VLOOKUP(
        $A55,
        _xlfn._xlws.FILTER(
            INDIRECT("'"&amp;L$62&amp;"'!A2:E1000"), (INDIRECT("'"&amp;L$62&amp;"'!B2:B1000")=$B55) * (INDIRECT("'"&amp;L$62&amp;"'!C2:C1000")=$C55)
        ),
        5,
        FALSE
    )=0,
    "",
    VLOOKUP(
        $A55,
        _xlfn._xlws.FILTER(
            INDIRECT("'"&amp;L$62&amp;"'!A2:E1000"), (INDIRECT("'"&amp;L$62&amp;"'!B2:B1000")=$B55) * (INDIRECT("'"&amp;L$62&amp;"'!C2:C1000")=$C55)
        ),
        5,
        FALSE
    )
)</f>
        <v>Enviado</v>
      </c>
      <c r="M55" s="75" t="str">
        <f t="array" aca="1" ref="M55" ca="1">IF(
    VLOOKUP(
        $A55,
        _xlfn._xlws.FILTER(
            INDIRECT("'"&amp;M$62&amp;"'!A2:E1000"), (INDIRECT("'"&amp;M$62&amp;"'!B2:B1000")=$B55) * (INDIRECT("'"&amp;M$62&amp;"'!C2:C1000")=$C55)
        ),
        5,
        FALSE
    )=0,
    "",
    VLOOKUP(
        $A55,
        _xlfn._xlws.FILTER(
            INDIRECT("'"&amp;M$62&amp;"'!A2:E1000"), (INDIRECT("'"&amp;M$62&amp;"'!B2:B1000")=$B55) * (INDIRECT("'"&amp;M$62&amp;"'!C2:C1000")=$C55)
        ),
        5,
        FALSE
    )
)</f>
        <v>Enviado</v>
      </c>
      <c r="N55" s="75" t="str">
        <f t="array" aca="1" ref="N55" ca="1">IF(
    VLOOKUP(
        $A55,
        _xlfn._xlws.FILTER(
            INDIRECT("'"&amp;N$62&amp;"'!A2:E1000"), (INDIRECT("'"&amp;N$62&amp;"'!B2:B1000")=$B55) * (INDIRECT("'"&amp;N$62&amp;"'!C2:C1000")=$C55)
        ),
        5,
        FALSE
    )=0,
    "",
    VLOOKUP(
        $A55,
        _xlfn._xlws.FILTER(
            INDIRECT("'"&amp;N$62&amp;"'!A2:E1000"), (INDIRECT("'"&amp;N$62&amp;"'!B2:B1000")=$B55) * (INDIRECT("'"&amp;N$62&amp;"'!C2:C1000")=$C55)
        ),
        5,
        FALSE
    )
)</f>
        <v/>
      </c>
      <c r="O55" s="75" t="str">
        <f t="array" aca="1" ref="O55" ca="1">IF(
    VLOOKUP(
        $A55,
        _xlfn._xlws.FILTER(
            INDIRECT("'"&amp;O$62&amp;"'!A2:E1000"), (INDIRECT("'"&amp;O$62&amp;"'!B2:B1000")=$B55) * (INDIRECT("'"&amp;O$62&amp;"'!C2:C1000")=$C55)
        ),
        5,
        FALSE
    )=0,
    "",
    VLOOKUP(
        $A55,
        _xlfn._xlws.FILTER(
            INDIRECT("'"&amp;O$62&amp;"'!A2:E1000"), (INDIRECT("'"&amp;O$62&amp;"'!B2:B1000")=$B55) * (INDIRECT("'"&amp;O$62&amp;"'!C2:C1000")=$C55)
        ),
        5,
        FALSE
    )
)</f>
        <v/>
      </c>
    </row>
    <row r="56" spans="1:20">
      <c r="A56" s="28" t="s">
        <v>42</v>
      </c>
      <c r="B56" s="60" t="s">
        <v>119</v>
      </c>
      <c r="C56" s="60" t="s">
        <v>75</v>
      </c>
      <c r="D56" s="75" t="str">
        <f t="array" aca="1" ref="D56" ca="1">IF(
    VLOOKUP(
        $A56,
        _xlfn._xlws.FILTER(
            INDIRECT("'"&amp;D$62&amp;"'!A2:E1000"), (INDIRECT("'"&amp;D$62&amp;"'!B2:B1000")=$B56) * (INDIRECT("'"&amp;D$62&amp;"'!C2:C1000")=$C56)
        ),
        5,
        FALSE
    )=0,
    "",
    VLOOKUP(
        $A56,
        _xlfn._xlws.FILTER(
            INDIRECT("'"&amp;D$62&amp;"'!A2:E1000"), (INDIRECT("'"&amp;D$62&amp;"'!B2:B1000")=$B56) * (INDIRECT("'"&amp;D$62&amp;"'!C2:C1000")=$C56)
        ),
        5,
        FALSE
    )
)</f>
        <v>Enviado</v>
      </c>
      <c r="E56" s="75" t="str">
        <f t="array" aca="1" ref="E56" ca="1">IF(
    VLOOKUP(
        $A56,
        _xlfn._xlws.FILTER(
            INDIRECT("'"&amp;E$62&amp;"'!A2:E1000"), (INDIRECT("'"&amp;E$62&amp;"'!B2:B1000")=$B56) * (INDIRECT("'"&amp;E$62&amp;"'!C2:C1000")=$C56)
        ),
        5,
        FALSE
    )=0,
    "",
    VLOOKUP(
        $A56,
        _xlfn._xlws.FILTER(
            INDIRECT("'"&amp;E$62&amp;"'!A2:E1000"), (INDIRECT("'"&amp;E$62&amp;"'!B2:B1000")=$B56) * (INDIRECT("'"&amp;E$62&amp;"'!C2:C1000")=$C56)
        ),
        5,
        FALSE
    )
)</f>
        <v>Enviado</v>
      </c>
      <c r="F56" s="75" t="str">
        <f t="array" aca="1" ref="F56" ca="1">IF(
    VLOOKUP(
        $A56,
        _xlfn._xlws.FILTER(
            INDIRECT("'"&amp;F$62&amp;"'!A2:E1000"), (INDIRECT("'"&amp;F$62&amp;"'!B2:B1000")=$B56) * (INDIRECT("'"&amp;F$62&amp;"'!C2:C1000")=$C56)
        ),
        5,
        FALSE
    )=0,
    "",
    VLOOKUP(
        $A56,
        _xlfn._xlws.FILTER(
            INDIRECT("'"&amp;F$62&amp;"'!A2:E1000"), (INDIRECT("'"&amp;F$62&amp;"'!B2:B1000")=$B56) * (INDIRECT("'"&amp;F$62&amp;"'!C2:C1000")=$C56)
        ),
        5,
        FALSE
    )
)</f>
        <v>Enviado</v>
      </c>
      <c r="G56" s="75" t="str">
        <f t="array" aca="1" ref="G56" ca="1">IF(
    VLOOKUP(
        $A56,
        _xlfn._xlws.FILTER(
            INDIRECT("'"&amp;G$62&amp;"'!A2:E1000"), (INDIRECT("'"&amp;G$62&amp;"'!B2:B1000")=$B56) * (INDIRECT("'"&amp;G$62&amp;"'!C2:C1000")=$C56)
        ),
        5,
        FALSE
    )=0,
    "",
    VLOOKUP(
        $A56,
        _xlfn._xlws.FILTER(
            INDIRECT("'"&amp;G$62&amp;"'!A2:E1000"), (INDIRECT("'"&amp;G$62&amp;"'!B2:B1000")=$B56) * (INDIRECT("'"&amp;G$62&amp;"'!C2:C1000")=$C56)
        ),
        5,
        FALSE
    )
)</f>
        <v>Enviado</v>
      </c>
      <c r="H56" s="75" t="str">
        <f t="array" aca="1" ref="H56" ca="1">IF(
    VLOOKUP(
        $A56,
        _xlfn._xlws.FILTER(
            INDIRECT("'"&amp;H$62&amp;"'!A2:E1000"), (INDIRECT("'"&amp;H$62&amp;"'!B2:B1000")=$B56) * (INDIRECT("'"&amp;H$62&amp;"'!C2:C1000")=$C56)
        ),
        5,
        FALSE
    )=0,
    "",
    VLOOKUP(
        $A56,
        _xlfn._xlws.FILTER(
            INDIRECT("'"&amp;H$62&amp;"'!A2:E1000"), (INDIRECT("'"&amp;H$62&amp;"'!B2:B1000")=$B56) * (INDIRECT("'"&amp;H$62&amp;"'!C2:C1000")=$C56)
        ),
        5,
        FALSE
    )
)</f>
        <v>Enviado</v>
      </c>
      <c r="I56" s="75" t="str">
        <f t="array" aca="1" ref="I56" ca="1">IF(
    VLOOKUP(
        $A56,
        _xlfn._xlws.FILTER(
            INDIRECT("'"&amp;I$62&amp;"'!A2:E1000"), (INDIRECT("'"&amp;I$62&amp;"'!B2:B1000")=$B56) * (INDIRECT("'"&amp;I$62&amp;"'!C2:C1000")=$C56)
        ),
        5,
        FALSE
    )=0,
    "",
    VLOOKUP(
        $A56,
        _xlfn._xlws.FILTER(
            INDIRECT("'"&amp;I$62&amp;"'!A2:E1000"), (INDIRECT("'"&amp;I$62&amp;"'!B2:B1000")=$B56) * (INDIRECT("'"&amp;I$62&amp;"'!C2:C1000")=$C56)
        ),
        5,
        FALSE
    )
)</f>
        <v>Enviado</v>
      </c>
      <c r="J56" s="75" t="s">
        <v>14</v>
      </c>
      <c r="K56" s="75" t="str">
        <f t="array" aca="1" ref="K56" ca="1">IF(
    VLOOKUP(
        $A56,
        _xlfn._xlws.FILTER(
            INDIRECT("'"&amp;K$62&amp;"'!A2:E1000"), (INDIRECT("'"&amp;K$62&amp;"'!B2:B1000")=$B56) * (INDIRECT("'"&amp;K$62&amp;"'!C2:C1000")=$C56)
        ),
        5,
        FALSE
    )=0,
    "",
    VLOOKUP(
        $A56,
        _xlfn._xlws.FILTER(
            INDIRECT("'"&amp;K$62&amp;"'!A2:E1000"), (INDIRECT("'"&amp;K$62&amp;"'!B2:B1000")=$B56) * (INDIRECT("'"&amp;K$62&amp;"'!C2:C1000")=$C56)
        ),
        5,
        FALSE
    )
)</f>
        <v>Enviado</v>
      </c>
      <c r="L56" s="75" t="str">
        <f t="array" aca="1" ref="L56" ca="1">IF(
    VLOOKUP(
        $A56,
        _xlfn._xlws.FILTER(
            INDIRECT("'"&amp;L$62&amp;"'!A2:E1000"), (INDIRECT("'"&amp;L$62&amp;"'!B2:B1000")=$B56) * (INDIRECT("'"&amp;L$62&amp;"'!C2:C1000")=$C56)
        ),
        5,
        FALSE
    )=0,
    "",
    VLOOKUP(
        $A56,
        _xlfn._xlws.FILTER(
            INDIRECT("'"&amp;L$62&amp;"'!A2:E1000"), (INDIRECT("'"&amp;L$62&amp;"'!B2:B1000")=$B56) * (INDIRECT("'"&amp;L$62&amp;"'!C2:C1000")=$C56)
        ),
        5,
        FALSE
    )
)</f>
        <v>Enviado</v>
      </c>
      <c r="M56" s="75" t="str">
        <f t="array" aca="1" ref="M56" ca="1">IF(
    VLOOKUP(
        $A56,
        _xlfn._xlws.FILTER(
            INDIRECT("'"&amp;M$62&amp;"'!A2:E1000"), (INDIRECT("'"&amp;M$62&amp;"'!B2:B1000")=$B56) * (INDIRECT("'"&amp;M$62&amp;"'!C2:C1000")=$C56)
        ),
        5,
        FALSE
    )=0,
    "",
    VLOOKUP(
        $A56,
        _xlfn._xlws.FILTER(
            INDIRECT("'"&amp;M$62&amp;"'!A2:E1000"), (INDIRECT("'"&amp;M$62&amp;"'!B2:B1000")=$B56) * (INDIRECT("'"&amp;M$62&amp;"'!C2:C1000")=$C56)
        ),
        5,
        FALSE
    )
)</f>
        <v>Enviado</v>
      </c>
      <c r="N56" s="75" t="str">
        <f t="array" aca="1" ref="N56" ca="1">IF(
    VLOOKUP(
        $A56,
        _xlfn._xlws.FILTER(
            INDIRECT("'"&amp;N$62&amp;"'!A2:E1000"), (INDIRECT("'"&amp;N$62&amp;"'!B2:B1000")=$B56) * (INDIRECT("'"&amp;N$62&amp;"'!C2:C1000")=$C56)
        ),
        5,
        FALSE
    )=0,
    "",
    VLOOKUP(
        $A56,
        _xlfn._xlws.FILTER(
            INDIRECT("'"&amp;N$62&amp;"'!A2:E1000"), (INDIRECT("'"&amp;N$62&amp;"'!B2:B1000")=$B56) * (INDIRECT("'"&amp;N$62&amp;"'!C2:C1000")=$C56)
        ),
        5,
        FALSE
    )
)</f>
        <v/>
      </c>
      <c r="O56" s="75" t="str">
        <f t="array" aca="1" ref="O56" ca="1">IF(
    VLOOKUP(
        $A56,
        _xlfn._xlws.FILTER(
            INDIRECT("'"&amp;O$62&amp;"'!A2:E1000"), (INDIRECT("'"&amp;O$62&amp;"'!B2:B1000")=$B56) * (INDIRECT("'"&amp;O$62&amp;"'!C2:C1000")=$C56)
        ),
        5,
        FALSE
    )=0,
    "",
    VLOOKUP(
        $A56,
        _xlfn._xlws.FILTER(
            INDIRECT("'"&amp;O$62&amp;"'!A2:E1000"), (INDIRECT("'"&amp;O$62&amp;"'!B2:B1000")=$B56) * (INDIRECT("'"&amp;O$62&amp;"'!C2:C1000")=$C56)
        ),
        5,
        FALSE
    )
)</f>
        <v/>
      </c>
    </row>
    <row r="57" spans="1:20">
      <c r="A57" s="28" t="s">
        <v>42</v>
      </c>
      <c r="B57" s="60" t="s">
        <v>120</v>
      </c>
      <c r="C57" s="60" t="s">
        <v>75</v>
      </c>
      <c r="D57" s="75" t="str">
        <f t="array" aca="1" ref="D57" ca="1">IF(
    VLOOKUP(
        $A57,
        _xlfn._xlws.FILTER(
            INDIRECT("'"&amp;D$62&amp;"'!A2:E1000"), (INDIRECT("'"&amp;D$62&amp;"'!B2:B1000")=$B57) * (INDIRECT("'"&amp;D$62&amp;"'!C2:C1000")=$C57)
        ),
        5,
        FALSE
    )=0,
    "",
    VLOOKUP(
        $A57,
        _xlfn._xlws.FILTER(
            INDIRECT("'"&amp;D$62&amp;"'!A2:E1000"), (INDIRECT("'"&amp;D$62&amp;"'!B2:B1000")=$B57) * (INDIRECT("'"&amp;D$62&amp;"'!C2:C1000")=$C57)
        ),
        5,
        FALSE
    )
)</f>
        <v>Enviado</v>
      </c>
      <c r="E57" s="75" t="str">
        <f t="array" aca="1" ref="E57" ca="1">IF(
    VLOOKUP(
        $A57,
        _xlfn._xlws.FILTER(
            INDIRECT("'"&amp;E$62&amp;"'!A2:E1000"), (INDIRECT("'"&amp;E$62&amp;"'!B2:B1000")=$B57) * (INDIRECT("'"&amp;E$62&amp;"'!C2:C1000")=$C57)
        ),
        5,
        FALSE
    )=0,
    "",
    VLOOKUP(
        $A57,
        _xlfn._xlws.FILTER(
            INDIRECT("'"&amp;E$62&amp;"'!A2:E1000"), (INDIRECT("'"&amp;E$62&amp;"'!B2:B1000")=$B57) * (INDIRECT("'"&amp;E$62&amp;"'!C2:C1000")=$C57)
        ),
        5,
        FALSE
    )
)</f>
        <v>Enviado</v>
      </c>
      <c r="F57" s="75" t="str">
        <f t="array" aca="1" ref="F57" ca="1">IF(
    VLOOKUP(
        $A57,
        _xlfn._xlws.FILTER(
            INDIRECT("'"&amp;F$62&amp;"'!A2:E1000"), (INDIRECT("'"&amp;F$62&amp;"'!B2:B1000")=$B57) * (INDIRECT("'"&amp;F$62&amp;"'!C2:C1000")=$C57)
        ),
        5,
        FALSE
    )=0,
    "",
    VLOOKUP(
        $A57,
        _xlfn._xlws.FILTER(
            INDIRECT("'"&amp;F$62&amp;"'!A2:E1000"), (INDIRECT("'"&amp;F$62&amp;"'!B2:B1000")=$B57) * (INDIRECT("'"&amp;F$62&amp;"'!C2:C1000")=$C57)
        ),
        5,
        FALSE
    )
)</f>
        <v>Enviado</v>
      </c>
      <c r="G57" s="75" t="str">
        <f t="array" aca="1" ref="G57" ca="1">IF(
    VLOOKUP(
        $A57,
        _xlfn._xlws.FILTER(
            INDIRECT("'"&amp;G$62&amp;"'!A2:E1000"), (INDIRECT("'"&amp;G$62&amp;"'!B2:B1000")=$B57) * (INDIRECT("'"&amp;G$62&amp;"'!C2:C1000")=$C57)
        ),
        5,
        FALSE
    )=0,
    "",
    VLOOKUP(
        $A57,
        _xlfn._xlws.FILTER(
            INDIRECT("'"&amp;G$62&amp;"'!A2:E1000"), (INDIRECT("'"&amp;G$62&amp;"'!B2:B1000")=$B57) * (INDIRECT("'"&amp;G$62&amp;"'!C2:C1000")=$C57)
        ),
        5,
        FALSE
    )
)</f>
        <v>Enviado</v>
      </c>
      <c r="H57" s="75" t="str">
        <f t="array" aca="1" ref="H57" ca="1">IF(
    VLOOKUP(
        $A57,
        _xlfn._xlws.FILTER(
            INDIRECT("'"&amp;H$62&amp;"'!A2:E1000"), (INDIRECT("'"&amp;H$62&amp;"'!B2:B1000")=$B57) * (INDIRECT("'"&amp;H$62&amp;"'!C2:C1000")=$C57)
        ),
        5,
        FALSE
    )=0,
    "",
    VLOOKUP(
        $A57,
        _xlfn._xlws.FILTER(
            INDIRECT("'"&amp;H$62&amp;"'!A2:E1000"), (INDIRECT("'"&amp;H$62&amp;"'!B2:B1000")=$B57) * (INDIRECT("'"&amp;H$62&amp;"'!C2:C1000")=$C57)
        ),
        5,
        FALSE
    )
)</f>
        <v>Enviado</v>
      </c>
      <c r="I57" s="75" t="str">
        <f t="array" aca="1" ref="I57" ca="1">IF(
    VLOOKUP(
        $A57,
        _xlfn._xlws.FILTER(
            INDIRECT("'"&amp;I$62&amp;"'!A2:E1000"), (INDIRECT("'"&amp;I$62&amp;"'!B2:B1000")=$B57) * (INDIRECT("'"&amp;I$62&amp;"'!C2:C1000")=$C57)
        ),
        5,
        FALSE
    )=0,
    "",
    VLOOKUP(
        $A57,
        _xlfn._xlws.FILTER(
            INDIRECT("'"&amp;I$62&amp;"'!A2:E1000"), (INDIRECT("'"&amp;I$62&amp;"'!B2:B1000")=$B57) * (INDIRECT("'"&amp;I$62&amp;"'!C2:C1000")=$C57)
        ),
        5,
        FALSE
    )
)</f>
        <v>Enviado</v>
      </c>
      <c r="J57" s="75" t="str">
        <f t="array" aca="1" ref="J57" ca="1">IF(
    VLOOKUP(
        $A57,
        _xlfn._xlws.FILTER(
            INDIRECT("'"&amp;J$62&amp;"'!A2:E1000"), (INDIRECT("'"&amp;J$62&amp;"'!B2:B1000")=$B57) * (INDIRECT("'"&amp;J$62&amp;"'!C2:C1000")=$C57)
        ),
        5,
        FALSE
    )=0,
    "",
    VLOOKUP(
        $A57,
        _xlfn._xlws.FILTER(
            INDIRECT("'"&amp;J$62&amp;"'!A2:E1000"), (INDIRECT("'"&amp;J$62&amp;"'!B2:B1000")=$B57) * (INDIRECT("'"&amp;J$62&amp;"'!C2:C1000")=$C57)
        ),
        5,
        FALSE
    )
)</f>
        <v>Enviado</v>
      </c>
      <c r="K57" s="75" t="str">
        <f t="array" aca="1" ref="K57" ca="1">IF(
    VLOOKUP(
        $A57,
        _xlfn._xlws.FILTER(
            INDIRECT("'"&amp;K$62&amp;"'!A2:E1000"), (INDIRECT("'"&amp;K$62&amp;"'!B2:B1000")=$B57) * (INDIRECT("'"&amp;K$62&amp;"'!C2:C1000")=$C57)
        ),
        5,
        FALSE
    )=0,
    "",
    VLOOKUP(
        $A57,
        _xlfn._xlws.FILTER(
            INDIRECT("'"&amp;K$62&amp;"'!A2:E1000"), (INDIRECT("'"&amp;K$62&amp;"'!B2:B1000")=$B57) * (INDIRECT("'"&amp;K$62&amp;"'!C2:C1000")=$C57)
        ),
        5,
        FALSE
    )
)</f>
        <v>Enviado</v>
      </c>
      <c r="L57" s="75" t="str">
        <f t="array" aca="1" ref="L57" ca="1">IF(
    VLOOKUP(
        $A57,
        _xlfn._xlws.FILTER(
            INDIRECT("'"&amp;L$62&amp;"'!A2:E1000"), (INDIRECT("'"&amp;L$62&amp;"'!B2:B1000")=$B57) * (INDIRECT("'"&amp;L$62&amp;"'!C2:C1000")=$C57)
        ),
        5,
        FALSE
    )=0,
    "",
    VLOOKUP(
        $A57,
        _xlfn._xlws.FILTER(
            INDIRECT("'"&amp;L$62&amp;"'!A2:E1000"), (INDIRECT("'"&amp;L$62&amp;"'!B2:B1000")=$B57) * (INDIRECT("'"&amp;L$62&amp;"'!C2:C1000")=$C57)
        ),
        5,
        FALSE
    )
)</f>
        <v>Enviado</v>
      </c>
      <c r="M57" s="75" t="str">
        <f t="array" aca="1" ref="M57" ca="1">IF(
    VLOOKUP(
        $A57,
        _xlfn._xlws.FILTER(
            INDIRECT("'"&amp;M$62&amp;"'!A2:E1000"), (INDIRECT("'"&amp;M$62&amp;"'!B2:B1000")=$B57) * (INDIRECT("'"&amp;M$62&amp;"'!C2:C1000")=$C57)
        ),
        5,
        FALSE
    )=0,
    "",
    VLOOKUP(
        $A57,
        _xlfn._xlws.FILTER(
            INDIRECT("'"&amp;M$62&amp;"'!A2:E1000"), (INDIRECT("'"&amp;M$62&amp;"'!B2:B1000")=$B57) * (INDIRECT("'"&amp;M$62&amp;"'!C2:C1000")=$C57)
        ),
        5,
        FALSE
    )
)</f>
        <v>Enviado</v>
      </c>
      <c r="N57" s="75" t="str">
        <f t="array" aca="1" ref="N57" ca="1">IF(
    VLOOKUP(
        $A57,
        _xlfn._xlws.FILTER(
            INDIRECT("'"&amp;N$62&amp;"'!A2:E1000"), (INDIRECT("'"&amp;N$62&amp;"'!B2:B1000")=$B57) * (INDIRECT("'"&amp;N$62&amp;"'!C2:C1000")=$C57)
        ),
        5,
        FALSE
    )=0,
    "",
    VLOOKUP(
        $A57,
        _xlfn._xlws.FILTER(
            INDIRECT("'"&amp;N$62&amp;"'!A2:E1000"), (INDIRECT("'"&amp;N$62&amp;"'!B2:B1000")=$B57) * (INDIRECT("'"&amp;N$62&amp;"'!C2:C1000")=$C57)
        ),
        5,
        FALSE
    )
)</f>
        <v/>
      </c>
      <c r="O57" s="75" t="str">
        <f t="array" aca="1" ref="O57" ca="1">IF(
    VLOOKUP(
        $A57,
        _xlfn._xlws.FILTER(
            INDIRECT("'"&amp;O$62&amp;"'!A2:E1000"), (INDIRECT("'"&amp;O$62&amp;"'!B2:B1000")=$B57) * (INDIRECT("'"&amp;O$62&amp;"'!C2:C1000")=$C57)
        ),
        5,
        FALSE
    )=0,
    "",
    VLOOKUP(
        $A57,
        _xlfn._xlws.FILTER(
            INDIRECT("'"&amp;O$62&amp;"'!A2:E1000"), (INDIRECT("'"&amp;O$62&amp;"'!B2:B1000")=$B57) * (INDIRECT("'"&amp;O$62&amp;"'!C2:C1000")=$C57)
        ),
        5,
        FALSE
    )
)</f>
        <v/>
      </c>
    </row>
    <row r="58" spans="1:20">
      <c r="A58" s="28" t="s">
        <v>42</v>
      </c>
      <c r="B58" s="60" t="s">
        <v>121</v>
      </c>
      <c r="C58" s="60" t="s">
        <v>75</v>
      </c>
      <c r="D58" s="75" t="str">
        <f t="array" aca="1" ref="D58" ca="1">IF(
    VLOOKUP(
        $A58,
        _xlfn._xlws.FILTER(
            INDIRECT("'"&amp;D$62&amp;"'!A2:E1000"), (INDIRECT("'"&amp;D$62&amp;"'!B2:B1000")=$B58) * (INDIRECT("'"&amp;D$62&amp;"'!C2:C1000")=$C58)
        ),
        5,
        FALSE
    )=0,
    "",
    VLOOKUP(
        $A58,
        _xlfn._xlws.FILTER(
            INDIRECT("'"&amp;D$62&amp;"'!A2:E1000"), (INDIRECT("'"&amp;D$62&amp;"'!B2:B1000")=$B58) * (INDIRECT("'"&amp;D$62&amp;"'!C2:C1000")=$C58)
        ),
        5,
        FALSE
    )
)</f>
        <v>Enviado</v>
      </c>
      <c r="E58" s="75" t="str">
        <f t="array" aca="1" ref="E58" ca="1">IF(
    VLOOKUP(
        $A58,
        _xlfn._xlws.FILTER(
            INDIRECT("'"&amp;E$62&amp;"'!A2:E1000"), (INDIRECT("'"&amp;E$62&amp;"'!B2:B1000")=$B58) * (INDIRECT("'"&amp;E$62&amp;"'!C2:C1000")=$C58)
        ),
        5,
        FALSE
    )=0,
    "",
    VLOOKUP(
        $A58,
        _xlfn._xlws.FILTER(
            INDIRECT("'"&amp;E$62&amp;"'!A2:E1000"), (INDIRECT("'"&amp;E$62&amp;"'!B2:B1000")=$B58) * (INDIRECT("'"&amp;E$62&amp;"'!C2:C1000")=$C58)
        ),
        5,
        FALSE
    )
)</f>
        <v>Enviado</v>
      </c>
      <c r="F58" s="75" t="str">
        <f t="array" aca="1" ref="F58" ca="1">IF(
    VLOOKUP(
        $A58,
        _xlfn._xlws.FILTER(
            INDIRECT("'"&amp;F$62&amp;"'!A2:E1000"), (INDIRECT("'"&amp;F$62&amp;"'!B2:B1000")=$B58) * (INDIRECT("'"&amp;F$62&amp;"'!C2:C1000")=$C58)
        ),
        5,
        FALSE
    )=0,
    "",
    VLOOKUP(
        $A58,
        _xlfn._xlws.FILTER(
            INDIRECT("'"&amp;F$62&amp;"'!A2:E1000"), (INDIRECT("'"&amp;F$62&amp;"'!B2:B1000")=$B58) * (INDIRECT("'"&amp;F$62&amp;"'!C2:C1000")=$C58)
        ),
        5,
        FALSE
    )
)</f>
        <v>Enviado</v>
      </c>
      <c r="G58" s="75" t="str">
        <f t="array" aca="1" ref="G58" ca="1">IF(
    VLOOKUP(
        $A58,
        _xlfn._xlws.FILTER(
            INDIRECT("'"&amp;G$62&amp;"'!A2:E1000"), (INDIRECT("'"&amp;G$62&amp;"'!B2:B1000")=$B58) * (INDIRECT("'"&amp;G$62&amp;"'!C2:C1000")=$C58)
        ),
        5,
        FALSE
    )=0,
    "",
    VLOOKUP(
        $A58,
        _xlfn._xlws.FILTER(
            INDIRECT("'"&amp;G$62&amp;"'!A2:E1000"), (INDIRECT("'"&amp;G$62&amp;"'!B2:B1000")=$B58) * (INDIRECT("'"&amp;G$62&amp;"'!C2:C1000")=$C58)
        ),
        5,
        FALSE
    )
)</f>
        <v>Enviado</v>
      </c>
      <c r="H58" s="75" t="str">
        <f t="array" aca="1" ref="H58" ca="1">IF(
    VLOOKUP(
        $A58,
        _xlfn._xlws.FILTER(
            INDIRECT("'"&amp;H$62&amp;"'!A2:E1000"), (INDIRECT("'"&amp;H$62&amp;"'!B2:B1000")=$B58) * (INDIRECT("'"&amp;H$62&amp;"'!C2:C1000")=$C58)
        ),
        5,
        FALSE
    )=0,
    "",
    VLOOKUP(
        $A58,
        _xlfn._xlws.FILTER(
            INDIRECT("'"&amp;H$62&amp;"'!A2:E1000"), (INDIRECT("'"&amp;H$62&amp;"'!B2:B1000")=$B58) * (INDIRECT("'"&amp;H$62&amp;"'!C2:C1000")=$C58)
        ),
        5,
        FALSE
    )
)</f>
        <v>Enviado</v>
      </c>
      <c r="I58" s="75" t="str">
        <f t="array" aca="1" ref="I58" ca="1">IF(
    VLOOKUP(
        $A58,
        _xlfn._xlws.FILTER(
            INDIRECT("'"&amp;I$62&amp;"'!A2:E1000"), (INDIRECT("'"&amp;I$62&amp;"'!B2:B1000")=$B58) * (INDIRECT("'"&amp;I$62&amp;"'!C2:C1000")=$C58)
        ),
        5,
        FALSE
    )=0,
    "",
    VLOOKUP(
        $A58,
        _xlfn._xlws.FILTER(
            INDIRECT("'"&amp;I$62&amp;"'!A2:E1000"), (INDIRECT("'"&amp;I$62&amp;"'!B2:B1000")=$B58) * (INDIRECT("'"&amp;I$62&amp;"'!C2:C1000")=$C58)
        ),
        5,
        FALSE
    )
)</f>
        <v>Enviado</v>
      </c>
      <c r="J58" s="75" t="str">
        <f t="array" aca="1" ref="J58" ca="1">IF(
    VLOOKUP(
        $A58,
        _xlfn._xlws.FILTER(
            INDIRECT("'"&amp;J$62&amp;"'!A2:E1000"), (INDIRECT("'"&amp;J$62&amp;"'!B2:B1000")=$B58) * (INDIRECT("'"&amp;J$62&amp;"'!C2:C1000")=$C58)
        ),
        5,
        FALSE
    )=0,
    "",
    VLOOKUP(
        $A58,
        _xlfn._xlws.FILTER(
            INDIRECT("'"&amp;J$62&amp;"'!A2:E1000"), (INDIRECT("'"&amp;J$62&amp;"'!B2:B1000")=$B58) * (INDIRECT("'"&amp;J$62&amp;"'!C2:C1000")=$C58)
        ),
        5,
        FALSE
    )
)</f>
        <v>Enviado</v>
      </c>
      <c r="K58" s="75" t="str">
        <f t="array" aca="1" ref="K58" ca="1">IF(
    VLOOKUP(
        $A58,
        _xlfn._xlws.FILTER(
            INDIRECT("'"&amp;K$62&amp;"'!A2:E1000"), (INDIRECT("'"&amp;K$62&amp;"'!B2:B1000")=$B58) * (INDIRECT("'"&amp;K$62&amp;"'!C2:C1000")=$C58)
        ),
        5,
        FALSE
    )=0,
    "",
    VLOOKUP(
        $A58,
        _xlfn._xlws.FILTER(
            INDIRECT("'"&amp;K$62&amp;"'!A2:E1000"), (INDIRECT("'"&amp;K$62&amp;"'!B2:B1000")=$B58) * (INDIRECT("'"&amp;K$62&amp;"'!C2:C1000")=$C58)
        ),
        5,
        FALSE
    )
)</f>
        <v>Enviado</v>
      </c>
      <c r="L58" s="75" t="str">
        <f t="array" aca="1" ref="L58" ca="1">IF(
    VLOOKUP(
        $A58,
        _xlfn._xlws.FILTER(
            INDIRECT("'"&amp;L$62&amp;"'!A2:E1000"), (INDIRECT("'"&amp;L$62&amp;"'!B2:B1000")=$B58) * (INDIRECT("'"&amp;L$62&amp;"'!C2:C1000")=$C58)
        ),
        5,
        FALSE
    )=0,
    "",
    VLOOKUP(
        $A58,
        _xlfn._xlws.FILTER(
            INDIRECT("'"&amp;L$62&amp;"'!A2:E1000"), (INDIRECT("'"&amp;L$62&amp;"'!B2:B1000")=$B58) * (INDIRECT("'"&amp;L$62&amp;"'!C2:C1000")=$C58)
        ),
        5,
        FALSE
    )
)</f>
        <v>Enviado</v>
      </c>
      <c r="M58" s="75" t="str">
        <f t="array" aca="1" ref="M58" ca="1">IF(
    VLOOKUP(
        $A58,
        _xlfn._xlws.FILTER(
            INDIRECT("'"&amp;M$62&amp;"'!A2:E1000"), (INDIRECT("'"&amp;M$62&amp;"'!B2:B1000")=$B58) * (INDIRECT("'"&amp;M$62&amp;"'!C2:C1000")=$C58)
        ),
        5,
        FALSE
    )=0,
    "",
    VLOOKUP(
        $A58,
        _xlfn._xlws.FILTER(
            INDIRECT("'"&amp;M$62&amp;"'!A2:E1000"), (INDIRECT("'"&amp;M$62&amp;"'!B2:B1000")=$B58) * (INDIRECT("'"&amp;M$62&amp;"'!C2:C1000")=$C58)
        ),
        5,
        FALSE
    )
)</f>
        <v>Enviado</v>
      </c>
      <c r="N58" s="75" t="str">
        <f t="array" aca="1" ref="N58" ca="1">IF(
    VLOOKUP(
        $A58,
        _xlfn._xlws.FILTER(
            INDIRECT("'"&amp;N$62&amp;"'!A2:E1000"), (INDIRECT("'"&amp;N$62&amp;"'!B2:B1000")=$B58) * (INDIRECT("'"&amp;N$62&amp;"'!C2:C1000")=$C58)
        ),
        5,
        FALSE
    )=0,
    "",
    VLOOKUP(
        $A58,
        _xlfn._xlws.FILTER(
            INDIRECT("'"&amp;N$62&amp;"'!A2:E1000"), (INDIRECT("'"&amp;N$62&amp;"'!B2:B1000")=$B58) * (INDIRECT("'"&amp;N$62&amp;"'!C2:C1000")=$C58)
        ),
        5,
        FALSE
    )
)</f>
        <v/>
      </c>
      <c r="O58" s="75" t="str">
        <f t="array" aca="1" ref="O58" ca="1">IF(
    VLOOKUP(
        $A58,
        _xlfn._xlws.FILTER(
            INDIRECT("'"&amp;O$62&amp;"'!A2:E1000"), (INDIRECT("'"&amp;O$62&amp;"'!B2:B1000")=$B58) * (INDIRECT("'"&amp;O$62&amp;"'!C2:C1000")=$C58)
        ),
        5,
        FALSE
    )=0,
    "",
    VLOOKUP(
        $A58,
        _xlfn._xlws.FILTER(
            INDIRECT("'"&amp;O$62&amp;"'!A2:E1000"), (INDIRECT("'"&amp;O$62&amp;"'!B2:B1000")=$B58) * (INDIRECT("'"&amp;O$62&amp;"'!C2:C1000")=$C58)
        ),
        5,
        FALSE
    )
)</f>
        <v/>
      </c>
    </row>
    <row r="59" spans="1:20">
      <c r="A59" s="28" t="s">
        <v>42</v>
      </c>
      <c r="B59" s="60" t="s">
        <v>122</v>
      </c>
      <c r="C59" s="60" t="s">
        <v>75</v>
      </c>
      <c r="D59" s="75" t="str">
        <f t="array" aca="1" ref="D59" ca="1">IF(
    VLOOKUP(
        $A59,
        _xlfn._xlws.FILTER(
            INDIRECT("'"&amp;D$62&amp;"'!A2:E1000"), (INDIRECT("'"&amp;D$62&amp;"'!B2:B1000")=$B59) * (INDIRECT("'"&amp;D$62&amp;"'!C2:C1000")=$C59)
        ),
        5,
        FALSE
    )=0,
    "",
    VLOOKUP(
        $A59,
        _xlfn._xlws.FILTER(
            INDIRECT("'"&amp;D$62&amp;"'!A2:E1000"), (INDIRECT("'"&amp;D$62&amp;"'!B2:B1000")=$B59) * (INDIRECT("'"&amp;D$62&amp;"'!C2:C1000")=$C59)
        ),
        5,
        FALSE
    )
)</f>
        <v>Enviado</v>
      </c>
      <c r="E59" s="75" t="str">
        <f t="array" aca="1" ref="E59" ca="1">IF(
    VLOOKUP(
        $A59,
        _xlfn._xlws.FILTER(
            INDIRECT("'"&amp;E$62&amp;"'!A2:E1000"), (INDIRECT("'"&amp;E$62&amp;"'!B2:B1000")=$B59) * (INDIRECT("'"&amp;E$62&amp;"'!C2:C1000")=$C59)
        ),
        5,
        FALSE
    )=0,
    "",
    VLOOKUP(
        $A59,
        _xlfn._xlws.FILTER(
            INDIRECT("'"&amp;E$62&amp;"'!A2:E1000"), (INDIRECT("'"&amp;E$62&amp;"'!B2:B1000")=$B59) * (INDIRECT("'"&amp;E$62&amp;"'!C2:C1000")=$C59)
        ),
        5,
        FALSE
    )
)</f>
        <v>Enviado</v>
      </c>
      <c r="F59" s="75" t="str">
        <f t="array" aca="1" ref="F59" ca="1">IF(
    VLOOKUP(
        $A59,
        _xlfn._xlws.FILTER(
            INDIRECT("'"&amp;F$62&amp;"'!A2:E1000"), (INDIRECT("'"&amp;F$62&amp;"'!B2:B1000")=$B59) * (INDIRECT("'"&amp;F$62&amp;"'!C2:C1000")=$C59)
        ),
        5,
        FALSE
    )=0,
    "",
    VLOOKUP(
        $A59,
        _xlfn._xlws.FILTER(
            INDIRECT("'"&amp;F$62&amp;"'!A2:E1000"), (INDIRECT("'"&amp;F$62&amp;"'!B2:B1000")=$B59) * (INDIRECT("'"&amp;F$62&amp;"'!C2:C1000")=$C59)
        ),
        5,
        FALSE
    )
)</f>
        <v>Enviado</v>
      </c>
      <c r="G59" s="75" t="str">
        <f t="array" aca="1" ref="G59" ca="1">IF(
    VLOOKUP(
        $A59,
        _xlfn._xlws.FILTER(
            INDIRECT("'"&amp;G$62&amp;"'!A2:E1000"), (INDIRECT("'"&amp;G$62&amp;"'!B2:B1000")=$B59) * (INDIRECT("'"&amp;G$62&amp;"'!C2:C1000")=$C59)
        ),
        5,
        FALSE
    )=0,
    "",
    VLOOKUP(
        $A59,
        _xlfn._xlws.FILTER(
            INDIRECT("'"&amp;G$62&amp;"'!A2:E1000"), (INDIRECT("'"&amp;G$62&amp;"'!B2:B1000")=$B59) * (INDIRECT("'"&amp;G$62&amp;"'!C2:C1000")=$C59)
        ),
        5,
        FALSE
    )
)</f>
        <v>Enviado</v>
      </c>
      <c r="H59" s="75" t="str">
        <f t="array" aca="1" ref="H59" ca="1">IF(
    VLOOKUP(
        $A59,
        _xlfn._xlws.FILTER(
            INDIRECT("'"&amp;H$62&amp;"'!A2:E1000"), (INDIRECT("'"&amp;H$62&amp;"'!B2:B1000")=$B59) * (INDIRECT("'"&amp;H$62&amp;"'!C2:C1000")=$C59)
        ),
        5,
        FALSE
    )=0,
    "",
    VLOOKUP(
        $A59,
        _xlfn._xlws.FILTER(
            INDIRECT("'"&amp;H$62&amp;"'!A2:E1000"), (INDIRECT("'"&amp;H$62&amp;"'!B2:B1000")=$B59) * (INDIRECT("'"&amp;H$62&amp;"'!C2:C1000")=$C59)
        ),
        5,
        FALSE
    )
)</f>
        <v>Enviado</v>
      </c>
      <c r="I59" s="75" t="str">
        <f t="array" aca="1" ref="I59" ca="1">IF(
    VLOOKUP(
        $A59,
        _xlfn._xlws.FILTER(
            INDIRECT("'"&amp;I$62&amp;"'!A2:E1000"), (INDIRECT("'"&amp;I$62&amp;"'!B2:B1000")=$B59) * (INDIRECT("'"&amp;I$62&amp;"'!C2:C1000")=$C59)
        ),
        5,
        FALSE
    )=0,
    "",
    VLOOKUP(
        $A59,
        _xlfn._xlws.FILTER(
            INDIRECT("'"&amp;I$62&amp;"'!A2:E1000"), (INDIRECT("'"&amp;I$62&amp;"'!B2:B1000")=$B59) * (INDIRECT("'"&amp;I$62&amp;"'!C2:C1000")=$C59)
        ),
        5,
        FALSE
    )
)</f>
        <v>Enviado</v>
      </c>
      <c r="J59" s="75" t="str">
        <f t="array" aca="1" ref="J59" ca="1">IF(
    VLOOKUP(
        $A59,
        _xlfn._xlws.FILTER(
            INDIRECT("'"&amp;J$62&amp;"'!A2:E1000"), (INDIRECT("'"&amp;J$62&amp;"'!B2:B1000")=$B59) * (INDIRECT("'"&amp;J$62&amp;"'!C2:C1000")=$C59)
        ),
        5,
        FALSE
    )=0,
    "",
    VLOOKUP(
        $A59,
        _xlfn._xlws.FILTER(
            INDIRECT("'"&amp;J$62&amp;"'!A2:E1000"), (INDIRECT("'"&amp;J$62&amp;"'!B2:B1000")=$B59) * (INDIRECT("'"&amp;J$62&amp;"'!C2:C1000")=$C59)
        ),
        5,
        FALSE
    )
)</f>
        <v>Enviado</v>
      </c>
      <c r="K59" s="75" t="str">
        <f t="array" aca="1" ref="K59" ca="1">IF(
    VLOOKUP(
        $A59,
        _xlfn._xlws.FILTER(
            INDIRECT("'"&amp;K$62&amp;"'!A2:E1000"), (INDIRECT("'"&amp;K$62&amp;"'!B2:B1000")=$B59) * (INDIRECT("'"&amp;K$62&amp;"'!C2:C1000")=$C59)
        ),
        5,
        FALSE
    )=0,
    "",
    VLOOKUP(
        $A59,
        _xlfn._xlws.FILTER(
            INDIRECT("'"&amp;K$62&amp;"'!A2:E1000"), (INDIRECT("'"&amp;K$62&amp;"'!B2:B1000")=$B59) * (INDIRECT("'"&amp;K$62&amp;"'!C2:C1000")=$C59)
        ),
        5,
        FALSE
    )
)</f>
        <v>Enviado</v>
      </c>
      <c r="L59" s="75" t="str">
        <f t="array" aca="1" ref="L59" ca="1">IF(
    VLOOKUP(
        $A59,
        _xlfn._xlws.FILTER(
            INDIRECT("'"&amp;L$62&amp;"'!A2:E1000"), (INDIRECT("'"&amp;L$62&amp;"'!B2:B1000")=$B59) * (INDIRECT("'"&amp;L$62&amp;"'!C2:C1000")=$C59)
        ),
        5,
        FALSE
    )=0,
    "",
    VLOOKUP(
        $A59,
        _xlfn._xlws.FILTER(
            INDIRECT("'"&amp;L$62&amp;"'!A2:E1000"), (INDIRECT("'"&amp;L$62&amp;"'!B2:B1000")=$B59) * (INDIRECT("'"&amp;L$62&amp;"'!C2:C1000")=$C59)
        ),
        5,
        FALSE
    )
)</f>
        <v>Enviado</v>
      </c>
      <c r="M59" s="75" t="str">
        <f t="array" aca="1" ref="M59" ca="1">IF(
    VLOOKUP(
        $A59,
        _xlfn._xlws.FILTER(
            INDIRECT("'"&amp;M$62&amp;"'!A2:E1000"), (INDIRECT("'"&amp;M$62&amp;"'!B2:B1000")=$B59) * (INDIRECT("'"&amp;M$62&amp;"'!C2:C1000")=$C59)
        ),
        5,
        FALSE
    )=0,
    "",
    VLOOKUP(
        $A59,
        _xlfn._xlws.FILTER(
            INDIRECT("'"&amp;M$62&amp;"'!A2:E1000"), (INDIRECT("'"&amp;M$62&amp;"'!B2:B1000")=$B59) * (INDIRECT("'"&amp;M$62&amp;"'!C2:C1000")=$C59)
        ),
        5,
        FALSE
    )
)</f>
        <v>Enviado</v>
      </c>
      <c r="N59" s="75" t="str">
        <f t="array" aca="1" ref="N59" ca="1">IF(
    VLOOKUP(
        $A59,
        _xlfn._xlws.FILTER(
            INDIRECT("'"&amp;N$62&amp;"'!A2:E1000"), (INDIRECT("'"&amp;N$62&amp;"'!B2:B1000")=$B59) * (INDIRECT("'"&amp;N$62&amp;"'!C2:C1000")=$C59)
        ),
        5,
        FALSE
    )=0,
    "",
    VLOOKUP(
        $A59,
        _xlfn._xlws.FILTER(
            INDIRECT("'"&amp;N$62&amp;"'!A2:E1000"), (INDIRECT("'"&amp;N$62&amp;"'!B2:B1000")=$B59) * (INDIRECT("'"&amp;N$62&amp;"'!C2:C1000")=$C59)
        ),
        5,
        FALSE
    )
)</f>
        <v/>
      </c>
      <c r="O59" s="75" t="str">
        <f t="array" aca="1" ref="O59" ca="1">IF(
    VLOOKUP(
        $A59,
        _xlfn._xlws.FILTER(
            INDIRECT("'"&amp;O$62&amp;"'!A2:E1000"), (INDIRECT("'"&amp;O$62&amp;"'!B2:B1000")=$B59) * (INDIRECT("'"&amp;O$62&amp;"'!C2:C1000")=$C59)
        ),
        5,
        FALSE
    )=0,
    "",
    VLOOKUP(
        $A59,
        _xlfn._xlws.FILTER(
            INDIRECT("'"&amp;O$62&amp;"'!A2:E1000"), (INDIRECT("'"&amp;O$62&amp;"'!B2:B1000")=$B59) * (INDIRECT("'"&amp;O$62&amp;"'!C2:C1000")=$C59)
        ),
        5,
        FALSE
    )
)</f>
        <v/>
      </c>
    </row>
    <row r="60" spans="1:20">
      <c r="A60" s="28" t="s">
        <v>42</v>
      </c>
      <c r="B60" s="60" t="s">
        <v>123</v>
      </c>
      <c r="C60" s="60" t="s">
        <v>75</v>
      </c>
      <c r="D60" s="75" t="str">
        <f t="array" aca="1" ref="D60" ca="1">IF(
    VLOOKUP(
        $A60,
        _xlfn._xlws.FILTER(
            INDIRECT("'"&amp;D$62&amp;"'!A2:E1000"), (INDIRECT("'"&amp;D$62&amp;"'!B2:B1000")=$B60) * (INDIRECT("'"&amp;D$62&amp;"'!C2:C1000")=$C60)
        ),
        5,
        FALSE
    )=0,
    "",
    VLOOKUP(
        $A60,
        _xlfn._xlws.FILTER(
            INDIRECT("'"&amp;D$62&amp;"'!A2:E1000"), (INDIRECT("'"&amp;D$62&amp;"'!B2:B1000")=$B60) * (INDIRECT("'"&amp;D$62&amp;"'!C2:C1000")=$C60)
        ),
        5,
        FALSE
    )
)</f>
        <v>Outras Ocorrências</v>
      </c>
      <c r="E60" s="75" t="str">
        <f t="array" aca="1" ref="E60" ca="1">IF(
    VLOOKUP(
        $A60,
        _xlfn._xlws.FILTER(
            INDIRECT("'"&amp;E$62&amp;"'!A2:E1000"), (INDIRECT("'"&amp;E$62&amp;"'!B2:B1000")=$B60) * (INDIRECT("'"&amp;E$62&amp;"'!C2:C1000")=$C60)
        ),
        5,
        FALSE
    )=0,
    "",
    VLOOKUP(
        $A60,
        _xlfn._xlws.FILTER(
            INDIRECT("'"&amp;E$62&amp;"'!A2:E1000"), (INDIRECT("'"&amp;E$62&amp;"'!B2:B1000")=$B60) * (INDIRECT("'"&amp;E$62&amp;"'!C2:C1000")=$C60)
        ),
        5,
        FALSE
    )
)</f>
        <v>Enviado</v>
      </c>
      <c r="F60" s="75" t="str">
        <f t="array" aca="1" ref="F60" ca="1">IF(
    VLOOKUP(
        $A60,
        _xlfn._xlws.FILTER(
            INDIRECT("'"&amp;F$62&amp;"'!A2:E1000"), (INDIRECT("'"&amp;F$62&amp;"'!B2:B1000")=$B60) * (INDIRECT("'"&amp;F$62&amp;"'!C2:C1000")=$C60)
        ),
        5,
        FALSE
    )=0,
    "",
    VLOOKUP(
        $A60,
        _xlfn._xlws.FILTER(
            INDIRECT("'"&amp;F$62&amp;"'!A2:E1000"), (INDIRECT("'"&amp;F$62&amp;"'!B2:B1000")=$B60) * (INDIRECT("'"&amp;F$62&amp;"'!C2:C1000")=$C60)
        ),
        5,
        FALSE
    )
)</f>
        <v>Enviado</v>
      </c>
      <c r="G60" s="75" t="str">
        <f t="array" aca="1" ref="G60" ca="1">IF(
    VLOOKUP(
        $A60,
        _xlfn._xlws.FILTER(
            INDIRECT("'"&amp;G$62&amp;"'!A2:E1000"), (INDIRECT("'"&amp;G$62&amp;"'!B2:B1000")=$B60) * (INDIRECT("'"&amp;G$62&amp;"'!C2:C1000")=$C60)
        ),
        5,
        FALSE
    )=0,
    "",
    VLOOKUP(
        $A60,
        _xlfn._xlws.FILTER(
            INDIRECT("'"&amp;G$62&amp;"'!A2:E1000"), (INDIRECT("'"&amp;G$62&amp;"'!B2:B1000")=$B60) * (INDIRECT("'"&amp;G$62&amp;"'!C2:C1000")=$C60)
        ),
        5,
        FALSE
    )
)</f>
        <v>Enviado</v>
      </c>
      <c r="H60" s="75" t="str">
        <f t="array" aca="1" ref="H60" ca="1">IF(
    VLOOKUP(
        $A60,
        _xlfn._xlws.FILTER(
            INDIRECT("'"&amp;H$62&amp;"'!A2:E1000"), (INDIRECT("'"&amp;H$62&amp;"'!B2:B1000")=$B60) * (INDIRECT("'"&amp;H$62&amp;"'!C2:C1000")=$C60)
        ),
        5,
        FALSE
    )=0,
    "",
    VLOOKUP(
        $A60,
        _xlfn._xlws.FILTER(
            INDIRECT("'"&amp;H$62&amp;"'!A2:E1000"), (INDIRECT("'"&amp;H$62&amp;"'!B2:B1000")=$B60) * (INDIRECT("'"&amp;H$62&amp;"'!C2:C1000")=$C60)
        ),
        5,
        FALSE
    )
)</f>
        <v>Enviado</v>
      </c>
      <c r="I60" s="75" t="str">
        <f t="array" aca="1" ref="I60" ca="1">IF(
    VLOOKUP(
        $A60,
        _xlfn._xlws.FILTER(
            INDIRECT("'"&amp;I$62&amp;"'!A2:E1000"), (INDIRECT("'"&amp;I$62&amp;"'!B2:B1000")=$B60) * (INDIRECT("'"&amp;I$62&amp;"'!C2:C1000")=$C60)
        ),
        5,
        FALSE
    )=0,
    "",
    VLOOKUP(
        $A60,
        _xlfn._xlws.FILTER(
            INDIRECT("'"&amp;I$62&amp;"'!A2:E1000"), (INDIRECT("'"&amp;I$62&amp;"'!B2:B1000")=$B60) * (INDIRECT("'"&amp;I$62&amp;"'!C2:C1000")=$C60)
        ),
        5,
        FALSE
    )
)</f>
        <v>Enviado</v>
      </c>
      <c r="J60" s="75" t="str">
        <f t="array" aca="1" ref="J60" ca="1">IF(
    VLOOKUP(
        $A60,
        _xlfn._xlws.FILTER(
            INDIRECT("'"&amp;J$62&amp;"'!A2:E1000"), (INDIRECT("'"&amp;J$62&amp;"'!B2:B1000")=$B60) * (INDIRECT("'"&amp;J$62&amp;"'!C2:C1000")=$C60)
        ),
        5,
        FALSE
    )=0,
    "",
    VLOOKUP(
        $A60,
        _xlfn._xlws.FILTER(
            INDIRECT("'"&amp;J$62&amp;"'!A2:E1000"), (INDIRECT("'"&amp;J$62&amp;"'!B2:B1000")=$B60) * (INDIRECT("'"&amp;J$62&amp;"'!C2:C1000")=$C60)
        ),
        5,
        FALSE
    )
)</f>
        <v>Enviado</v>
      </c>
      <c r="K60" s="75" t="str">
        <f t="array" aca="1" ref="K60" ca="1">IF(
    VLOOKUP(
        $A60,
        _xlfn._xlws.FILTER(
            INDIRECT("'"&amp;K$62&amp;"'!A2:E1000"), (INDIRECT("'"&amp;K$62&amp;"'!B2:B1000")=$B60) * (INDIRECT("'"&amp;K$62&amp;"'!C2:C1000")=$C60)
        ),
        5,
        FALSE
    )=0,
    "",
    VLOOKUP(
        $A60,
        _xlfn._xlws.FILTER(
            INDIRECT("'"&amp;K$62&amp;"'!A2:E1000"), (INDIRECT("'"&amp;K$62&amp;"'!B2:B1000")=$B60) * (INDIRECT("'"&amp;K$62&amp;"'!C2:C1000")=$C60)
        ),
        5,
        FALSE
    )
)</f>
        <v>Enviado</v>
      </c>
      <c r="L60" s="75" t="str">
        <f t="array" aca="1" ref="L60" ca="1">IF(
    VLOOKUP(
        $A60,
        _xlfn._xlws.FILTER(
            INDIRECT("'"&amp;L$62&amp;"'!A2:E1000"), (INDIRECT("'"&amp;L$62&amp;"'!B2:B1000")=$B60) * (INDIRECT("'"&amp;L$62&amp;"'!C2:C1000")=$C60)
        ),
        5,
        FALSE
    )=0,
    "",
    VLOOKUP(
        $A60,
        _xlfn._xlws.FILTER(
            INDIRECT("'"&amp;L$62&amp;"'!A2:E1000"), (INDIRECT("'"&amp;L$62&amp;"'!B2:B1000")=$B60) * (INDIRECT("'"&amp;L$62&amp;"'!C2:C1000")=$C60)
        ),
        5,
        FALSE
    )
)</f>
        <v>Enviado</v>
      </c>
      <c r="M60" s="75" t="str">
        <f t="array" aca="1" ref="M60" ca="1">IF(
    VLOOKUP(
        $A60,
        _xlfn._xlws.FILTER(
            INDIRECT("'"&amp;M$62&amp;"'!A2:E1000"), (INDIRECT("'"&amp;M$62&amp;"'!B2:B1000")=$B60) * (INDIRECT("'"&amp;M$62&amp;"'!C2:C1000")=$C60)
        ),
        5,
        FALSE
    )=0,
    "",
    VLOOKUP(
        $A60,
        _xlfn._xlws.FILTER(
            INDIRECT("'"&amp;M$62&amp;"'!A2:E1000"), (INDIRECT("'"&amp;M$62&amp;"'!B2:B1000")=$B60) * (INDIRECT("'"&amp;M$62&amp;"'!C2:C1000")=$C60)
        ),
        5,
        FALSE
    )
)</f>
        <v>Enviado</v>
      </c>
      <c r="N60" s="75" t="str">
        <f t="array" aca="1" ref="N60" ca="1">IF(
    VLOOKUP(
        $A60,
        _xlfn._xlws.FILTER(
            INDIRECT("'"&amp;N$62&amp;"'!A2:E1000"), (INDIRECT("'"&amp;N$62&amp;"'!B2:B1000")=$B60) * (INDIRECT("'"&amp;N$62&amp;"'!C2:C1000")=$C60)
        ),
        5,
        FALSE
    )=0,
    "",
    VLOOKUP(
        $A60,
        _xlfn._xlws.FILTER(
            INDIRECT("'"&amp;N$62&amp;"'!A2:E1000"), (INDIRECT("'"&amp;N$62&amp;"'!B2:B1000")=$B60) * (INDIRECT("'"&amp;N$62&amp;"'!C2:C1000")=$C60)
        ),
        5,
        FALSE
    )
)</f>
        <v/>
      </c>
      <c r="O60" s="75" t="str">
        <f t="array" aca="1" ref="O60" ca="1">IF(
    VLOOKUP(
        $A60,
        _xlfn._xlws.FILTER(
            INDIRECT("'"&amp;O$62&amp;"'!A2:E1000"), (INDIRECT("'"&amp;O$62&amp;"'!B2:B1000")=$B60) * (INDIRECT("'"&amp;O$62&amp;"'!C2:C1000")=$C60)
        ),
        5,
        FALSE
    )=0,
    "",
    VLOOKUP(
        $A60,
        _xlfn._xlws.FILTER(
            INDIRECT("'"&amp;O$62&amp;"'!A2:E1000"), (INDIRECT("'"&amp;O$62&amp;"'!B2:B1000")=$B60) * (INDIRECT("'"&amp;O$62&amp;"'!C2:C1000")=$C60)
        ),
        5,
        FALSE
    )
)</f>
        <v/>
      </c>
    </row>
    <row r="62" spans="1:20" ht="15.75" customHeight="1">
      <c r="A62" s="23" t="s">
        <v>124</v>
      </c>
      <c r="B62" s="21" t="s">
        <v>72</v>
      </c>
      <c r="C62" s="21" t="s">
        <v>73</v>
      </c>
      <c r="D62" s="74" t="s">
        <v>1</v>
      </c>
      <c r="E62" s="74" t="s">
        <v>2</v>
      </c>
      <c r="F62" s="74" t="s">
        <v>3</v>
      </c>
      <c r="G62" s="74" t="s">
        <v>4</v>
      </c>
      <c r="H62" s="74" t="s">
        <v>5</v>
      </c>
      <c r="I62" s="74" t="s">
        <v>6</v>
      </c>
      <c r="J62" s="74" t="s">
        <v>7</v>
      </c>
      <c r="K62" s="74" t="s">
        <v>8</v>
      </c>
      <c r="L62" s="74" t="s">
        <v>9</v>
      </c>
      <c r="M62" s="74" t="s">
        <v>10</v>
      </c>
      <c r="N62" s="74" t="s">
        <v>11</v>
      </c>
      <c r="O62" s="74" t="s">
        <v>12</v>
      </c>
    </row>
    <row r="63" spans="1:20">
      <c r="A63" s="81" t="s">
        <v>33</v>
      </c>
      <c r="B63" s="60" t="s">
        <v>125</v>
      </c>
      <c r="C63" s="60" t="s">
        <v>75</v>
      </c>
      <c r="D63" s="75" t="str">
        <f t="array" aca="1" ref="D63" ca="1">IF(
    VLOOKUP(
        $A63,
        _xlfn._xlws.FILTER(
            INDIRECT("'"&amp;D$62&amp;"'!A2:E1000"), (INDIRECT("'"&amp;D$62&amp;"'!B2:B1000")=$B63) * (INDIRECT("'"&amp;D$62&amp;"'!C2:C1000")=$C63)
        ),
        5,
        FALSE
    )=0,
    "",
    VLOOKUP(
        $A63,
        _xlfn._xlws.FILTER(
            INDIRECT("'"&amp;D$62&amp;"'!A2:E1000"), (INDIRECT("'"&amp;D$62&amp;"'!B2:B1000")=$B63) * (INDIRECT("'"&amp;D$62&amp;"'!C2:C1000")=$C63)
        ),
        5,
        FALSE
    )
)</f>
        <v>Outras Ocorrências</v>
      </c>
      <c r="E63" s="75" t="str">
        <f t="array" aca="1" ref="E63" ca="1">IF(
    VLOOKUP(
        $A63,
        _xlfn._xlws.FILTER(
            INDIRECT("'"&amp;E$62&amp;"'!A2:E1000"), (INDIRECT("'"&amp;E$62&amp;"'!B2:B1000")=$B63) * (INDIRECT("'"&amp;E$62&amp;"'!C2:C1000")=$C63)
        ),
        5,
        FALSE
    )=0,
    "",
    VLOOKUP(
        $A63,
        _xlfn._xlws.FILTER(
            INDIRECT("'"&amp;E$62&amp;"'!A2:E1000"), (INDIRECT("'"&amp;E$62&amp;"'!B2:B1000")=$B63) * (INDIRECT("'"&amp;E$62&amp;"'!C2:C1000")=$C63)
        ),
        5,
        FALSE
    )
)</f>
        <v>Outras Ocorrências</v>
      </c>
      <c r="F63" s="75" t="str">
        <f t="array" aca="1" ref="F63" ca="1">IF(
    VLOOKUP(
        $A63,
        _xlfn._xlws.FILTER(
            INDIRECT("'"&amp;F$62&amp;"'!A2:E1000"), (INDIRECT("'"&amp;F$62&amp;"'!B2:B1000")=$B63) * (INDIRECT("'"&amp;F$62&amp;"'!C2:C1000")=$C63)
        ),
        5,
        FALSE
    )=0,
    "",
    VLOOKUP(
        $A63,
        _xlfn._xlws.FILTER(
            INDIRECT("'"&amp;F$62&amp;"'!A2:E1000"), (INDIRECT("'"&amp;F$62&amp;"'!B2:B1000")=$B63) * (INDIRECT("'"&amp;F$62&amp;"'!C2:C1000")=$C63)
        ),
        5,
        FALSE
    )
)</f>
        <v>Outras Ocorrências</v>
      </c>
      <c r="G63" s="75" t="str">
        <f t="array" aca="1" ref="G63" ca="1">IF(
    VLOOKUP(
        $A63,
        _xlfn._xlws.FILTER(
            INDIRECT("'"&amp;G$62&amp;"'!A2:E1000"), (INDIRECT("'"&amp;G$62&amp;"'!B2:B1000")=$B63) * (INDIRECT("'"&amp;G$62&amp;"'!C2:C1000")=$C63)
        ),
        5,
        FALSE
    )=0,
    "",
    VLOOKUP(
        $A63,
        _xlfn._xlws.FILTER(
            INDIRECT("'"&amp;G$62&amp;"'!A2:E1000"), (INDIRECT("'"&amp;G$62&amp;"'!B2:B1000")=$B63) * (INDIRECT("'"&amp;G$62&amp;"'!C2:C1000")=$C63)
        ),
        5,
        FALSE
    )
)</f>
        <v>Outras Ocorrências</v>
      </c>
      <c r="H63" s="75" t="str">
        <f t="array" aca="1" ref="H63" ca="1">IF(
    VLOOKUP(
        $A63,
        _xlfn._xlws.FILTER(
            INDIRECT("'"&amp;H$62&amp;"'!A2:E1000"), (INDIRECT("'"&amp;H$62&amp;"'!B2:B1000")=$B63) * (INDIRECT("'"&amp;H$62&amp;"'!C2:C1000")=$C63)
        ),
        5,
        FALSE
    )=0,
    "",
    VLOOKUP(
        $A63,
        _xlfn._xlws.FILTER(
            INDIRECT("'"&amp;H$62&amp;"'!A2:E1000"), (INDIRECT("'"&amp;H$62&amp;"'!B2:B1000")=$B63) * (INDIRECT("'"&amp;H$62&amp;"'!C2:C1000")=$C63)
        ),
        5,
        FALSE
    )
)</f>
        <v>Outras Ocorrências</v>
      </c>
      <c r="I63" s="75" t="str">
        <f t="array" aca="1" ref="I63" ca="1">IF(
    VLOOKUP(
        $A63,
        _xlfn._xlws.FILTER(
            INDIRECT("'"&amp;I$62&amp;"'!A2:E1000"), (INDIRECT("'"&amp;I$62&amp;"'!B2:B1000")=$B63) * (INDIRECT("'"&amp;I$62&amp;"'!C2:C1000")=$C63)
        ),
        5,
        FALSE
    )=0,
    "",
    VLOOKUP(
        $A63,
        _xlfn._xlws.FILTER(
            INDIRECT("'"&amp;I$62&amp;"'!A2:E1000"), (INDIRECT("'"&amp;I$62&amp;"'!B2:B1000")=$B63) * (INDIRECT("'"&amp;I$62&amp;"'!C2:C1000")=$C63)
        ),
        5,
        FALSE
    )
)</f>
        <v>Outras Ocorrências</v>
      </c>
      <c r="J63" s="75" t="str">
        <f t="array" aca="1" ref="J63" ca="1">IF(
    VLOOKUP(
        $A63,
        _xlfn._xlws.FILTER(
            INDIRECT("'"&amp;J$62&amp;"'!A2:E1000"), (INDIRECT("'"&amp;J$62&amp;"'!B2:B1000")=$B63) * (INDIRECT("'"&amp;J$62&amp;"'!C2:C1000")=$C63)
        ),
        5,
        FALSE
    )=0,
    "",
    VLOOKUP(
        $A63,
        _xlfn._xlws.FILTER(
            INDIRECT("'"&amp;J$62&amp;"'!A2:E1000"), (INDIRECT("'"&amp;J$62&amp;"'!B2:B1000")=$B63) * (INDIRECT("'"&amp;J$62&amp;"'!C2:C1000")=$C63)
        ),
        5,
        FALSE
    )
)</f>
        <v>Outras Ocorrências</v>
      </c>
      <c r="K63" s="75" t="str">
        <f t="array" aca="1" ref="K63" ca="1">IF(
    VLOOKUP(
        $A63,
        _xlfn._xlws.FILTER(
            INDIRECT("'"&amp;K$62&amp;"'!A2:E1000"), (INDIRECT("'"&amp;K$62&amp;"'!B2:B1000")=$B63) * (INDIRECT("'"&amp;K$62&amp;"'!C2:C1000")=$C63)
        ),
        5,
        FALSE
    )=0,
    "",
    VLOOKUP(
        $A63,
        _xlfn._xlws.FILTER(
            INDIRECT("'"&amp;K$62&amp;"'!A2:E1000"), (INDIRECT("'"&amp;K$62&amp;"'!B2:B1000")=$B63) * (INDIRECT("'"&amp;K$62&amp;"'!C2:C1000")=$C63)
        ),
        5,
        FALSE
    )
)</f>
        <v>Outras Ocorrências</v>
      </c>
      <c r="L63" s="75" t="str">
        <f t="array" aca="1" ref="L63" ca="1">IF(
    VLOOKUP(
        $A63,
        _xlfn._xlws.FILTER(
            INDIRECT("'"&amp;L$62&amp;"'!A2:E1000"), (INDIRECT("'"&amp;L$62&amp;"'!B2:B1000")=$B63) * (INDIRECT("'"&amp;L$62&amp;"'!C2:C1000")=$C63)
        ),
        5,
        FALSE
    )=0,
    "",
    VLOOKUP(
        $A63,
        _xlfn._xlws.FILTER(
            INDIRECT("'"&amp;L$62&amp;"'!A2:E1000"), (INDIRECT("'"&amp;L$62&amp;"'!B2:B1000")=$B63) * (INDIRECT("'"&amp;L$62&amp;"'!C2:C1000")=$C63)
        ),
        5,
        FALSE
    )
)</f>
        <v>Outras Ocorrências</v>
      </c>
      <c r="M63" s="75" t="str">
        <f t="array" aca="1" ref="M63" ca="1">IF(
    VLOOKUP(
        $A63,
        _xlfn._xlws.FILTER(
            INDIRECT("'"&amp;M$62&amp;"'!A2:E1000"), (INDIRECT("'"&amp;M$62&amp;"'!B2:B1000")=$B63) * (INDIRECT("'"&amp;M$62&amp;"'!C2:C1000")=$C63)
        ),
        5,
        FALSE
    )=0,
    "",
    VLOOKUP(
        $A63,
        _xlfn._xlws.FILTER(
            INDIRECT("'"&amp;M$62&amp;"'!A2:E1000"), (INDIRECT("'"&amp;M$62&amp;"'!B2:B1000")=$B63) * (INDIRECT("'"&amp;M$62&amp;"'!C2:C1000")=$C63)
        ),
        5,
        FALSE
    )
)</f>
        <v>Outras Ocorrências</v>
      </c>
      <c r="N63" s="75" t="str">
        <f t="array" aca="1" ref="N63" ca="1">IF(
    VLOOKUP(
        $A63,
        _xlfn._xlws.FILTER(
            INDIRECT("'"&amp;N$62&amp;"'!A2:E1000"), (INDIRECT("'"&amp;N$62&amp;"'!B2:B1000")=$B63) * (INDIRECT("'"&amp;N$62&amp;"'!C2:C1000")=$C63)
        ),
        5,
        FALSE
    )=0,
    "",
    VLOOKUP(
        $A63,
        _xlfn._xlws.FILTER(
            INDIRECT("'"&amp;N$62&amp;"'!A2:E1000"), (INDIRECT("'"&amp;N$62&amp;"'!B2:B1000")=$B63) * (INDIRECT("'"&amp;N$62&amp;"'!C2:C1000")=$C63)
        ),
        5,
        FALSE
    )
)</f>
        <v>Outras Ocorrências</v>
      </c>
      <c r="O63" s="75" t="str">
        <f t="array" aca="1" ref="O63" ca="1">IF(
    VLOOKUP(
        $A63,
        _xlfn._xlws.FILTER(
            INDIRECT("'"&amp;O$62&amp;"'!A2:E1000"), (INDIRECT("'"&amp;O$62&amp;"'!B2:B1000")=$B63) * (INDIRECT("'"&amp;O$62&amp;"'!C2:C1000")=$C63)
        ),
        5,
        FALSE
    )=0,
    "",
    VLOOKUP(
        $A63,
        _xlfn._xlws.FILTER(
            INDIRECT("'"&amp;O$62&amp;"'!A2:E1000"), (INDIRECT("'"&amp;O$62&amp;"'!B2:B1000")=$B63) * (INDIRECT("'"&amp;O$62&amp;"'!C2:C1000")=$C63)
        ),
        5,
        FALSE
    )
)</f>
        <v>Outras Ocorrências</v>
      </c>
      <c r="Q63" s="82"/>
      <c r="R63" s="83" t="s">
        <v>126</v>
      </c>
      <c r="S63" s="84" t="s">
        <v>33</v>
      </c>
      <c r="T63" s="85"/>
    </row>
    <row r="64" spans="1:20">
      <c r="A64" s="81" t="s">
        <v>33</v>
      </c>
      <c r="B64" s="60" t="s">
        <v>127</v>
      </c>
      <c r="C64" s="60" t="s">
        <v>75</v>
      </c>
      <c r="D64" s="75" t="str">
        <f t="array" aca="1" ref="D64" ca="1">IF(
    VLOOKUP(
        $A64,
        _xlfn._xlws.FILTER(
            INDIRECT("'"&amp;D$62&amp;"'!A2:E1000"), (INDIRECT("'"&amp;D$62&amp;"'!B2:B1000")=$B64) * (INDIRECT("'"&amp;D$62&amp;"'!C2:C1000")=$C64)
        ),
        5,
        FALSE
    )=0,
    "",
    VLOOKUP(
        $A64,
        _xlfn._xlws.FILTER(
            INDIRECT("'"&amp;D$62&amp;"'!A2:E1000"), (INDIRECT("'"&amp;D$62&amp;"'!B2:B1000")=$B64) * (INDIRECT("'"&amp;D$62&amp;"'!C2:C1000")=$C64)
        ),
        5,
        FALSE
    )
)</f>
        <v>Enviado</v>
      </c>
      <c r="E64" s="75" t="str">
        <f t="array" aca="1" ref="E64" ca="1">IF(
    VLOOKUP(
        $A64,
        _xlfn._xlws.FILTER(
            INDIRECT("'"&amp;E$62&amp;"'!A2:E1000"), (INDIRECT("'"&amp;E$62&amp;"'!B2:B1000")=$B64) * (INDIRECT("'"&amp;E$62&amp;"'!C2:C1000")=$C64)
        ),
        5,
        FALSE
    )=0,
    "",
    VLOOKUP(
        $A64,
        _xlfn._xlws.FILTER(
            INDIRECT("'"&amp;E$62&amp;"'!A2:E1000"), (INDIRECT("'"&amp;E$62&amp;"'!B2:B1000")=$B64) * (INDIRECT("'"&amp;E$62&amp;"'!C2:C1000")=$C64)
        ),
        5,
        FALSE
    )
)</f>
        <v>Enviado</v>
      </c>
      <c r="F64" s="75" t="str">
        <f t="array" aca="1" ref="F64" ca="1">IF(
    VLOOKUP(
        $A64,
        _xlfn._xlws.FILTER(
            INDIRECT("'"&amp;F$62&amp;"'!A2:E1000"), (INDIRECT("'"&amp;F$62&amp;"'!B2:B1000")=$B64) * (INDIRECT("'"&amp;F$62&amp;"'!C2:C1000")=$C64)
        ),
        5,
        FALSE
    )=0,
    "",
    VLOOKUP(
        $A64,
        _xlfn._xlws.FILTER(
            INDIRECT("'"&amp;F$62&amp;"'!A2:E1000"), (INDIRECT("'"&amp;F$62&amp;"'!B2:B1000")=$B64) * (INDIRECT("'"&amp;F$62&amp;"'!C2:C1000")=$C64)
        ),
        5,
        FALSE
    )
)</f>
        <v>Enviado</v>
      </c>
      <c r="G64" s="75" t="str">
        <f t="array" aca="1" ref="G64" ca="1">IF(
    VLOOKUP(
        $A64,
        _xlfn._xlws.FILTER(
            INDIRECT("'"&amp;G$62&amp;"'!A2:E1000"), (INDIRECT("'"&amp;G$62&amp;"'!B2:B1000")=$B64) * (INDIRECT("'"&amp;G$62&amp;"'!C2:C1000")=$C64)
        ),
        5,
        FALSE
    )=0,
    "",
    VLOOKUP(
        $A64,
        _xlfn._xlws.FILTER(
            INDIRECT("'"&amp;G$62&amp;"'!A2:E1000"), (INDIRECT("'"&amp;G$62&amp;"'!B2:B1000")=$B64) * (INDIRECT("'"&amp;G$62&amp;"'!C2:C1000")=$C64)
        ),
        5,
        FALSE
    )
)</f>
        <v>Enviado</v>
      </c>
      <c r="H64" s="75" t="str">
        <f t="array" aca="1" ref="H64" ca="1">IF(
    VLOOKUP(
        $A64,
        _xlfn._xlws.FILTER(
            INDIRECT("'"&amp;H$62&amp;"'!A2:E1000"), (INDIRECT("'"&amp;H$62&amp;"'!B2:B1000")=$B64) * (INDIRECT("'"&amp;H$62&amp;"'!C2:C1000")=$C64)
        ),
        5,
        FALSE
    )=0,
    "",
    VLOOKUP(
        $A64,
        _xlfn._xlws.FILTER(
            INDIRECT("'"&amp;H$62&amp;"'!A2:E1000"), (INDIRECT("'"&amp;H$62&amp;"'!B2:B1000")=$B64) * (INDIRECT("'"&amp;H$62&amp;"'!C2:C1000")=$C64)
        ),
        5,
        FALSE
    )
)</f>
        <v>Enviado</v>
      </c>
      <c r="I64" s="75" t="str">
        <f t="array" aca="1" ref="I64" ca="1">IF(
    VLOOKUP(
        $A64,
        _xlfn._xlws.FILTER(
            INDIRECT("'"&amp;I$62&amp;"'!A2:E1000"), (INDIRECT("'"&amp;I$62&amp;"'!B2:B1000")=$B64) * (INDIRECT("'"&amp;I$62&amp;"'!C2:C1000")=$C64)
        ),
        5,
        FALSE
    )=0,
    "",
    VLOOKUP(
        $A64,
        _xlfn._xlws.FILTER(
            INDIRECT("'"&amp;I$62&amp;"'!A2:E1000"), (INDIRECT("'"&amp;I$62&amp;"'!B2:B1000")=$B64) * (INDIRECT("'"&amp;I$62&amp;"'!C2:C1000")=$C64)
        ),
        5,
        FALSE
    )
)</f>
        <v>Enviado</v>
      </c>
      <c r="J64" s="75" t="str">
        <f t="array" aca="1" ref="J64" ca="1">IF(
    VLOOKUP(
        $A64,
        _xlfn._xlws.FILTER(
            INDIRECT("'"&amp;J$62&amp;"'!A2:E1000"), (INDIRECT("'"&amp;J$62&amp;"'!B2:B1000")=$B64) * (INDIRECT("'"&amp;J$62&amp;"'!C2:C1000")=$C64)
        ),
        5,
        FALSE
    )=0,
    "",
    VLOOKUP(
        $A64,
        _xlfn._xlws.FILTER(
            INDIRECT("'"&amp;J$62&amp;"'!A2:E1000"), (INDIRECT("'"&amp;J$62&amp;"'!B2:B1000")=$B64) * (INDIRECT("'"&amp;J$62&amp;"'!C2:C1000")=$C64)
        ),
        5,
        FALSE
    )
)</f>
        <v>Enviado</v>
      </c>
      <c r="K64" s="75" t="str">
        <f t="array" aca="1" ref="K64" ca="1">IF(
    VLOOKUP(
        $A64,
        _xlfn._xlws.FILTER(
            INDIRECT("'"&amp;K$62&amp;"'!A2:E1000"), (INDIRECT("'"&amp;K$62&amp;"'!B2:B1000")=$B64) * (INDIRECT("'"&amp;K$62&amp;"'!C2:C1000")=$C64)
        ),
        5,
        FALSE
    )=0,
    "",
    VLOOKUP(
        $A64,
        _xlfn._xlws.FILTER(
            INDIRECT("'"&amp;K$62&amp;"'!A2:E1000"), (INDIRECT("'"&amp;K$62&amp;"'!B2:B1000")=$B64) * (INDIRECT("'"&amp;K$62&amp;"'!C2:C1000")=$C64)
        ),
        5,
        FALSE
    )
)</f>
        <v>Enviado</v>
      </c>
      <c r="L64" s="75" t="str">
        <f t="array" aca="1" ref="L64" ca="1">IF(
    VLOOKUP(
        $A64,
        _xlfn._xlws.FILTER(
            INDIRECT("'"&amp;L$62&amp;"'!A2:E1000"), (INDIRECT("'"&amp;L$62&amp;"'!B2:B1000")=$B64) * (INDIRECT("'"&amp;L$62&amp;"'!C2:C1000")=$C64)
        ),
        5,
        FALSE
    )=0,
    "",
    VLOOKUP(
        $A64,
        _xlfn._xlws.FILTER(
            INDIRECT("'"&amp;L$62&amp;"'!A2:E1000"), (INDIRECT("'"&amp;L$62&amp;"'!B2:B1000")=$B64) * (INDIRECT("'"&amp;L$62&amp;"'!C2:C1000")=$C64)
        ),
        5,
        FALSE
    )
)</f>
        <v>Enviado</v>
      </c>
      <c r="M64" s="75" t="str">
        <f t="array" aca="1" ref="M64" ca="1">IF(
    VLOOKUP(
        $A64,
        _xlfn._xlws.FILTER(
            INDIRECT("'"&amp;M$62&amp;"'!A2:E1000"), (INDIRECT("'"&amp;M$62&amp;"'!B2:B1000")=$B64) * (INDIRECT("'"&amp;M$62&amp;"'!C2:C1000")=$C64)
        ),
        5,
        FALSE
    )=0,
    "",
    VLOOKUP(
        $A64,
        _xlfn._xlws.FILTER(
            INDIRECT("'"&amp;M$62&amp;"'!A2:E1000"), (INDIRECT("'"&amp;M$62&amp;"'!B2:B1000")=$B64) * (INDIRECT("'"&amp;M$62&amp;"'!C2:C1000")=$C64)
        ),
        5,
        FALSE
    )
)</f>
        <v>Atrasado</v>
      </c>
      <c r="N64" s="75" t="str">
        <f t="array" aca="1" ref="N64" ca="1">IF(
    VLOOKUP(
        $A64,
        _xlfn._xlws.FILTER(
            INDIRECT("'"&amp;N$62&amp;"'!A2:E1000"), (INDIRECT("'"&amp;N$62&amp;"'!B2:B1000")=$B64) * (INDIRECT("'"&amp;N$62&amp;"'!C2:C1000")=$C64)
        ),
        5,
        FALSE
    )=0,
    "",
    VLOOKUP(
        $A64,
        _xlfn._xlws.FILTER(
            INDIRECT("'"&amp;N$62&amp;"'!A2:E1000"), (INDIRECT("'"&amp;N$62&amp;"'!B2:B1000")=$B64) * (INDIRECT("'"&amp;N$62&amp;"'!C2:C1000")=$C64)
        ),
        5,
        FALSE
    )
)</f>
        <v/>
      </c>
      <c r="O64" s="75" t="str">
        <f t="array" aca="1" ref="O64" ca="1">IF(
    VLOOKUP(
        $A64,
        _xlfn._xlws.FILTER(
            INDIRECT("'"&amp;O$62&amp;"'!A2:E1000"), (INDIRECT("'"&amp;O$62&amp;"'!B2:B1000")=$B64) * (INDIRECT("'"&amp;O$62&amp;"'!C2:C1000")=$C64)
        ),
        5,
        FALSE
    )=0,
    "",
    VLOOKUP(
        $A64,
        _xlfn._xlws.FILTER(
            INDIRECT("'"&amp;O$62&amp;"'!A2:E1000"), (INDIRECT("'"&amp;O$62&amp;"'!B2:B1000")=$B64) * (INDIRECT("'"&amp;O$62&amp;"'!C2:C1000")=$C64)
        ),
        5,
        FALSE
    )
)</f>
        <v/>
      </c>
      <c r="Q64" s="86"/>
      <c r="R64" s="87" t="s">
        <v>35</v>
      </c>
      <c r="S64" s="88" t="s">
        <v>35</v>
      </c>
      <c r="T64" s="86"/>
    </row>
    <row r="65" spans="1:20">
      <c r="A65" s="81" t="s">
        <v>33</v>
      </c>
      <c r="B65" s="60" t="s">
        <v>128</v>
      </c>
      <c r="C65" s="60" t="s">
        <v>75</v>
      </c>
      <c r="D65" s="75" t="str">
        <f t="array" aca="1" ref="D65" ca="1">IF(
    VLOOKUP(
        $A65,
        _xlfn._xlws.FILTER(
            INDIRECT("'"&amp;D$62&amp;"'!A2:E1000"), (INDIRECT("'"&amp;D$62&amp;"'!B2:B1000")=$B65) * (INDIRECT("'"&amp;D$62&amp;"'!C2:C1000")=$C65)
        ),
        5,
        FALSE
    )=0,
    "",
    VLOOKUP(
        $A65,
        _xlfn._xlws.FILTER(
            INDIRECT("'"&amp;D$62&amp;"'!A2:E1000"), (INDIRECT("'"&amp;D$62&amp;"'!B2:B1000")=$B65) * (INDIRECT("'"&amp;D$62&amp;"'!C2:C1000")=$C65)
        ),
        5,
        FALSE
    )
)</f>
        <v>Enviado</v>
      </c>
      <c r="E65" s="75" t="str">
        <f t="array" aca="1" ref="E65" ca="1">IF(
    VLOOKUP(
        $A65,
        _xlfn._xlws.FILTER(
            INDIRECT("'"&amp;E$62&amp;"'!A2:E1000"), (INDIRECT("'"&amp;E$62&amp;"'!B2:B1000")=$B65) * (INDIRECT("'"&amp;E$62&amp;"'!C2:C1000")=$C65)
        ),
        5,
        FALSE
    )=0,
    "",
    VLOOKUP(
        $A65,
        _xlfn._xlws.FILTER(
            INDIRECT("'"&amp;E$62&amp;"'!A2:E1000"), (INDIRECT("'"&amp;E$62&amp;"'!B2:B1000")=$B65) * (INDIRECT("'"&amp;E$62&amp;"'!C2:C1000")=$C65)
        ),
        5,
        FALSE
    )
)</f>
        <v>Enviado</v>
      </c>
      <c r="F65" s="75" t="str">
        <f t="array" aca="1" ref="F65" ca="1">IF(
    VLOOKUP(
        $A65,
        _xlfn._xlws.FILTER(
            INDIRECT("'"&amp;F$62&amp;"'!A2:E1000"), (INDIRECT("'"&amp;F$62&amp;"'!B2:B1000")=$B65) * (INDIRECT("'"&amp;F$62&amp;"'!C2:C1000")=$C65)
        ),
        5,
        FALSE
    )=0,
    "",
    VLOOKUP(
        $A65,
        _xlfn._xlws.FILTER(
            INDIRECT("'"&amp;F$62&amp;"'!A2:E1000"), (INDIRECT("'"&amp;F$62&amp;"'!B2:B1000")=$B65) * (INDIRECT("'"&amp;F$62&amp;"'!C2:C1000")=$C65)
        ),
        5,
        FALSE
    )
)</f>
        <v>Enviado</v>
      </c>
      <c r="G65" s="75" t="str">
        <f t="array" aca="1" ref="G65" ca="1">IF(
    VLOOKUP(
        $A65,
        _xlfn._xlws.FILTER(
            INDIRECT("'"&amp;G$62&amp;"'!A2:E1000"), (INDIRECT("'"&amp;G$62&amp;"'!B2:B1000")=$B65) * (INDIRECT("'"&amp;G$62&amp;"'!C2:C1000")=$C65)
        ),
        5,
        FALSE
    )=0,
    "",
    VLOOKUP(
        $A65,
        _xlfn._xlws.FILTER(
            INDIRECT("'"&amp;G$62&amp;"'!A2:E1000"), (INDIRECT("'"&amp;G$62&amp;"'!B2:B1000")=$B65) * (INDIRECT("'"&amp;G$62&amp;"'!C2:C1000")=$C65)
        ),
        5,
        FALSE
    )
)</f>
        <v>Enviado</v>
      </c>
      <c r="H65" s="75" t="str">
        <f t="array" aca="1" ref="H65" ca="1">IF(
    VLOOKUP(
        $A65,
        _xlfn._xlws.FILTER(
            INDIRECT("'"&amp;H$62&amp;"'!A2:E1000"), (INDIRECT("'"&amp;H$62&amp;"'!B2:B1000")=$B65) * (INDIRECT("'"&amp;H$62&amp;"'!C2:C1000")=$C65)
        ),
        5,
        FALSE
    )=0,
    "",
    VLOOKUP(
        $A65,
        _xlfn._xlws.FILTER(
            INDIRECT("'"&amp;H$62&amp;"'!A2:E1000"), (INDIRECT("'"&amp;H$62&amp;"'!B2:B1000")=$B65) * (INDIRECT("'"&amp;H$62&amp;"'!C2:C1000")=$C65)
        ),
        5,
        FALSE
    )
)</f>
        <v>Enviado</v>
      </c>
      <c r="I65" s="75" t="str">
        <f t="array" aca="1" ref="I65" ca="1">IF(
    VLOOKUP(
        $A65,
        _xlfn._xlws.FILTER(
            INDIRECT("'"&amp;I$62&amp;"'!A2:E1000"), (INDIRECT("'"&amp;I$62&amp;"'!B2:B1000")=$B65) * (INDIRECT("'"&amp;I$62&amp;"'!C2:C1000")=$C65)
        ),
        5,
        FALSE
    )=0,
    "",
    VLOOKUP(
        $A65,
        _xlfn._xlws.FILTER(
            INDIRECT("'"&amp;I$62&amp;"'!A2:E1000"), (INDIRECT("'"&amp;I$62&amp;"'!B2:B1000")=$B65) * (INDIRECT("'"&amp;I$62&amp;"'!C2:C1000")=$C65)
        ),
        5,
        FALSE
    )
)</f>
        <v>Enviado</v>
      </c>
      <c r="J65" s="75" t="str">
        <f t="array" aca="1" ref="J65" ca="1">IF(
    VLOOKUP(
        $A65,
        _xlfn._xlws.FILTER(
            INDIRECT("'"&amp;J$62&amp;"'!A2:E1000"), (INDIRECT("'"&amp;J$62&amp;"'!B2:B1000")=$B65) * (INDIRECT("'"&amp;J$62&amp;"'!C2:C1000")=$C65)
        ),
        5,
        FALSE
    )=0,
    "",
    VLOOKUP(
        $A65,
        _xlfn._xlws.FILTER(
            INDIRECT("'"&amp;J$62&amp;"'!A2:E1000"), (INDIRECT("'"&amp;J$62&amp;"'!B2:B1000")=$B65) * (INDIRECT("'"&amp;J$62&amp;"'!C2:C1000")=$C65)
        ),
        5,
        FALSE
    )
)</f>
        <v>Enviado</v>
      </c>
      <c r="K65" s="75" t="str">
        <f t="array" aca="1" ref="K65" ca="1">IF(
    VLOOKUP(
        $A65,
        _xlfn._xlws.FILTER(
            INDIRECT("'"&amp;K$62&amp;"'!A2:E1000"), (INDIRECT("'"&amp;K$62&amp;"'!B2:B1000")=$B65) * (INDIRECT("'"&amp;K$62&amp;"'!C2:C1000")=$C65)
        ),
        5,
        FALSE
    )=0,
    "",
    VLOOKUP(
        $A65,
        _xlfn._xlws.FILTER(
            INDIRECT("'"&amp;K$62&amp;"'!A2:E1000"), (INDIRECT("'"&amp;K$62&amp;"'!B2:B1000")=$B65) * (INDIRECT("'"&amp;K$62&amp;"'!C2:C1000")=$C65)
        ),
        5,
        FALSE
    )
)</f>
        <v>Enviado</v>
      </c>
      <c r="L65" s="75" t="str">
        <f t="array" aca="1" ref="L65" ca="1">IF(
    VLOOKUP(
        $A65,
        _xlfn._xlws.FILTER(
            INDIRECT("'"&amp;L$62&amp;"'!A2:E1000"), (INDIRECT("'"&amp;L$62&amp;"'!B2:B1000")=$B65) * (INDIRECT("'"&amp;L$62&amp;"'!C2:C1000")=$C65)
        ),
        5,
        FALSE
    )=0,
    "",
    VLOOKUP(
        $A65,
        _xlfn._xlws.FILTER(
            INDIRECT("'"&amp;L$62&amp;"'!A2:E1000"), (INDIRECT("'"&amp;L$62&amp;"'!B2:B1000")=$B65) * (INDIRECT("'"&amp;L$62&amp;"'!C2:C1000")=$C65)
        ),
        5,
        FALSE
    )
)</f>
        <v>Enviado</v>
      </c>
      <c r="M65" s="75" t="str">
        <f t="array" aca="1" ref="M65" ca="1">IF(
    VLOOKUP(
        $A65,
        _xlfn._xlws.FILTER(
            INDIRECT("'"&amp;M$62&amp;"'!A2:E1000"), (INDIRECT("'"&amp;M$62&amp;"'!B2:B1000")=$B65) * (INDIRECT("'"&amp;M$62&amp;"'!C2:C1000")=$C65)
        ),
        5,
        FALSE
    )=0,
    "",
    VLOOKUP(
        $A65,
        _xlfn._xlws.FILTER(
            INDIRECT("'"&amp;M$62&amp;"'!A2:E1000"), (INDIRECT("'"&amp;M$62&amp;"'!B2:B1000")=$B65) * (INDIRECT("'"&amp;M$62&amp;"'!C2:C1000")=$C65)
        ),
        5,
        FALSE
    )
)</f>
        <v>Enviado</v>
      </c>
      <c r="N65" s="75" t="str">
        <f t="array" aca="1" ref="N65" ca="1">IF(
    VLOOKUP(
        $A65,
        _xlfn._xlws.FILTER(
            INDIRECT("'"&amp;N$62&amp;"'!A2:E1000"), (INDIRECT("'"&amp;N$62&amp;"'!B2:B1000")=$B65) * (INDIRECT("'"&amp;N$62&amp;"'!C2:C1000")=$C65)
        ),
        5,
        FALSE
    )=0,
    "",
    VLOOKUP(
        $A65,
        _xlfn._xlws.FILTER(
            INDIRECT("'"&amp;N$62&amp;"'!A2:E1000"), (INDIRECT("'"&amp;N$62&amp;"'!B2:B1000")=$B65) * (INDIRECT("'"&amp;N$62&amp;"'!C2:C1000")=$C65)
        ),
        5,
        FALSE
    )
)</f>
        <v/>
      </c>
      <c r="O65" s="75" t="str">
        <f t="array" aca="1" ref="O65" ca="1">IF(
    VLOOKUP(
        $A65,
        _xlfn._xlws.FILTER(
            INDIRECT("'"&amp;O$62&amp;"'!A2:E1000"), (INDIRECT("'"&amp;O$62&amp;"'!B2:B1000")=$B65) * (INDIRECT("'"&amp;O$62&amp;"'!C2:C1000")=$C65)
        ),
        5,
        FALSE
    )=0,
    "",
    VLOOKUP(
        $A65,
        _xlfn._xlws.FILTER(
            INDIRECT("'"&amp;O$62&amp;"'!A2:E1000"), (INDIRECT("'"&amp;O$62&amp;"'!B2:B1000")=$B65) * (INDIRECT("'"&amp;O$62&amp;"'!C2:C1000")=$C65)
        ),
        5,
        FALSE
    )
)</f>
        <v/>
      </c>
      <c r="Q65" s="89"/>
      <c r="R65" s="90" t="s">
        <v>37</v>
      </c>
      <c r="S65" s="91" t="s">
        <v>37</v>
      </c>
      <c r="T65" s="92"/>
    </row>
    <row r="66" spans="1:20">
      <c r="A66" s="81" t="s">
        <v>33</v>
      </c>
      <c r="B66" s="60" t="s">
        <v>129</v>
      </c>
      <c r="C66" s="60" t="s">
        <v>75</v>
      </c>
      <c r="D66" s="75" t="str">
        <f t="array" aca="1" ref="D66" ca="1">IF(
    VLOOKUP(
        $A66,
        _xlfn._xlws.FILTER(
            INDIRECT("'"&amp;D$62&amp;"'!A2:E1000"), (INDIRECT("'"&amp;D$62&amp;"'!B2:B1000")=$B66) * (INDIRECT("'"&amp;D$62&amp;"'!C2:C1000")=$C66)
        ),
        5,
        FALSE
    )=0,
    "",
    VLOOKUP(
        $A66,
        _xlfn._xlws.FILTER(
            INDIRECT("'"&amp;D$62&amp;"'!A2:E1000"), (INDIRECT("'"&amp;D$62&amp;"'!B2:B1000")=$B66) * (INDIRECT("'"&amp;D$62&amp;"'!C2:C1000")=$C66)
        ),
        5,
        FALSE
    )
)</f>
        <v>Enviado</v>
      </c>
      <c r="E66" s="75" t="str">
        <f t="array" aca="1" ref="E66" ca="1">IF(
    VLOOKUP(
        $A66,
        _xlfn._xlws.FILTER(
            INDIRECT("'"&amp;E$62&amp;"'!A2:E1000"), (INDIRECT("'"&amp;E$62&amp;"'!B2:B1000")=$B66) * (INDIRECT("'"&amp;E$62&amp;"'!C2:C1000")=$C66)
        ),
        5,
        FALSE
    )=0,
    "",
    VLOOKUP(
        $A66,
        _xlfn._xlws.FILTER(
            INDIRECT("'"&amp;E$62&amp;"'!A2:E1000"), (INDIRECT("'"&amp;E$62&amp;"'!B2:B1000")=$B66) * (INDIRECT("'"&amp;E$62&amp;"'!C2:C1000")=$C66)
        ),
        5,
        FALSE
    )
)</f>
        <v>Enviado</v>
      </c>
      <c r="F66" s="75" t="str">
        <f t="array" aca="1" ref="F66" ca="1">IF(
    VLOOKUP(
        $A66,
        _xlfn._xlws.FILTER(
            INDIRECT("'"&amp;F$62&amp;"'!A2:E1000"), (INDIRECT("'"&amp;F$62&amp;"'!B2:B1000")=$B66) * (INDIRECT("'"&amp;F$62&amp;"'!C2:C1000")=$C66)
        ),
        5,
        FALSE
    )=0,
    "",
    VLOOKUP(
        $A66,
        _xlfn._xlws.FILTER(
            INDIRECT("'"&amp;F$62&amp;"'!A2:E1000"), (INDIRECT("'"&amp;F$62&amp;"'!B2:B1000")=$B66) * (INDIRECT("'"&amp;F$62&amp;"'!C2:C1000")=$C66)
        ),
        5,
        FALSE
    )
)</f>
        <v>Enviado</v>
      </c>
      <c r="G66" s="75" t="str">
        <f t="array" aca="1" ref="G66" ca="1">IF(
    VLOOKUP(
        $A66,
        _xlfn._xlws.FILTER(
            INDIRECT("'"&amp;G$62&amp;"'!A2:E1000"), (INDIRECT("'"&amp;G$62&amp;"'!B2:B1000")=$B66) * (INDIRECT("'"&amp;G$62&amp;"'!C2:C1000")=$C66)
        ),
        5,
        FALSE
    )=0,
    "",
    VLOOKUP(
        $A66,
        _xlfn._xlws.FILTER(
            INDIRECT("'"&amp;G$62&amp;"'!A2:E1000"), (INDIRECT("'"&amp;G$62&amp;"'!B2:B1000")=$B66) * (INDIRECT("'"&amp;G$62&amp;"'!C2:C1000")=$C66)
        ),
        5,
        FALSE
    )
)</f>
        <v>Enviado</v>
      </c>
      <c r="H66" s="75" t="str">
        <f t="array" aca="1" ref="H66" ca="1">IF(
    VLOOKUP(
        $A66,
        _xlfn._xlws.FILTER(
            INDIRECT("'"&amp;H$62&amp;"'!A2:E1000"), (INDIRECT("'"&amp;H$62&amp;"'!B2:B1000")=$B66) * (INDIRECT("'"&amp;H$62&amp;"'!C2:C1000")=$C66)
        ),
        5,
        FALSE
    )=0,
    "",
    VLOOKUP(
        $A66,
        _xlfn._xlws.FILTER(
            INDIRECT("'"&amp;H$62&amp;"'!A2:E1000"), (INDIRECT("'"&amp;H$62&amp;"'!B2:B1000")=$B66) * (INDIRECT("'"&amp;H$62&amp;"'!C2:C1000")=$C66)
        ),
        5,
        FALSE
    )
)</f>
        <v>Enviado</v>
      </c>
      <c r="I66" s="75" t="str">
        <f t="array" aca="1" ref="I66" ca="1">IF(
    VLOOKUP(
        $A66,
        _xlfn._xlws.FILTER(
            INDIRECT("'"&amp;I$62&amp;"'!A2:E1000"), (INDIRECT("'"&amp;I$62&amp;"'!B2:B1000")=$B66) * (INDIRECT("'"&amp;I$62&amp;"'!C2:C1000")=$C66)
        ),
        5,
        FALSE
    )=0,
    "",
    VLOOKUP(
        $A66,
        _xlfn._xlws.FILTER(
            INDIRECT("'"&amp;I$62&amp;"'!A2:E1000"), (INDIRECT("'"&amp;I$62&amp;"'!B2:B1000")=$B66) * (INDIRECT("'"&amp;I$62&amp;"'!C2:C1000")=$C66)
        ),
        5,
        FALSE
    )
)</f>
        <v>Enviado</v>
      </c>
      <c r="J66" s="75" t="str">
        <f t="array" aca="1" ref="J66" ca="1">IF(
    VLOOKUP(
        $A66,
        _xlfn._xlws.FILTER(
            INDIRECT("'"&amp;J$62&amp;"'!A2:E1000"), (INDIRECT("'"&amp;J$62&amp;"'!B2:B1000")=$B66) * (INDIRECT("'"&amp;J$62&amp;"'!C2:C1000")=$C66)
        ),
        5,
        FALSE
    )=0,
    "",
    VLOOKUP(
        $A66,
        _xlfn._xlws.FILTER(
            INDIRECT("'"&amp;J$62&amp;"'!A2:E1000"), (INDIRECT("'"&amp;J$62&amp;"'!B2:B1000")=$B66) * (INDIRECT("'"&amp;J$62&amp;"'!C2:C1000")=$C66)
        ),
        5,
        FALSE
    )
)</f>
        <v>Enviado</v>
      </c>
      <c r="K66" s="75" t="str">
        <f t="array" aca="1" ref="K66" ca="1">IF(
    VLOOKUP(
        $A66,
        _xlfn._xlws.FILTER(
            INDIRECT("'"&amp;K$62&amp;"'!A2:E1000"), (INDIRECT("'"&amp;K$62&amp;"'!B2:B1000")=$B66) * (INDIRECT("'"&amp;K$62&amp;"'!C2:C1000")=$C66)
        ),
        5,
        FALSE
    )=0,
    "",
    VLOOKUP(
        $A66,
        _xlfn._xlws.FILTER(
            INDIRECT("'"&amp;K$62&amp;"'!A2:E1000"), (INDIRECT("'"&amp;K$62&amp;"'!B2:B1000")=$B66) * (INDIRECT("'"&amp;K$62&amp;"'!C2:C1000")=$C66)
        ),
        5,
        FALSE
    )
)</f>
        <v>Enviado</v>
      </c>
      <c r="L66" s="75" t="str">
        <f t="array" aca="1" ref="L66" ca="1">IF(
    VLOOKUP(
        $A66,
        _xlfn._xlws.FILTER(
            INDIRECT("'"&amp;L$62&amp;"'!A2:E1000"), (INDIRECT("'"&amp;L$62&amp;"'!B2:B1000")=$B66) * (INDIRECT("'"&amp;L$62&amp;"'!C2:C1000")=$C66)
        ),
        5,
        FALSE
    )=0,
    "",
    VLOOKUP(
        $A66,
        _xlfn._xlws.FILTER(
            INDIRECT("'"&amp;L$62&amp;"'!A2:E1000"), (INDIRECT("'"&amp;L$62&amp;"'!B2:B1000")=$B66) * (INDIRECT("'"&amp;L$62&amp;"'!C2:C1000")=$C66)
        ),
        5,
        FALSE
    )
)</f>
        <v>Enviado</v>
      </c>
      <c r="M66" s="75" t="str">
        <f t="array" aca="1" ref="M66" ca="1">IF(
    VLOOKUP(
        $A66,
        _xlfn._xlws.FILTER(
            INDIRECT("'"&amp;M$62&amp;"'!A2:E1000"), (INDIRECT("'"&amp;M$62&amp;"'!B2:B1000")=$B66) * (INDIRECT("'"&amp;M$62&amp;"'!C2:C1000")=$C66)
        ),
        5,
        FALSE
    )=0,
    "",
    VLOOKUP(
        $A66,
        _xlfn._xlws.FILTER(
            INDIRECT("'"&amp;M$62&amp;"'!A2:E1000"), (INDIRECT("'"&amp;M$62&amp;"'!B2:B1000")=$B66) * (INDIRECT("'"&amp;M$62&amp;"'!C2:C1000")=$C66)
        ),
        5,
        FALSE
    )
)</f>
        <v>Enviado</v>
      </c>
      <c r="N66" s="75" t="str">
        <f t="array" aca="1" ref="N66" ca="1">IF(
    VLOOKUP(
        $A66,
        _xlfn._xlws.FILTER(
            INDIRECT("'"&amp;N$62&amp;"'!A2:E1000"), (INDIRECT("'"&amp;N$62&amp;"'!B2:B1000")=$B66) * (INDIRECT("'"&amp;N$62&amp;"'!C2:C1000")=$C66)
        ),
        5,
        FALSE
    )=0,
    "",
    VLOOKUP(
        $A66,
        _xlfn._xlws.FILTER(
            INDIRECT("'"&amp;N$62&amp;"'!A2:E1000"), (INDIRECT("'"&amp;N$62&amp;"'!B2:B1000")=$B66) * (INDIRECT("'"&amp;N$62&amp;"'!C2:C1000")=$C66)
        ),
        5,
        FALSE
    )
)</f>
        <v/>
      </c>
      <c r="O66" s="75" t="str">
        <f t="array" aca="1" ref="O66" ca="1">IF(
    VLOOKUP(
        $A66,
        _xlfn._xlws.FILTER(
            INDIRECT("'"&amp;O$62&amp;"'!A2:E1000"), (INDIRECT("'"&amp;O$62&amp;"'!B2:B1000")=$B66) * (INDIRECT("'"&amp;O$62&amp;"'!C2:C1000")=$C66)
        ),
        5,
        FALSE
    )=0,
    "",
    VLOOKUP(
        $A66,
        _xlfn._xlws.FILTER(
            INDIRECT("'"&amp;O$62&amp;"'!A2:E1000"), (INDIRECT("'"&amp;O$62&amp;"'!B2:B1000")=$B66) * (INDIRECT("'"&amp;O$62&amp;"'!C2:C1000")=$C66)
        ),
        5,
        FALSE
    )
)</f>
        <v/>
      </c>
      <c r="Q66" s="93"/>
      <c r="R66" s="94" t="s">
        <v>39</v>
      </c>
      <c r="S66" s="95" t="s">
        <v>39</v>
      </c>
      <c r="T66" s="96"/>
    </row>
    <row r="67" spans="1:20">
      <c r="A67" s="81" t="s">
        <v>33</v>
      </c>
      <c r="B67" s="60" t="s">
        <v>130</v>
      </c>
      <c r="C67" s="60" t="s">
        <v>75</v>
      </c>
      <c r="D67" s="75" t="str">
        <f t="array" aca="1" ref="D67" ca="1">IF(
    VLOOKUP(
        $A67,
        _xlfn._xlws.FILTER(
            INDIRECT("'"&amp;D$62&amp;"'!A2:E1000"), (INDIRECT("'"&amp;D$62&amp;"'!B2:B1000")=$B67) * (INDIRECT("'"&amp;D$62&amp;"'!C2:C1000")=$C67)
        ),
        5,
        FALSE
    )=0,
    "",
    VLOOKUP(
        $A67,
        _xlfn._xlws.FILTER(
            INDIRECT("'"&amp;D$62&amp;"'!A2:E1000"), (INDIRECT("'"&amp;D$62&amp;"'!B2:B1000")=$B67) * (INDIRECT("'"&amp;D$62&amp;"'!C2:C1000")=$C67)
        ),
        5,
        FALSE
    )
)</f>
        <v>Enviado</v>
      </c>
      <c r="E67" s="75" t="str">
        <f t="array" aca="1" ref="E67" ca="1">IF(
    VLOOKUP(
        $A67,
        _xlfn._xlws.FILTER(
            INDIRECT("'"&amp;E$62&amp;"'!A2:E1000"), (INDIRECT("'"&amp;E$62&amp;"'!B2:B1000")=$B67) * (INDIRECT("'"&amp;E$62&amp;"'!C2:C1000")=$C67)
        ),
        5,
        FALSE
    )=0,
    "",
    VLOOKUP(
        $A67,
        _xlfn._xlws.FILTER(
            INDIRECT("'"&amp;E$62&amp;"'!A2:E1000"), (INDIRECT("'"&amp;E$62&amp;"'!B2:B1000")=$B67) * (INDIRECT("'"&amp;E$62&amp;"'!C2:C1000")=$C67)
        ),
        5,
        FALSE
    )
)</f>
        <v>Enviado</v>
      </c>
      <c r="F67" s="75" t="str">
        <f t="array" aca="1" ref="F67" ca="1">IF(
    VLOOKUP(
        $A67,
        _xlfn._xlws.FILTER(
            INDIRECT("'"&amp;F$62&amp;"'!A2:E1000"), (INDIRECT("'"&amp;F$62&amp;"'!B2:B1000")=$B67) * (INDIRECT("'"&amp;F$62&amp;"'!C2:C1000")=$C67)
        ),
        5,
        FALSE
    )=0,
    "",
    VLOOKUP(
        $A67,
        _xlfn._xlws.FILTER(
            INDIRECT("'"&amp;F$62&amp;"'!A2:E1000"), (INDIRECT("'"&amp;F$62&amp;"'!B2:B1000")=$B67) * (INDIRECT("'"&amp;F$62&amp;"'!C2:C1000")=$C67)
        ),
        5,
        FALSE
    )
)</f>
        <v>Enviado</v>
      </c>
      <c r="G67" s="75" t="str">
        <f t="array" aca="1" ref="G67" ca="1">IF(
    VLOOKUP(
        $A67,
        _xlfn._xlws.FILTER(
            INDIRECT("'"&amp;G$62&amp;"'!A2:E1000"), (INDIRECT("'"&amp;G$62&amp;"'!B2:B1000")=$B67) * (INDIRECT("'"&amp;G$62&amp;"'!C2:C1000")=$C67)
        ),
        5,
        FALSE
    )=0,
    "",
    VLOOKUP(
        $A67,
        _xlfn._xlws.FILTER(
            INDIRECT("'"&amp;G$62&amp;"'!A2:E1000"), (INDIRECT("'"&amp;G$62&amp;"'!B2:B1000")=$B67) * (INDIRECT("'"&amp;G$62&amp;"'!C2:C1000")=$C67)
        ),
        5,
        FALSE
    )
)</f>
        <v>Enviado</v>
      </c>
      <c r="H67" s="75" t="str">
        <f t="array" aca="1" ref="H67" ca="1">IF(
    VLOOKUP(
        $A67,
        _xlfn._xlws.FILTER(
            INDIRECT("'"&amp;H$62&amp;"'!A2:E1000"), (INDIRECT("'"&amp;H$62&amp;"'!B2:B1000")=$B67) * (INDIRECT("'"&amp;H$62&amp;"'!C2:C1000")=$C67)
        ),
        5,
        FALSE
    )=0,
    "",
    VLOOKUP(
        $A67,
        _xlfn._xlws.FILTER(
            INDIRECT("'"&amp;H$62&amp;"'!A2:E1000"), (INDIRECT("'"&amp;H$62&amp;"'!B2:B1000")=$B67) * (INDIRECT("'"&amp;H$62&amp;"'!C2:C1000")=$C67)
        ),
        5,
        FALSE
    )
)</f>
        <v>Enviado</v>
      </c>
      <c r="I67" s="75" t="str">
        <f t="array" aca="1" ref="I67" ca="1">IF(
    VLOOKUP(
        $A67,
        _xlfn._xlws.FILTER(
            INDIRECT("'"&amp;I$62&amp;"'!A2:E1000"), (INDIRECT("'"&amp;I$62&amp;"'!B2:B1000")=$B67) * (INDIRECT("'"&amp;I$62&amp;"'!C2:C1000")=$C67)
        ),
        5,
        FALSE
    )=0,
    "",
    VLOOKUP(
        $A67,
        _xlfn._xlws.FILTER(
            INDIRECT("'"&amp;I$62&amp;"'!A2:E1000"), (INDIRECT("'"&amp;I$62&amp;"'!B2:B1000")=$B67) * (INDIRECT("'"&amp;I$62&amp;"'!C2:C1000")=$C67)
        ),
        5,
        FALSE
    )
)</f>
        <v>Enviado</v>
      </c>
      <c r="J67" s="75" t="str">
        <f t="array" aca="1" ref="J67" ca="1">IF(
    VLOOKUP(
        $A67,
        _xlfn._xlws.FILTER(
            INDIRECT("'"&amp;J$62&amp;"'!A2:E1000"), (INDIRECT("'"&amp;J$62&amp;"'!B2:B1000")=$B67) * (INDIRECT("'"&amp;J$62&amp;"'!C2:C1000")=$C67)
        ),
        5,
        FALSE
    )=0,
    "",
    VLOOKUP(
        $A67,
        _xlfn._xlws.FILTER(
            INDIRECT("'"&amp;J$62&amp;"'!A2:E1000"), (INDIRECT("'"&amp;J$62&amp;"'!B2:B1000")=$B67) * (INDIRECT("'"&amp;J$62&amp;"'!C2:C1000")=$C67)
        ),
        5,
        FALSE
    )
)</f>
        <v>Enviado</v>
      </c>
      <c r="K67" s="75" t="str">
        <f t="array" aca="1" ref="K67" ca="1">IF(
    VLOOKUP(
        $A67,
        _xlfn._xlws.FILTER(
            INDIRECT("'"&amp;K$62&amp;"'!A2:E1000"), (INDIRECT("'"&amp;K$62&amp;"'!B2:B1000")=$B67) * (INDIRECT("'"&amp;K$62&amp;"'!C2:C1000")=$C67)
        ),
        5,
        FALSE
    )=0,
    "",
    VLOOKUP(
        $A67,
        _xlfn._xlws.FILTER(
            INDIRECT("'"&amp;K$62&amp;"'!A2:E1000"), (INDIRECT("'"&amp;K$62&amp;"'!B2:B1000")=$B67) * (INDIRECT("'"&amp;K$62&amp;"'!C2:C1000")=$C67)
        ),
        5,
        FALSE
    )
)</f>
        <v>Enviado</v>
      </c>
      <c r="L67" s="75" t="str">
        <f t="array" aca="1" ref="L67" ca="1">IF(
    VLOOKUP(
        $A67,
        _xlfn._xlws.FILTER(
            INDIRECT("'"&amp;L$62&amp;"'!A2:E1000"), (INDIRECT("'"&amp;L$62&amp;"'!B2:B1000")=$B67) * (INDIRECT("'"&amp;L$62&amp;"'!C2:C1000")=$C67)
        ),
        5,
        FALSE
    )=0,
    "",
    VLOOKUP(
        $A67,
        _xlfn._xlws.FILTER(
            INDIRECT("'"&amp;L$62&amp;"'!A2:E1000"), (INDIRECT("'"&amp;L$62&amp;"'!B2:B1000")=$B67) * (INDIRECT("'"&amp;L$62&amp;"'!C2:C1000")=$C67)
        ),
        5,
        FALSE
    )
)</f>
        <v>Enviado</v>
      </c>
      <c r="M67" s="75" t="str">
        <f t="array" aca="1" ref="M67" ca="1">IF(
    VLOOKUP(
        $A67,
        _xlfn._xlws.FILTER(
            INDIRECT("'"&amp;M$62&amp;"'!A2:E1000"), (INDIRECT("'"&amp;M$62&amp;"'!B2:B1000")=$B67) * (INDIRECT("'"&amp;M$62&amp;"'!C2:C1000")=$C67)
        ),
        5,
        FALSE
    )=0,
    "",
    VLOOKUP(
        $A67,
        _xlfn._xlws.FILTER(
            INDIRECT("'"&amp;M$62&amp;"'!A2:E1000"), (INDIRECT("'"&amp;M$62&amp;"'!B2:B1000")=$B67) * (INDIRECT("'"&amp;M$62&amp;"'!C2:C1000")=$C67)
        ),
        5,
        FALSE
    )
)</f>
        <v>Enviado</v>
      </c>
      <c r="N67" s="75" t="str">
        <f t="array" aca="1" ref="N67" ca="1">IF(
    VLOOKUP(
        $A67,
        _xlfn._xlws.FILTER(
            INDIRECT("'"&amp;N$62&amp;"'!A2:E1000"), (INDIRECT("'"&amp;N$62&amp;"'!B2:B1000")=$B67) * (INDIRECT("'"&amp;N$62&amp;"'!C2:C1000")=$C67)
        ),
        5,
        FALSE
    )=0,
    "",
    VLOOKUP(
        $A67,
        _xlfn._xlws.FILTER(
            INDIRECT("'"&amp;N$62&amp;"'!A2:E1000"), (INDIRECT("'"&amp;N$62&amp;"'!B2:B1000")=$B67) * (INDIRECT("'"&amp;N$62&amp;"'!C2:C1000")=$C67)
        ),
        5,
        FALSE
    )
)</f>
        <v/>
      </c>
      <c r="O67" s="75" t="str">
        <f t="array" aca="1" ref="O67" ca="1">IF(
    VLOOKUP(
        $A67,
        _xlfn._xlws.FILTER(
            INDIRECT("'"&amp;O$62&amp;"'!A2:E1000"), (INDIRECT("'"&amp;O$62&amp;"'!B2:B1000")=$B67) * (INDIRECT("'"&amp;O$62&amp;"'!C2:C1000")=$C67)
        ),
        5,
        FALSE
    )=0,
    "",
    VLOOKUP(
        $A67,
        _xlfn._xlws.FILTER(
            INDIRECT("'"&amp;O$62&amp;"'!A2:E1000"), (INDIRECT("'"&amp;O$62&amp;"'!B2:B1000")=$B67) * (INDIRECT("'"&amp;O$62&amp;"'!C2:C1000")=$C67)
        ),
        5,
        FALSE
    )
)</f>
        <v/>
      </c>
      <c r="Q67" s="97"/>
      <c r="R67" s="98" t="s">
        <v>26</v>
      </c>
      <c r="S67" s="99" t="s">
        <v>26</v>
      </c>
      <c r="T67" s="100"/>
    </row>
    <row r="68" spans="1:20">
      <c r="A68" s="81" t="s">
        <v>33</v>
      </c>
      <c r="B68" s="60" t="s">
        <v>131</v>
      </c>
      <c r="C68" s="60" t="s">
        <v>75</v>
      </c>
      <c r="D68" s="75" t="str">
        <f t="array" aca="1" ref="D68" ca="1">IF(
    VLOOKUP(
        $A68,
        _xlfn._xlws.FILTER(
            INDIRECT("'"&amp;D$62&amp;"'!A2:E1000"), (INDIRECT("'"&amp;D$62&amp;"'!B2:B1000")=$B68) * (INDIRECT("'"&amp;D$62&amp;"'!C2:C1000")=$C68)
        ),
        5,
        FALSE
    )=0,
    "",
    VLOOKUP(
        $A68,
        _xlfn._xlws.FILTER(
            INDIRECT("'"&amp;D$62&amp;"'!A2:E1000"), (INDIRECT("'"&amp;D$62&amp;"'!B2:B1000")=$B68) * (INDIRECT("'"&amp;D$62&amp;"'!C2:C1000")=$C68)
        ),
        5,
        FALSE
    )
)</f>
        <v>Enviado</v>
      </c>
      <c r="E68" s="75" t="str">
        <f t="array" aca="1" ref="E68" ca="1">IF(
    VLOOKUP(
        $A68,
        _xlfn._xlws.FILTER(
            INDIRECT("'"&amp;E$62&amp;"'!A2:E1000"), (INDIRECT("'"&amp;E$62&amp;"'!B2:B1000")=$B68) * (INDIRECT("'"&amp;E$62&amp;"'!C2:C1000")=$C68)
        ),
        5,
        FALSE
    )=0,
    "",
    VLOOKUP(
        $A68,
        _xlfn._xlws.FILTER(
            INDIRECT("'"&amp;E$62&amp;"'!A2:E1000"), (INDIRECT("'"&amp;E$62&amp;"'!B2:B1000")=$B68) * (INDIRECT("'"&amp;E$62&amp;"'!C2:C1000")=$C68)
        ),
        5,
        FALSE
    )
)</f>
        <v>Enviado</v>
      </c>
      <c r="F68" s="75" t="str">
        <f t="array" aca="1" ref="F68" ca="1">IF(
    VLOOKUP(
        $A68,
        _xlfn._xlws.FILTER(
            INDIRECT("'"&amp;F$62&amp;"'!A2:E1000"), (INDIRECT("'"&amp;F$62&amp;"'!B2:B1000")=$B68) * (INDIRECT("'"&amp;F$62&amp;"'!C2:C1000")=$C68)
        ),
        5,
        FALSE
    )=0,
    "",
    VLOOKUP(
        $A68,
        _xlfn._xlws.FILTER(
            INDIRECT("'"&amp;F$62&amp;"'!A2:E1000"), (INDIRECT("'"&amp;F$62&amp;"'!B2:B1000")=$B68) * (INDIRECT("'"&amp;F$62&amp;"'!C2:C1000")=$C68)
        ),
        5,
        FALSE
    )
)</f>
        <v>Enviado</v>
      </c>
      <c r="G68" s="75" t="str">
        <f t="array" aca="1" ref="G68" ca="1">IF(
    VLOOKUP(
        $A68,
        _xlfn._xlws.FILTER(
            INDIRECT("'"&amp;G$62&amp;"'!A2:E1000"), (INDIRECT("'"&amp;G$62&amp;"'!B2:B1000")=$B68) * (INDIRECT("'"&amp;G$62&amp;"'!C2:C1000")=$C68)
        ),
        5,
        FALSE
    )=0,
    "",
    VLOOKUP(
        $A68,
        _xlfn._xlws.FILTER(
            INDIRECT("'"&amp;G$62&amp;"'!A2:E1000"), (INDIRECT("'"&amp;G$62&amp;"'!B2:B1000")=$B68) * (INDIRECT("'"&amp;G$62&amp;"'!C2:C1000")=$C68)
        ),
        5,
        FALSE
    )
)</f>
        <v>Enviado</v>
      </c>
      <c r="H68" s="75" t="str">
        <f t="array" aca="1" ref="H68" ca="1">IF(
    VLOOKUP(
        $A68,
        _xlfn._xlws.FILTER(
            INDIRECT("'"&amp;H$62&amp;"'!A2:E1000"), (INDIRECT("'"&amp;H$62&amp;"'!B2:B1000")=$B68) * (INDIRECT("'"&amp;H$62&amp;"'!C2:C1000")=$C68)
        ),
        5,
        FALSE
    )=0,
    "",
    VLOOKUP(
        $A68,
        _xlfn._xlws.FILTER(
            INDIRECT("'"&amp;H$62&amp;"'!A2:E1000"), (INDIRECT("'"&amp;H$62&amp;"'!B2:B1000")=$B68) * (INDIRECT("'"&amp;H$62&amp;"'!C2:C1000")=$C68)
        ),
        5,
        FALSE
    )
)</f>
        <v>Enviado</v>
      </c>
      <c r="I68" s="75" t="str">
        <f t="array" aca="1" ref="I68" ca="1">IF(
    VLOOKUP(
        $A68,
        _xlfn._xlws.FILTER(
            INDIRECT("'"&amp;I$62&amp;"'!A2:E1000"), (INDIRECT("'"&amp;I$62&amp;"'!B2:B1000")=$B68) * (INDIRECT("'"&amp;I$62&amp;"'!C2:C1000")=$C68)
        ),
        5,
        FALSE
    )=0,
    "",
    VLOOKUP(
        $A68,
        _xlfn._xlws.FILTER(
            INDIRECT("'"&amp;I$62&amp;"'!A2:E1000"), (INDIRECT("'"&amp;I$62&amp;"'!B2:B1000")=$B68) * (INDIRECT("'"&amp;I$62&amp;"'!C2:C1000")=$C68)
        ),
        5,
        FALSE
    )
)</f>
        <v>Enviado</v>
      </c>
      <c r="J68" s="75" t="str">
        <f t="array" aca="1" ref="J68" ca="1">IF(
    VLOOKUP(
        $A68,
        _xlfn._xlws.FILTER(
            INDIRECT("'"&amp;J$62&amp;"'!A2:E1000"), (INDIRECT("'"&amp;J$62&amp;"'!B2:B1000")=$B68) * (INDIRECT("'"&amp;J$62&amp;"'!C2:C1000")=$C68)
        ),
        5,
        FALSE
    )=0,
    "",
    VLOOKUP(
        $A68,
        _xlfn._xlws.FILTER(
            INDIRECT("'"&amp;J$62&amp;"'!A2:E1000"), (INDIRECT("'"&amp;J$62&amp;"'!B2:B1000")=$B68) * (INDIRECT("'"&amp;J$62&amp;"'!C2:C1000")=$C68)
        ),
        5,
        FALSE
    )
)</f>
        <v>Enviado</v>
      </c>
      <c r="K68" s="75" t="str">
        <f t="array" aca="1" ref="K68" ca="1">IF(
    VLOOKUP(
        $A68,
        _xlfn._xlws.FILTER(
            INDIRECT("'"&amp;K$62&amp;"'!A2:E1000"), (INDIRECT("'"&amp;K$62&amp;"'!B2:B1000")=$B68) * (INDIRECT("'"&amp;K$62&amp;"'!C2:C1000")=$C68)
        ),
        5,
        FALSE
    )=0,
    "",
    VLOOKUP(
        $A68,
        _xlfn._xlws.FILTER(
            INDIRECT("'"&amp;K$62&amp;"'!A2:E1000"), (INDIRECT("'"&amp;K$62&amp;"'!B2:B1000")=$B68) * (INDIRECT("'"&amp;K$62&amp;"'!C2:C1000")=$C68)
        ),
        5,
        FALSE
    )
)</f>
        <v>Enviado</v>
      </c>
      <c r="L68" s="75" t="str">
        <f t="array" aca="1" ref="L68" ca="1">IF(
    VLOOKUP(
        $A68,
        _xlfn._xlws.FILTER(
            INDIRECT("'"&amp;L$62&amp;"'!A2:E1000"), (INDIRECT("'"&amp;L$62&amp;"'!B2:B1000")=$B68) * (INDIRECT("'"&amp;L$62&amp;"'!C2:C1000")=$C68)
        ),
        5,
        FALSE
    )=0,
    "",
    VLOOKUP(
        $A68,
        _xlfn._xlws.FILTER(
            INDIRECT("'"&amp;L$62&amp;"'!A2:E1000"), (INDIRECT("'"&amp;L$62&amp;"'!B2:B1000")=$B68) * (INDIRECT("'"&amp;L$62&amp;"'!C2:C1000")=$C68)
        ),
        5,
        FALSE
    )
)</f>
        <v>Enviado</v>
      </c>
      <c r="M68" s="75" t="str">
        <f t="array" aca="1" ref="M68" ca="1">IF(
    VLOOKUP(
        $A68,
        _xlfn._xlws.FILTER(
            INDIRECT("'"&amp;M$62&amp;"'!A2:E1000"), (INDIRECT("'"&amp;M$62&amp;"'!B2:B1000")=$B68) * (INDIRECT("'"&amp;M$62&amp;"'!C2:C1000")=$C68)
        ),
        5,
        FALSE
    )=0,
    "",
    VLOOKUP(
        $A68,
        _xlfn._xlws.FILTER(
            INDIRECT("'"&amp;M$62&amp;"'!A2:E1000"), (INDIRECT("'"&amp;M$62&amp;"'!B2:B1000")=$B68) * (INDIRECT("'"&amp;M$62&amp;"'!C2:C1000")=$C68)
        ),
        5,
        FALSE
    )
)</f>
        <v>Enviado</v>
      </c>
      <c r="N68" s="75" t="str">
        <f t="array" aca="1" ref="N68" ca="1">IF(
    VLOOKUP(
        $A68,
        _xlfn._xlws.FILTER(
            INDIRECT("'"&amp;N$62&amp;"'!A2:E1000"), (INDIRECT("'"&amp;N$62&amp;"'!B2:B1000")=$B68) * (INDIRECT("'"&amp;N$62&amp;"'!C2:C1000")=$C68)
        ),
        5,
        FALSE
    )=0,
    "",
    VLOOKUP(
        $A68,
        _xlfn._xlws.FILTER(
            INDIRECT("'"&amp;N$62&amp;"'!A2:E1000"), (INDIRECT("'"&amp;N$62&amp;"'!B2:B1000")=$B68) * (INDIRECT("'"&amp;N$62&amp;"'!C2:C1000")=$C68)
        ),
        5,
        FALSE
    )
)</f>
        <v/>
      </c>
      <c r="O68" s="75" t="str">
        <f t="array" aca="1" ref="O68" ca="1">IF(
    VLOOKUP(
        $A68,
        _xlfn._xlws.FILTER(
            INDIRECT("'"&amp;O$62&amp;"'!A2:E1000"), (INDIRECT("'"&amp;O$62&amp;"'!B2:B1000")=$B68) * (INDIRECT("'"&amp;O$62&amp;"'!C2:C1000")=$C68)
        ),
        5,
        FALSE
    )=0,
    "",
    VLOOKUP(
        $A68,
        _xlfn._xlws.FILTER(
            INDIRECT("'"&amp;O$62&amp;"'!A2:E1000"), (INDIRECT("'"&amp;O$62&amp;"'!B2:B1000")=$B68) * (INDIRECT("'"&amp;O$62&amp;"'!C2:C1000")=$C68)
        ),
        5,
        FALSE
    )
)</f>
        <v/>
      </c>
      <c r="Q68" s="101"/>
      <c r="R68" s="102" t="s">
        <v>42</v>
      </c>
      <c r="S68" s="103" t="s">
        <v>42</v>
      </c>
      <c r="T68" s="101"/>
    </row>
    <row r="69" spans="1:20">
      <c r="A69" s="81" t="s">
        <v>33</v>
      </c>
      <c r="B69" s="60" t="s">
        <v>132</v>
      </c>
      <c r="C69" s="60" t="s">
        <v>75</v>
      </c>
      <c r="D69" s="75" t="str">
        <f t="array" aca="1" ref="D69" ca="1">IF(
    VLOOKUP(
        $A69,
        _xlfn._xlws.FILTER(
            INDIRECT("'"&amp;D$62&amp;"'!A2:E1000"), (INDIRECT("'"&amp;D$62&amp;"'!B2:B1000")=$B69) * (INDIRECT("'"&amp;D$62&amp;"'!C2:C1000")=$C69)
        ),
        5,
        FALSE
    )=0,
    "",
    VLOOKUP(
        $A69,
        _xlfn._xlws.FILTER(
            INDIRECT("'"&amp;D$62&amp;"'!A2:E1000"), (INDIRECT("'"&amp;D$62&amp;"'!B2:B1000")=$B69) * (INDIRECT("'"&amp;D$62&amp;"'!C2:C1000")=$C69)
        ),
        5,
        FALSE
    )
)</f>
        <v>Enviado</v>
      </c>
      <c r="E69" s="75" t="str">
        <f t="array" aca="1" ref="E69" ca="1">IF(
    VLOOKUP(
        $A69,
        _xlfn._xlws.FILTER(
            INDIRECT("'"&amp;E$62&amp;"'!A2:E1000"), (INDIRECT("'"&amp;E$62&amp;"'!B2:B1000")=$B69) * (INDIRECT("'"&amp;E$62&amp;"'!C2:C1000")=$C69)
        ),
        5,
        FALSE
    )=0,
    "",
    VLOOKUP(
        $A69,
        _xlfn._xlws.FILTER(
            INDIRECT("'"&amp;E$62&amp;"'!A2:E1000"), (INDIRECT("'"&amp;E$62&amp;"'!B2:B1000")=$B69) * (INDIRECT("'"&amp;E$62&amp;"'!C2:C1000")=$C69)
        ),
        5,
        FALSE
    )
)</f>
        <v>Enviado</v>
      </c>
      <c r="F69" s="75" t="str">
        <f t="array" aca="1" ref="F69" ca="1">IF(
    VLOOKUP(
        $A69,
        _xlfn._xlws.FILTER(
            INDIRECT("'"&amp;F$62&amp;"'!A2:E1000"), (INDIRECT("'"&amp;F$62&amp;"'!B2:B1000")=$B69) * (INDIRECT("'"&amp;F$62&amp;"'!C2:C1000")=$C69)
        ),
        5,
        FALSE
    )=0,
    "",
    VLOOKUP(
        $A69,
        _xlfn._xlws.FILTER(
            INDIRECT("'"&amp;F$62&amp;"'!A2:E1000"), (INDIRECT("'"&amp;F$62&amp;"'!B2:B1000")=$B69) * (INDIRECT("'"&amp;F$62&amp;"'!C2:C1000")=$C69)
        ),
        5,
        FALSE
    )
)</f>
        <v>Enviado</v>
      </c>
      <c r="G69" s="75" t="str">
        <f t="array" aca="1" ref="G69" ca="1">IF(
    VLOOKUP(
        $A69,
        _xlfn._xlws.FILTER(
            INDIRECT("'"&amp;G$62&amp;"'!A2:E1000"), (INDIRECT("'"&amp;G$62&amp;"'!B2:B1000")=$B69) * (INDIRECT("'"&amp;G$62&amp;"'!C2:C1000")=$C69)
        ),
        5,
        FALSE
    )=0,
    "",
    VLOOKUP(
        $A69,
        _xlfn._xlws.FILTER(
            INDIRECT("'"&amp;G$62&amp;"'!A2:E1000"), (INDIRECT("'"&amp;G$62&amp;"'!B2:B1000")=$B69) * (INDIRECT("'"&amp;G$62&amp;"'!C2:C1000")=$C69)
        ),
        5,
        FALSE
    )
)</f>
        <v>Enviado</v>
      </c>
      <c r="H69" s="75" t="str">
        <f t="array" aca="1" ref="H69" ca="1">IF(
    VLOOKUP(
        $A69,
        _xlfn._xlws.FILTER(
            INDIRECT("'"&amp;H$62&amp;"'!A2:E1000"), (INDIRECT("'"&amp;H$62&amp;"'!B2:B1000")=$B69) * (INDIRECT("'"&amp;H$62&amp;"'!C2:C1000")=$C69)
        ),
        5,
        FALSE
    )=0,
    "",
    VLOOKUP(
        $A69,
        _xlfn._xlws.FILTER(
            INDIRECT("'"&amp;H$62&amp;"'!A2:E1000"), (INDIRECT("'"&amp;H$62&amp;"'!B2:B1000")=$B69) * (INDIRECT("'"&amp;H$62&amp;"'!C2:C1000")=$C69)
        ),
        5,
        FALSE
    )
)</f>
        <v>Enviado</v>
      </c>
      <c r="I69" s="75" t="str">
        <f t="array" aca="1" ref="I69" ca="1">IF(
    VLOOKUP(
        $A69,
        _xlfn._xlws.FILTER(
            INDIRECT("'"&amp;I$62&amp;"'!A2:E1000"), (INDIRECT("'"&amp;I$62&amp;"'!B2:B1000")=$B69) * (INDIRECT("'"&amp;I$62&amp;"'!C2:C1000")=$C69)
        ),
        5,
        FALSE
    )=0,
    "",
    VLOOKUP(
        $A69,
        _xlfn._xlws.FILTER(
            INDIRECT("'"&amp;I$62&amp;"'!A2:E1000"), (INDIRECT("'"&amp;I$62&amp;"'!B2:B1000")=$B69) * (INDIRECT("'"&amp;I$62&amp;"'!C2:C1000")=$C69)
        ),
        5,
        FALSE
    )
)</f>
        <v>Enviado</v>
      </c>
      <c r="J69" s="75" t="str">
        <f t="array" aca="1" ref="J69" ca="1">IF(
    VLOOKUP(
        $A69,
        _xlfn._xlws.FILTER(
            INDIRECT("'"&amp;J$62&amp;"'!A2:E1000"), (INDIRECT("'"&amp;J$62&amp;"'!B2:B1000")=$B69) * (INDIRECT("'"&amp;J$62&amp;"'!C2:C1000")=$C69)
        ),
        5,
        FALSE
    )=0,
    "",
    VLOOKUP(
        $A69,
        _xlfn._xlws.FILTER(
            INDIRECT("'"&amp;J$62&amp;"'!A2:E1000"), (INDIRECT("'"&amp;J$62&amp;"'!B2:B1000")=$B69) * (INDIRECT("'"&amp;J$62&amp;"'!C2:C1000")=$C69)
        ),
        5,
        FALSE
    )
)</f>
        <v>Enviado</v>
      </c>
      <c r="K69" s="75" t="str">
        <f t="array" aca="1" ref="K69" ca="1">IF(
    VLOOKUP(
        $A69,
        _xlfn._xlws.FILTER(
            INDIRECT("'"&amp;K$62&amp;"'!A2:E1000"), (INDIRECT("'"&amp;K$62&amp;"'!B2:B1000")=$B69) * (INDIRECT("'"&amp;K$62&amp;"'!C2:C1000")=$C69)
        ),
        5,
        FALSE
    )=0,
    "",
    VLOOKUP(
        $A69,
        _xlfn._xlws.FILTER(
            INDIRECT("'"&amp;K$62&amp;"'!A2:E1000"), (INDIRECT("'"&amp;K$62&amp;"'!B2:B1000")=$B69) * (INDIRECT("'"&amp;K$62&amp;"'!C2:C1000")=$C69)
        ),
        5,
        FALSE
    )
)</f>
        <v>Enviado</v>
      </c>
      <c r="L69" s="75" t="str">
        <f t="array" aca="1" ref="L69" ca="1">IF(
    VLOOKUP(
        $A69,
        _xlfn._xlws.FILTER(
            INDIRECT("'"&amp;L$62&amp;"'!A2:E1000"), (INDIRECT("'"&amp;L$62&amp;"'!B2:B1000")=$B69) * (INDIRECT("'"&amp;L$62&amp;"'!C2:C1000")=$C69)
        ),
        5,
        FALSE
    )=0,
    "",
    VLOOKUP(
        $A69,
        _xlfn._xlws.FILTER(
            INDIRECT("'"&amp;L$62&amp;"'!A2:E1000"), (INDIRECT("'"&amp;L$62&amp;"'!B2:B1000")=$B69) * (INDIRECT("'"&amp;L$62&amp;"'!C2:C1000")=$C69)
        ),
        5,
        FALSE
    )
)</f>
        <v>Enviado</v>
      </c>
      <c r="M69" s="75" t="str">
        <f t="array" aca="1" ref="M69" ca="1">IF(
    VLOOKUP(
        $A69,
        _xlfn._xlws.FILTER(
            INDIRECT("'"&amp;M$62&amp;"'!A2:E1000"), (INDIRECT("'"&amp;M$62&amp;"'!B2:B1000")=$B69) * (INDIRECT("'"&amp;M$62&amp;"'!C2:C1000")=$C69)
        ),
        5,
        FALSE
    )=0,
    "",
    VLOOKUP(
        $A69,
        _xlfn._xlws.FILTER(
            INDIRECT("'"&amp;M$62&amp;"'!A2:E1000"), (INDIRECT("'"&amp;M$62&amp;"'!B2:B1000")=$B69) * (INDIRECT("'"&amp;M$62&amp;"'!C2:C1000")=$C69)
        ),
        5,
        FALSE
    )
)</f>
        <v>Enviado</v>
      </c>
      <c r="N69" s="75" t="str">
        <f t="array" aca="1" ref="N69" ca="1">IF(
    VLOOKUP(
        $A69,
        _xlfn._xlws.FILTER(
            INDIRECT("'"&amp;N$62&amp;"'!A2:E1000"), (INDIRECT("'"&amp;N$62&amp;"'!B2:B1000")=$B69) * (INDIRECT("'"&amp;N$62&amp;"'!C2:C1000")=$C69)
        ),
        5,
        FALSE
    )=0,
    "",
    VLOOKUP(
        $A69,
        _xlfn._xlws.FILTER(
            INDIRECT("'"&amp;N$62&amp;"'!A2:E1000"), (INDIRECT("'"&amp;N$62&amp;"'!B2:B1000")=$B69) * (INDIRECT("'"&amp;N$62&amp;"'!C2:C1000")=$C69)
        ),
        5,
        FALSE
    )
)</f>
        <v/>
      </c>
      <c r="O69" s="75" t="str">
        <f t="array" aca="1" ref="O69" ca="1">IF(
    VLOOKUP(
        $A69,
        _xlfn._xlws.FILTER(
            INDIRECT("'"&amp;O$62&amp;"'!A2:E1000"), (INDIRECT("'"&amp;O$62&amp;"'!B2:B1000")=$B69) * (INDIRECT("'"&amp;O$62&amp;"'!C2:C1000")=$C69)
        ),
        5,
        FALSE
    )=0,
    "",
    VLOOKUP(
        $A69,
        _xlfn._xlws.FILTER(
            INDIRECT("'"&amp;O$62&amp;"'!A2:E1000"), (INDIRECT("'"&amp;O$62&amp;"'!B2:B1000")=$B69) * (INDIRECT("'"&amp;O$62&amp;"'!C2:C1000")=$C69)
        ),
        5,
        FALSE
    )
)</f>
        <v/>
      </c>
      <c r="Q69" s="104"/>
      <c r="R69" s="105" t="s">
        <v>43</v>
      </c>
      <c r="S69" s="105" t="s">
        <v>43</v>
      </c>
      <c r="T69" s="106"/>
    </row>
    <row r="70" spans="1:20">
      <c r="A70" s="81" t="s">
        <v>33</v>
      </c>
      <c r="B70" s="60" t="s">
        <v>133</v>
      </c>
      <c r="C70" s="60" t="s">
        <v>75</v>
      </c>
      <c r="D70" s="75" t="str">
        <f t="array" aca="1" ref="D70" ca="1">IF(
    VLOOKUP(
        $A70,
        _xlfn._xlws.FILTER(
            INDIRECT("'"&amp;D$62&amp;"'!A2:E1000"), (INDIRECT("'"&amp;D$62&amp;"'!B2:B1000")=$B70) * (INDIRECT("'"&amp;D$62&amp;"'!C2:C1000")=$C70)
        ),
        5,
        FALSE
    )=0,
    "",
    VLOOKUP(
        $A70,
        _xlfn._xlws.FILTER(
            INDIRECT("'"&amp;D$62&amp;"'!A2:E1000"), (INDIRECT("'"&amp;D$62&amp;"'!B2:B1000")=$B70) * (INDIRECT("'"&amp;D$62&amp;"'!C2:C1000")=$C70)
        ),
        5,
        FALSE
    )
)</f>
        <v>Enviado</v>
      </c>
      <c r="E70" s="75" t="str">
        <f t="array" aca="1" ref="E70" ca="1">IF(
    VLOOKUP(
        $A70,
        _xlfn._xlws.FILTER(
            INDIRECT("'"&amp;E$62&amp;"'!A2:E1000"), (INDIRECT("'"&amp;E$62&amp;"'!B2:B1000")=$B70) * (INDIRECT("'"&amp;E$62&amp;"'!C2:C1000")=$C70)
        ),
        5,
        FALSE
    )=0,
    "",
    VLOOKUP(
        $A70,
        _xlfn._xlws.FILTER(
            INDIRECT("'"&amp;E$62&amp;"'!A2:E1000"), (INDIRECT("'"&amp;E$62&amp;"'!B2:B1000")=$B70) * (INDIRECT("'"&amp;E$62&amp;"'!C2:C1000")=$C70)
        ),
        5,
        FALSE
    )
)</f>
        <v>Enviado</v>
      </c>
      <c r="F70" s="75" t="str">
        <f t="array" aca="1" ref="F70" ca="1">IF(
    VLOOKUP(
        $A70,
        _xlfn._xlws.FILTER(
            INDIRECT("'"&amp;F$62&amp;"'!A2:E1000"), (INDIRECT("'"&amp;F$62&amp;"'!B2:B1000")=$B70) * (INDIRECT("'"&amp;F$62&amp;"'!C2:C1000")=$C70)
        ),
        5,
        FALSE
    )=0,
    "",
    VLOOKUP(
        $A70,
        _xlfn._xlws.FILTER(
            INDIRECT("'"&amp;F$62&amp;"'!A2:E1000"), (INDIRECT("'"&amp;F$62&amp;"'!B2:B1000")=$B70) * (INDIRECT("'"&amp;F$62&amp;"'!C2:C1000")=$C70)
        ),
        5,
        FALSE
    )
)</f>
        <v>Enviado</v>
      </c>
      <c r="G70" s="75" t="str">
        <f t="array" aca="1" ref="G70" ca="1">IF(
    VLOOKUP(
        $A70,
        _xlfn._xlws.FILTER(
            INDIRECT("'"&amp;G$62&amp;"'!A2:E1000"), (INDIRECT("'"&amp;G$62&amp;"'!B2:B1000")=$B70) * (INDIRECT("'"&amp;G$62&amp;"'!C2:C1000")=$C70)
        ),
        5,
        FALSE
    )=0,
    "",
    VLOOKUP(
        $A70,
        _xlfn._xlws.FILTER(
            INDIRECT("'"&amp;G$62&amp;"'!A2:E1000"), (INDIRECT("'"&amp;G$62&amp;"'!B2:B1000")=$B70) * (INDIRECT("'"&amp;G$62&amp;"'!C2:C1000")=$C70)
        ),
        5,
        FALSE
    )
)</f>
        <v>Enviado</v>
      </c>
      <c r="H70" s="75" t="str">
        <f t="array" aca="1" ref="H70" ca="1">IF(
    VLOOKUP(
        $A70,
        _xlfn._xlws.FILTER(
            INDIRECT("'"&amp;H$62&amp;"'!A2:E1000"), (INDIRECT("'"&amp;H$62&amp;"'!B2:B1000")=$B70) * (INDIRECT("'"&amp;H$62&amp;"'!C2:C1000")=$C70)
        ),
        5,
        FALSE
    )=0,
    "",
    VLOOKUP(
        $A70,
        _xlfn._xlws.FILTER(
            INDIRECT("'"&amp;H$62&amp;"'!A2:E1000"), (INDIRECT("'"&amp;H$62&amp;"'!B2:B1000")=$B70) * (INDIRECT("'"&amp;H$62&amp;"'!C2:C1000")=$C70)
        ),
        5,
        FALSE
    )
)</f>
        <v>Enviado</v>
      </c>
      <c r="I70" s="75" t="str">
        <f t="array" aca="1" ref="I70" ca="1">IF(
    VLOOKUP(
        $A70,
        _xlfn._xlws.FILTER(
            INDIRECT("'"&amp;I$62&amp;"'!A2:E1000"), (INDIRECT("'"&amp;I$62&amp;"'!B2:B1000")=$B70) * (INDIRECT("'"&amp;I$62&amp;"'!C2:C1000")=$C70)
        ),
        5,
        FALSE
    )=0,
    "",
    VLOOKUP(
        $A70,
        _xlfn._xlws.FILTER(
            INDIRECT("'"&amp;I$62&amp;"'!A2:E1000"), (INDIRECT("'"&amp;I$62&amp;"'!B2:B1000")=$B70) * (INDIRECT("'"&amp;I$62&amp;"'!C2:C1000")=$C70)
        ),
        5,
        FALSE
    )
)</f>
        <v>Enviado</v>
      </c>
      <c r="J70" s="75" t="str">
        <f t="array" aca="1" ref="J70" ca="1">IF(
    VLOOKUP(
        $A70,
        _xlfn._xlws.FILTER(
            INDIRECT("'"&amp;J$62&amp;"'!A2:E1000"), (INDIRECT("'"&amp;J$62&amp;"'!B2:B1000")=$B70) * (INDIRECT("'"&amp;J$62&amp;"'!C2:C1000")=$C70)
        ),
        5,
        FALSE
    )=0,
    "",
    VLOOKUP(
        $A70,
        _xlfn._xlws.FILTER(
            INDIRECT("'"&amp;J$62&amp;"'!A2:E1000"), (INDIRECT("'"&amp;J$62&amp;"'!B2:B1000")=$B70) * (INDIRECT("'"&amp;J$62&amp;"'!C2:C1000")=$C70)
        ),
        5,
        FALSE
    )
)</f>
        <v>Enviado</v>
      </c>
      <c r="K70" s="75" t="str">
        <f t="array" aca="1" ref="K70" ca="1">IF(
    VLOOKUP(
        $A70,
        _xlfn._xlws.FILTER(
            INDIRECT("'"&amp;K$62&amp;"'!A2:E1000"), (INDIRECT("'"&amp;K$62&amp;"'!B2:B1000")=$B70) * (INDIRECT("'"&amp;K$62&amp;"'!C2:C1000")=$C70)
        ),
        5,
        FALSE
    )=0,
    "",
    VLOOKUP(
        $A70,
        _xlfn._xlws.FILTER(
            INDIRECT("'"&amp;K$62&amp;"'!A2:E1000"), (INDIRECT("'"&amp;K$62&amp;"'!B2:B1000")=$B70) * (INDIRECT("'"&amp;K$62&amp;"'!C2:C1000")=$C70)
        ),
        5,
        FALSE
    )
)</f>
        <v>Enviado</v>
      </c>
      <c r="L70" s="75" t="str">
        <f t="array" aca="1" ref="L70" ca="1">IF(
    VLOOKUP(
        $A70,
        _xlfn._xlws.FILTER(
            INDIRECT("'"&amp;L$62&amp;"'!A2:E1000"), (INDIRECT("'"&amp;L$62&amp;"'!B2:B1000")=$B70) * (INDIRECT("'"&amp;L$62&amp;"'!C2:C1000")=$C70)
        ),
        5,
        FALSE
    )=0,
    "",
    VLOOKUP(
        $A70,
        _xlfn._xlws.FILTER(
            INDIRECT("'"&amp;L$62&amp;"'!A2:E1000"), (INDIRECT("'"&amp;L$62&amp;"'!B2:B1000")=$B70) * (INDIRECT("'"&amp;L$62&amp;"'!C2:C1000")=$C70)
        ),
        5,
        FALSE
    )
)</f>
        <v>Enviado</v>
      </c>
      <c r="M70" s="75" t="str">
        <f t="array" aca="1" ref="M70" ca="1">IF(
    VLOOKUP(
        $A70,
        _xlfn._xlws.FILTER(
            INDIRECT("'"&amp;M$62&amp;"'!A2:E1000"), (INDIRECT("'"&amp;M$62&amp;"'!B2:B1000")=$B70) * (INDIRECT("'"&amp;M$62&amp;"'!C2:C1000")=$C70)
        ),
        5,
        FALSE
    )=0,
    "",
    VLOOKUP(
        $A70,
        _xlfn._xlws.FILTER(
            INDIRECT("'"&amp;M$62&amp;"'!A2:E1000"), (INDIRECT("'"&amp;M$62&amp;"'!B2:B1000")=$B70) * (INDIRECT("'"&amp;M$62&amp;"'!C2:C1000")=$C70)
        ),
        5,
        FALSE
    )
)</f>
        <v>Enviado</v>
      </c>
      <c r="N70" s="75" t="str">
        <f t="array" aca="1" ref="N70" ca="1">IF(
    VLOOKUP(
        $A70,
        _xlfn._xlws.FILTER(
            INDIRECT("'"&amp;N$62&amp;"'!A2:E1000"), (INDIRECT("'"&amp;N$62&amp;"'!B2:B1000")=$B70) * (INDIRECT("'"&amp;N$62&amp;"'!C2:C1000")=$C70)
        ),
        5,
        FALSE
    )=0,
    "",
    VLOOKUP(
        $A70,
        _xlfn._xlws.FILTER(
            INDIRECT("'"&amp;N$62&amp;"'!A2:E1000"), (INDIRECT("'"&amp;N$62&amp;"'!B2:B1000")=$B70) * (INDIRECT("'"&amp;N$62&amp;"'!C2:C1000")=$C70)
        ),
        5,
        FALSE
    )
)</f>
        <v/>
      </c>
      <c r="O70" s="75" t="str">
        <f t="array" aca="1" ref="O70" ca="1">IF(
    VLOOKUP(
        $A70,
        _xlfn._xlws.FILTER(
            INDIRECT("'"&amp;O$62&amp;"'!A2:E1000"), (INDIRECT("'"&amp;O$62&amp;"'!B2:B1000")=$B70) * (INDIRECT("'"&amp;O$62&amp;"'!C2:C1000")=$C70)
        ),
        5,
        FALSE
    )=0,
    "",
    VLOOKUP(
        $A70,
        _xlfn._xlws.FILTER(
            INDIRECT("'"&amp;O$62&amp;"'!A2:E1000"), (INDIRECT("'"&amp;O$62&amp;"'!B2:B1000")=$B70) * (INDIRECT("'"&amp;O$62&amp;"'!C2:C1000")=$C70)
        ),
        5,
        FALSE
    )
)</f>
        <v/>
      </c>
    </row>
  </sheetData>
  <conditionalFormatting sqref="D2:O14 D17:O25 D28:O40 D43:O50 D53:O60 D63:O70">
    <cfRule type="cellIs" dxfId="297" priority="67" operator="equal">
      <formula>"Duplicado"</formula>
    </cfRule>
    <cfRule type="cellIs" dxfId="296" priority="68" operator="equal">
      <formula>"Sem Técnico"</formula>
    </cfRule>
    <cfRule type="cellIs" dxfId="295" priority="69" operator="equal">
      <formula>"Outras Ocorrências"</formula>
    </cfRule>
    <cfRule type="cellIs" dxfId="294" priority="70" operator="equal">
      <formula>"Atrasado &gt;= 2"</formula>
    </cfRule>
    <cfRule type="cellIs" dxfId="293" priority="71" operator="equal">
      <formula>"Atrasado"</formula>
    </cfRule>
    <cfRule type="cellIs" dxfId="292" priority="72" operator="equal">
      <formula>"Enviado"</formula>
    </cfRule>
  </conditionalFormatting>
  <conditionalFormatting sqref="M63:M70">
    <cfRule type="cellIs" dxfId="291" priority="55" operator="equal">
      <formula>"Duplicado"</formula>
    </cfRule>
    <cfRule type="cellIs" dxfId="290" priority="56" operator="equal">
      <formula>"UVR Sem Técnico"</formula>
    </cfRule>
    <cfRule type="cellIs" dxfId="289" priority="57" operator="equal">
      <formula>"Outras Ocorrências"</formula>
    </cfRule>
    <cfRule type="cellIs" dxfId="288" priority="58" operator="equal">
      <formula>"Atrasado &gt;= 2"</formula>
    </cfRule>
    <cfRule type="cellIs" dxfId="287" priority="59" operator="equal">
      <formula>"Atrasado"</formula>
    </cfRule>
    <cfRule type="cellIs" dxfId="286" priority="60" operator="equal">
      <formula>"Enviado"</formula>
    </cfRule>
  </conditionalFormatting>
  <conditionalFormatting sqref="N63:N70">
    <cfRule type="cellIs" dxfId="285" priority="49" operator="equal">
      <formula>"Duplicado"</formula>
    </cfRule>
    <cfRule type="cellIs" dxfId="284" priority="50" operator="equal">
      <formula>"UVR Sem Técnico"</formula>
    </cfRule>
    <cfRule type="cellIs" dxfId="283" priority="51" operator="equal">
      <formula>"Outras Ocorrências"</formula>
    </cfRule>
    <cfRule type="cellIs" dxfId="282" priority="52" operator="equal">
      <formula>"Atrasado &gt;= 2"</formula>
    </cfRule>
    <cfRule type="cellIs" dxfId="281" priority="53" operator="equal">
      <formula>"Atrasado"</formula>
    </cfRule>
    <cfRule type="cellIs" dxfId="280" priority="54" operator="equal">
      <formula>"Enviado"</formula>
    </cfRule>
  </conditionalFormatting>
  <conditionalFormatting sqref="O63:O70">
    <cfRule type="cellIs" dxfId="279" priority="43" operator="equal">
      <formula>"Duplicado"</formula>
    </cfRule>
    <cfRule type="cellIs" dxfId="278" priority="44" operator="equal">
      <formula>"UVR Sem Técnico"</formula>
    </cfRule>
    <cfRule type="cellIs" dxfId="277" priority="45" operator="equal">
      <formula>"Outras Ocorrências"</formula>
    </cfRule>
    <cfRule type="cellIs" dxfId="276" priority="46" operator="equal">
      <formula>"Atrasado &gt;= 2"</formula>
    </cfRule>
    <cfRule type="cellIs" dxfId="275" priority="47" operator="equal">
      <formula>"Atrasado"</formula>
    </cfRule>
    <cfRule type="cellIs" dxfId="274" priority="48"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RowHeight="15"/>
  <cols>
    <col min="1" max="1" width="18.5703125" customWidth="1"/>
    <col min="2" max="2" width="31.140625" customWidth="1"/>
    <col min="3" max="3" width="8.5703125" customWidth="1"/>
    <col min="4" max="4" width="9.140625" customWidth="1"/>
    <col min="10" max="10" width="8.85546875" customWidth="1"/>
    <col min="17" max="17" width="9.140625" customWidth="1"/>
    <col min="19" max="19" width="18.42578125" customWidth="1"/>
    <col min="20" max="20" width="19.7109375" customWidth="1"/>
    <col min="21" max="21" width="7.5703125" customWidth="1"/>
  </cols>
  <sheetData>
    <row r="1" spans="1:16" ht="15.75" customHeight="1">
      <c r="A1" s="73" t="s">
        <v>71</v>
      </c>
      <c r="B1" s="21" t="s">
        <v>72</v>
      </c>
      <c r="C1" s="21" t="s">
        <v>73</v>
      </c>
      <c r="D1" s="74" t="s">
        <v>1</v>
      </c>
      <c r="E1" s="74" t="s">
        <v>2</v>
      </c>
      <c r="F1" s="74" t="s">
        <v>3</v>
      </c>
      <c r="G1" s="74" t="s">
        <v>4</v>
      </c>
      <c r="H1" s="74" t="s">
        <v>5</v>
      </c>
      <c r="I1" s="74" t="s">
        <v>6</v>
      </c>
      <c r="J1" s="74" t="s">
        <v>7</v>
      </c>
      <c r="K1" s="74" t="s">
        <v>8</v>
      </c>
      <c r="L1" s="74" t="s">
        <v>9</v>
      </c>
      <c r="M1" s="74" t="s">
        <v>9</v>
      </c>
      <c r="N1" s="74" t="s">
        <v>10</v>
      </c>
      <c r="O1" s="74" t="s">
        <v>11</v>
      </c>
      <c r="P1" s="74" t="s">
        <v>12</v>
      </c>
    </row>
    <row r="2" spans="1:16">
      <c r="A2" s="32" t="s">
        <v>35</v>
      </c>
      <c r="B2" s="60" t="s">
        <v>74</v>
      </c>
      <c r="C2" s="60" t="s">
        <v>75</v>
      </c>
      <c r="D2" s="60" t="str">
        <f t="array" aca="1" ref="D2" ca="1">IF(
    VLOOKUP(
        $A2,
        _xlfn._xlws.FILTER(
            INDIRECT("'"&amp;D$62&amp;"'!A2:G1000"), (INDIRECT("'"&amp;D$62&amp;"'!B2:B1000")=$B2) * (INDIRECT("'"&amp;D$62&amp;"'!C2:C1000")=$C2)
        ),
        5,
        FALSE
    )="",
    "",
    VLOOKUP(
        $A2,
        _xlfn._xlws.FILTER(
            INDIRECT("'"&amp;D$62&amp;"'!A2:G1000"), (INDIRECT("'"&amp;D$62&amp;"'!B2:B1000")=$B2) * (INDIRECT("'"&amp;D$62&amp;"'!C2:C1000")=$C2)
        ),
        7,
        FALSE
    )
)</f>
        <v>Sim</v>
      </c>
      <c r="E2" s="60" t="str">
        <f t="array" aca="1" ref="E2" ca="1">IF(
    VLOOKUP(
        $A2,
        _xlfn._xlws.FILTER(
            INDIRECT("'"&amp;E$62&amp;"'!A2:G1000"), (INDIRECT("'"&amp;E$62&amp;"'!B2:B1000")=$B2) * (INDIRECT("'"&amp;E$62&amp;"'!C2:C1000")=$C2)
        ),
        5,
        FALSE
    )="",
    "",
    VLOOKUP(
        $A2,
        _xlfn._xlws.FILTER(
            INDIRECT("'"&amp;E$62&amp;"'!A2:G1000"), (INDIRECT("'"&amp;E$62&amp;"'!B2:B1000")=$B2) * (INDIRECT("'"&amp;E$62&amp;"'!C2:C1000")=$C2)
        ),
        7,
        FALSE
    )
)</f>
        <v>Sim</v>
      </c>
      <c r="F2" s="60" t="str">
        <f t="array" aca="1" ref="F2" ca="1">IF(
    VLOOKUP(
        $A2,
        _xlfn._xlws.FILTER(
            INDIRECT("'"&amp;F$62&amp;"'!A2:G1000"), (INDIRECT("'"&amp;F$62&amp;"'!B2:B1000")=$B2) * (INDIRECT("'"&amp;F$62&amp;"'!C2:C1000")=$C2)
        ),
        5,
        FALSE
    )="",
    "",
    VLOOKUP(
        $A2,
        _xlfn._xlws.FILTER(
            INDIRECT("'"&amp;F$62&amp;"'!A2:G1000"), (INDIRECT("'"&amp;F$62&amp;"'!B2:B1000")=$B2) * (INDIRECT("'"&amp;F$62&amp;"'!C2:C1000")=$C2)
        ),
        7,
        FALSE
    )
)</f>
        <v>Sim</v>
      </c>
      <c r="G2" s="60" t="str">
        <f t="array" aca="1" ref="G2" ca="1">IF(
    VLOOKUP(
        $A2,
        _xlfn._xlws.FILTER(
            INDIRECT("'"&amp;G$62&amp;"'!A2:G1000"), (INDIRECT("'"&amp;G$62&amp;"'!B2:B1000")=$B2) * (INDIRECT("'"&amp;G$62&amp;"'!C2:C1000")=$C2)
        ),
        5,
        FALSE
    )="",
    "",
    VLOOKUP(
        $A2,
        _xlfn._xlws.FILTER(
            INDIRECT("'"&amp;G$62&amp;"'!A2:G1000"), (INDIRECT("'"&amp;G$62&amp;"'!B2:B1000")=$B2) * (INDIRECT("'"&amp;G$62&amp;"'!C2:C1000")=$C2)
        ),
        7,
        FALSE
    )
)</f>
        <v>Sim</v>
      </c>
      <c r="H2" s="60" t="str">
        <f t="array" aca="1" ref="H2" ca="1">IF(
    VLOOKUP(
        $A2,
        _xlfn._xlws.FILTER(
            INDIRECT("'"&amp;H$62&amp;"'!A2:G1000"), (INDIRECT("'"&amp;H$62&amp;"'!B2:B1000")=$B2) * (INDIRECT("'"&amp;H$62&amp;"'!C2:C1000")=$C2)
        ),
        5,
        FALSE
    )="",
    "",
    VLOOKUP(
        $A2,
        _xlfn._xlws.FILTER(
            INDIRECT("'"&amp;H$62&amp;"'!A2:G1000"), (INDIRECT("'"&amp;H$62&amp;"'!B2:B1000")=$B2) * (INDIRECT("'"&amp;H$62&amp;"'!C2:C1000")=$C2)
        ),
        7,
        FALSE
    )
)</f>
        <v>Sim</v>
      </c>
      <c r="I2" s="60" t="str">
        <f t="array" aca="1" ref="I2" ca="1">IF(
    VLOOKUP(
        $A2,
        _xlfn._xlws.FILTER(
            INDIRECT("'"&amp;I$62&amp;"'!A2:G1000"), (INDIRECT("'"&amp;I$62&amp;"'!B2:B1000")=$B2) * (INDIRECT("'"&amp;I$62&amp;"'!C2:C1000")=$C2)
        ),
        5,
        FALSE
    )="",
    "",
    VLOOKUP(
        $A2,
        _xlfn._xlws.FILTER(
            INDIRECT("'"&amp;I$62&amp;"'!A2:G1000"), (INDIRECT("'"&amp;I$62&amp;"'!B2:B1000")=$B2) * (INDIRECT("'"&amp;I$62&amp;"'!C2:C1000")=$C2)
        ),
        7,
        FALSE
    )
)</f>
        <v>Sim</v>
      </c>
      <c r="J2" s="60" t="str">
        <f t="array" aca="1" ref="J2" ca="1">IF(
    VLOOKUP(
        $A2,
        _xlfn._xlws.FILTER(
            INDIRECT("'"&amp;J$62&amp;"'!A2:G1000"), (INDIRECT("'"&amp;J$62&amp;"'!B2:B1000")=$B2) * (INDIRECT("'"&amp;J$62&amp;"'!C2:C1000")=$C2)
        ),
        5,
        FALSE
    )="",
    "",
    VLOOKUP(
        $A2,
        _xlfn._xlws.FILTER(
            INDIRECT("'"&amp;J$62&amp;"'!A2:G1000"), (INDIRECT("'"&amp;J$62&amp;"'!B2:B1000")=$B2) * (INDIRECT("'"&amp;J$62&amp;"'!C2:C1000")=$C2)
        ),
        7,
        FALSE
    )
)</f>
        <v>Sim</v>
      </c>
      <c r="K2" s="60" t="str">
        <f t="array" aca="1" ref="K2" ca="1">IF(
    VLOOKUP(
        $A2,
        _xlfn._xlws.FILTER(
            INDIRECT("'"&amp;K$62&amp;"'!A2:G1000"), (INDIRECT("'"&amp;K$62&amp;"'!B2:B1000")=$B2) * (INDIRECT("'"&amp;K$62&amp;"'!C2:C1000")=$C2)
        ),
        5,
        FALSE
    )="",
    "",
    VLOOKUP(
        $A2,
        _xlfn._xlws.FILTER(
            INDIRECT("'"&amp;K$62&amp;"'!A2:G1000"), (INDIRECT("'"&amp;K$62&amp;"'!B2:B1000")=$B2) * (INDIRECT("'"&amp;K$62&amp;"'!C2:C1000")=$C2)
        ),
        7,
        FALSE
    )
)</f>
        <v>Sim</v>
      </c>
      <c r="L2" s="60" t="str">
        <f t="array" aca="1" ref="L2" ca="1">IF(
    VLOOKUP(
        $A2,
        _xlfn._xlws.FILTER(
            INDIRECT("'"&amp;L$62&amp;"'!A2:G1000"), (INDIRECT("'"&amp;L$62&amp;"'!B2:B1000")=$B2) * (INDIRECT("'"&amp;L$62&amp;"'!C2:C1000")=$C2)
        ),
        5,
        FALSE
    )="",
    "",
    VLOOKUP(
        $A2,
        _xlfn._xlws.FILTER(
            INDIRECT("'"&amp;L$62&amp;"'!A2:G1000"), (INDIRECT("'"&amp;L$62&amp;"'!B2:B1000")=$B2) * (INDIRECT("'"&amp;L$62&amp;"'!C2:C1000")=$C2)
        ),
        7,
        FALSE
    )
)</f>
        <v>Sim</v>
      </c>
      <c r="M2" s="60" t="str">
        <f t="array" aca="1" ref="M2" ca="1">IF(
    VLOOKUP(
        $A2,
        _xlfn._xlws.FILTER(
            INDIRECT("'"&amp;M$62&amp;"'!A2:G1000"), (INDIRECT("'"&amp;M$62&amp;"'!B2:B1000")=$B2) * (INDIRECT("'"&amp;M$62&amp;"'!C2:C1000")=$C2)
        ),
        5,
        FALSE
    )="",
    "",
    VLOOKUP(
        $A2,
        _xlfn._xlws.FILTER(
            INDIRECT("'"&amp;M$62&amp;"'!A2:G1000"), (INDIRECT("'"&amp;M$62&amp;"'!B2:B1000")=$B2) * (INDIRECT("'"&amp;M$62&amp;"'!C2:C1000")=$C2)
        ),
        7,
        FALSE
    )
)</f>
        <v>Sim</v>
      </c>
      <c r="N2" s="60" t="str">
        <f t="array" aca="1" ref="N2" ca="1">IF(
    VLOOKUP(
        $A2,
        _xlfn._xlws.FILTER(
            INDIRECT("'"&amp;N$62&amp;"'!A2:G1000"), (INDIRECT("'"&amp;N$62&amp;"'!B2:B1000")=$B2) * (INDIRECT("'"&amp;N$62&amp;"'!C2:C1000")=$C2)
        ),
        5,
        FALSE
    )="",
    "",
    VLOOKUP(
        $A2,
        _xlfn._xlws.FILTER(
            INDIRECT("'"&amp;N$62&amp;"'!A2:G1000"), (INDIRECT("'"&amp;N$62&amp;"'!B2:B1000")=$B2) * (INDIRECT("'"&amp;N$62&amp;"'!C2:C1000")=$C2)
        ),
        7,
        FALSE
    )
)</f>
        <v>Não</v>
      </c>
      <c r="O2" s="60" t="str">
        <f t="array" aca="1" ref="O2" ca="1">IF(
    VLOOKUP(
        $A2,
        _xlfn._xlws.FILTER(
            INDIRECT("'"&amp;O$62&amp;"'!A2:G1000"), (INDIRECT("'"&amp;O$62&amp;"'!B2:B1000")=$B2) * (INDIRECT("'"&amp;O$62&amp;"'!C2:C1000")=$C2)
        ),
        5,
        FALSE
    )="",
    "",
    VLOOKUP(
        $A2,
        _xlfn._xlws.FILTER(
            INDIRECT("'"&amp;O$62&amp;"'!A2:G1000"), (INDIRECT("'"&amp;O$62&amp;"'!B2:B1000")=$B2) * (INDIRECT("'"&amp;O$62&amp;"'!C2:C1000")=$C2)
        ),
        7,
        FALSE
    )
)</f>
        <v/>
      </c>
      <c r="P2" s="60" t="str">
        <f t="array" aca="1" ref="P2" ca="1">IF(
    VLOOKUP(
        $A2,
        _xlfn._xlws.FILTER(
            INDIRECT("'"&amp;P$62&amp;"'!A2:G1000"), (INDIRECT("'"&amp;P$62&amp;"'!B2:B1000")=$B2) * (INDIRECT("'"&amp;P$62&amp;"'!C2:C1000")=$C2)
        ),
        5,
        FALSE
    )="",
    "",
    VLOOKUP(
        $A2,
        _xlfn._xlws.FILTER(
            INDIRECT("'"&amp;P$62&amp;"'!A2:G1000"), (INDIRECT("'"&amp;P$62&amp;"'!B2:B1000")=$B2) * (INDIRECT("'"&amp;P$62&amp;"'!C2:C1000")=$C2)
        ),
        7,
        FALSE
    )
)</f>
        <v/>
      </c>
    </row>
    <row r="3" spans="1:16">
      <c r="A3" s="32" t="s">
        <v>35</v>
      </c>
      <c r="B3" s="60" t="s">
        <v>74</v>
      </c>
      <c r="C3" s="60" t="s">
        <v>76</v>
      </c>
      <c r="D3" s="60" t="str">
        <f t="array" aca="1" ref="D3" ca="1">IF(
    VLOOKUP(
        $A3,
        _xlfn._xlws.FILTER(
            INDIRECT("'"&amp;D$62&amp;"'!A2:G1000"), (INDIRECT("'"&amp;D$62&amp;"'!B2:B1000")=$B3) * (INDIRECT("'"&amp;D$62&amp;"'!C2:C1000")=$C3)
        ),
        5,
        FALSE
    )="",
    "",
    VLOOKUP(
        $A3,
        _xlfn._xlws.FILTER(
            INDIRECT("'"&amp;D$62&amp;"'!A2:G1000"), (INDIRECT("'"&amp;D$62&amp;"'!B2:B1000")=$B3) * (INDIRECT("'"&amp;D$62&amp;"'!C2:C1000")=$C3)
        ),
        7,
        FALSE
    )
)</f>
        <v>Sim</v>
      </c>
      <c r="E3" s="60" t="str">
        <f t="array" aca="1" ref="E3" ca="1">IF(
    VLOOKUP(
        $A3,
        _xlfn._xlws.FILTER(
            INDIRECT("'"&amp;E$62&amp;"'!A2:G1000"), (INDIRECT("'"&amp;E$62&amp;"'!B2:B1000")=$B3) * (INDIRECT("'"&amp;E$62&amp;"'!C2:C1000")=$C3)
        ),
        5,
        FALSE
    )="",
    "",
    VLOOKUP(
        $A3,
        _xlfn._xlws.FILTER(
            INDIRECT("'"&amp;E$62&amp;"'!A2:G1000"), (INDIRECT("'"&amp;E$62&amp;"'!B2:B1000")=$B3) * (INDIRECT("'"&amp;E$62&amp;"'!C2:C1000")=$C3)
        ),
        7,
        FALSE
    )
)</f>
        <v>Sim</v>
      </c>
      <c r="F3" s="60" t="str">
        <f t="array" aca="1" ref="F3" ca="1">IF(
    VLOOKUP(
        $A3,
        _xlfn._xlws.FILTER(
            INDIRECT("'"&amp;F$62&amp;"'!A2:G1000"), (INDIRECT("'"&amp;F$62&amp;"'!B2:B1000")=$B3) * (INDIRECT("'"&amp;F$62&amp;"'!C2:C1000")=$C3)
        ),
        5,
        FALSE
    )="",
    "",
    VLOOKUP(
        $A3,
        _xlfn._xlws.FILTER(
            INDIRECT("'"&amp;F$62&amp;"'!A2:G1000"), (INDIRECT("'"&amp;F$62&amp;"'!B2:B1000")=$B3) * (INDIRECT("'"&amp;F$62&amp;"'!C2:C1000")=$C3)
        ),
        7,
        FALSE
    )
)</f>
        <v>Sim</v>
      </c>
      <c r="G3" s="60" t="str">
        <f t="array" aca="1" ref="G3" ca="1">IF(
    VLOOKUP(
        $A3,
        _xlfn._xlws.FILTER(
            INDIRECT("'"&amp;G$62&amp;"'!A2:G1000"), (INDIRECT("'"&amp;G$62&amp;"'!B2:B1000")=$B3) * (INDIRECT("'"&amp;G$62&amp;"'!C2:C1000")=$C3)
        ),
        5,
        FALSE
    )="",
    "",
    VLOOKUP(
        $A3,
        _xlfn._xlws.FILTER(
            INDIRECT("'"&amp;G$62&amp;"'!A2:G1000"), (INDIRECT("'"&amp;G$62&amp;"'!B2:B1000")=$B3) * (INDIRECT("'"&amp;G$62&amp;"'!C2:C1000")=$C3)
        ),
        7,
        FALSE
    )
)</f>
        <v>Sim</v>
      </c>
      <c r="H3" s="60" t="str">
        <f t="array" aca="1" ref="H3" ca="1">IF(
    VLOOKUP(
        $A3,
        _xlfn._xlws.FILTER(
            INDIRECT("'"&amp;H$62&amp;"'!A2:G1000"), (INDIRECT("'"&amp;H$62&amp;"'!B2:B1000")=$B3) * (INDIRECT("'"&amp;H$62&amp;"'!C2:C1000")=$C3)
        ),
        5,
        FALSE
    )="",
    "",
    VLOOKUP(
        $A3,
        _xlfn._xlws.FILTER(
            INDIRECT("'"&amp;H$62&amp;"'!A2:G1000"), (INDIRECT("'"&amp;H$62&amp;"'!B2:B1000")=$B3) * (INDIRECT("'"&amp;H$62&amp;"'!C2:C1000")=$C3)
        ),
        7,
        FALSE
    )
)</f>
        <v>Sim</v>
      </c>
      <c r="I3" s="60" t="str">
        <f t="array" aca="1" ref="I3" ca="1">IF(
    VLOOKUP(
        $A3,
        _xlfn._xlws.FILTER(
            INDIRECT("'"&amp;I$62&amp;"'!A2:G1000"), (INDIRECT("'"&amp;I$62&amp;"'!B2:B1000")=$B3) * (INDIRECT("'"&amp;I$62&amp;"'!C2:C1000")=$C3)
        ),
        5,
        FALSE
    )="",
    "",
    VLOOKUP(
        $A3,
        _xlfn._xlws.FILTER(
            INDIRECT("'"&amp;I$62&amp;"'!A2:G1000"), (INDIRECT("'"&amp;I$62&amp;"'!B2:B1000")=$B3) * (INDIRECT("'"&amp;I$62&amp;"'!C2:C1000")=$C3)
        ),
        7,
        FALSE
    )
)</f>
        <v>Sim</v>
      </c>
      <c r="J3" s="60" t="str">
        <f t="array" aca="1" ref="J3" ca="1">IF(
    VLOOKUP(
        $A3,
        _xlfn._xlws.FILTER(
            INDIRECT("'"&amp;J$62&amp;"'!A2:G1000"), (INDIRECT("'"&amp;J$62&amp;"'!B2:B1000")=$B3) * (INDIRECT("'"&amp;J$62&amp;"'!C2:C1000")=$C3)
        ),
        5,
        FALSE
    )="",
    "",
    VLOOKUP(
        $A3,
        _xlfn._xlws.FILTER(
            INDIRECT("'"&amp;J$62&amp;"'!A2:G1000"), (INDIRECT("'"&amp;J$62&amp;"'!B2:B1000")=$B3) * (INDIRECT("'"&amp;J$62&amp;"'!C2:C1000")=$C3)
        ),
        7,
        FALSE
    )
)</f>
        <v>Sim</v>
      </c>
      <c r="K3" s="60" t="str">
        <f t="array" aca="1" ref="K3" ca="1">IF(
    VLOOKUP(
        $A3,
        _xlfn._xlws.FILTER(
            INDIRECT("'"&amp;K$62&amp;"'!A2:G1000"), (INDIRECT("'"&amp;K$62&amp;"'!B2:B1000")=$B3) * (INDIRECT("'"&amp;K$62&amp;"'!C2:C1000")=$C3)
        ),
        5,
        FALSE
    )="",
    "",
    VLOOKUP(
        $A3,
        _xlfn._xlws.FILTER(
            INDIRECT("'"&amp;K$62&amp;"'!A2:G1000"), (INDIRECT("'"&amp;K$62&amp;"'!B2:B1000")=$B3) * (INDIRECT("'"&amp;K$62&amp;"'!C2:C1000")=$C3)
        ),
        7,
        FALSE
    )
)</f>
        <v>Sim</v>
      </c>
      <c r="L3" s="60" t="str">
        <f t="array" aca="1" ref="L3" ca="1">IF(
    VLOOKUP(
        $A3,
        _xlfn._xlws.FILTER(
            INDIRECT("'"&amp;L$62&amp;"'!A2:G1000"), (INDIRECT("'"&amp;L$62&amp;"'!B2:B1000")=$B3) * (INDIRECT("'"&amp;L$62&amp;"'!C2:C1000")=$C3)
        ),
        5,
        FALSE
    )="",
    "",
    VLOOKUP(
        $A3,
        _xlfn._xlws.FILTER(
            INDIRECT("'"&amp;L$62&amp;"'!A2:G1000"), (INDIRECT("'"&amp;L$62&amp;"'!B2:B1000")=$B3) * (INDIRECT("'"&amp;L$62&amp;"'!C2:C1000")=$C3)
        ),
        7,
        FALSE
    )
)</f>
        <v>Sim</v>
      </c>
      <c r="M3" s="60" t="str">
        <f t="array" aca="1" ref="M3" ca="1">IF(
    VLOOKUP(
        $A3,
        _xlfn._xlws.FILTER(
            INDIRECT("'"&amp;M$62&amp;"'!A2:G1000"), (INDIRECT("'"&amp;M$62&amp;"'!B2:B1000")=$B3) * (INDIRECT("'"&amp;M$62&amp;"'!C2:C1000")=$C3)
        ),
        5,
        FALSE
    )="",
    "",
    VLOOKUP(
        $A3,
        _xlfn._xlws.FILTER(
            INDIRECT("'"&amp;M$62&amp;"'!A2:G1000"), (INDIRECT("'"&amp;M$62&amp;"'!B2:B1000")=$B3) * (INDIRECT("'"&amp;M$62&amp;"'!C2:C1000")=$C3)
        ),
        7,
        FALSE
    )
)</f>
        <v>Sim</v>
      </c>
      <c r="N3" s="60" t="str">
        <f t="array" aca="1" ref="N3" ca="1">IF(
    VLOOKUP(
        $A3,
        _xlfn._xlws.FILTER(
            INDIRECT("'"&amp;N$62&amp;"'!A2:G1000"), (INDIRECT("'"&amp;N$62&amp;"'!B2:B1000")=$B3) * (INDIRECT("'"&amp;N$62&amp;"'!C2:C1000")=$C3)
        ),
        5,
        FALSE
    )="",
    "",
    VLOOKUP(
        $A3,
        _xlfn._xlws.FILTER(
            INDIRECT("'"&amp;N$62&amp;"'!A2:G1000"), (INDIRECT("'"&amp;N$62&amp;"'!B2:B1000")=$B3) * (INDIRECT("'"&amp;N$62&amp;"'!C2:C1000")=$C3)
        ),
        7,
        FALSE
    )
)</f>
        <v>Não</v>
      </c>
      <c r="O3" s="60" t="str">
        <f t="array" aca="1" ref="O3" ca="1">IF(
    VLOOKUP(
        $A3,
        _xlfn._xlws.FILTER(
            INDIRECT("'"&amp;O$62&amp;"'!A2:G1000"), (INDIRECT("'"&amp;O$62&amp;"'!B2:B1000")=$B3) * (INDIRECT("'"&amp;O$62&amp;"'!C2:C1000")=$C3)
        ),
        5,
        FALSE
    )="",
    "",
    VLOOKUP(
        $A3,
        _xlfn._xlws.FILTER(
            INDIRECT("'"&amp;O$62&amp;"'!A2:G1000"), (INDIRECT("'"&amp;O$62&amp;"'!B2:B1000")=$B3) * (INDIRECT("'"&amp;O$62&amp;"'!C2:C1000")=$C3)
        ),
        7,
        FALSE
    )
)</f>
        <v/>
      </c>
      <c r="P3" s="60" t="str">
        <f t="array" aca="1" ref="P3" ca="1">IF(
    VLOOKUP(
        $A3,
        _xlfn._xlws.FILTER(
            INDIRECT("'"&amp;P$62&amp;"'!A2:G1000"), (INDIRECT("'"&amp;P$62&amp;"'!B2:B1000")=$B3) * (INDIRECT("'"&amp;P$62&amp;"'!C2:C1000")=$C3)
        ),
        5,
        FALSE
    )="",
    "",
    VLOOKUP(
        $A3,
        _xlfn._xlws.FILTER(
            INDIRECT("'"&amp;P$62&amp;"'!A2:G1000"), (INDIRECT("'"&amp;P$62&amp;"'!B2:B1000")=$B3) * (INDIRECT("'"&amp;P$62&amp;"'!C2:C1000")=$C3)
        ),
        7,
        FALSE
    )
)</f>
        <v/>
      </c>
    </row>
    <row r="4" spans="1:16">
      <c r="A4" s="32" t="s">
        <v>35</v>
      </c>
      <c r="B4" s="60" t="s">
        <v>74</v>
      </c>
      <c r="C4" s="60" t="s">
        <v>77</v>
      </c>
      <c r="D4" s="60" t="str">
        <f t="array" aca="1" ref="D4" ca="1">IF(
    VLOOKUP(
        $A4,
        _xlfn._xlws.FILTER(
            INDIRECT("'"&amp;D$62&amp;"'!A2:G1000"), (INDIRECT("'"&amp;D$62&amp;"'!B2:B1000")=$B4) * (INDIRECT("'"&amp;D$62&amp;"'!C2:C1000")=$C4)
        ),
        5,
        FALSE
    )="",
    "",
    VLOOKUP(
        $A4,
        _xlfn._xlws.FILTER(
            INDIRECT("'"&amp;D$62&amp;"'!A2:G1000"), (INDIRECT("'"&amp;D$62&amp;"'!B2:B1000")=$B4) * (INDIRECT("'"&amp;D$62&amp;"'!C2:C1000")=$C4)
        ),
        7,
        FALSE
    )
)</f>
        <v>Sim</v>
      </c>
      <c r="E4" s="60" t="str">
        <f t="array" aca="1" ref="E4" ca="1">IF(
    VLOOKUP(
        $A4,
        _xlfn._xlws.FILTER(
            INDIRECT("'"&amp;E$62&amp;"'!A2:G1000"), (INDIRECT("'"&amp;E$62&amp;"'!B2:B1000")=$B4) * (INDIRECT("'"&amp;E$62&amp;"'!C2:C1000")=$C4)
        ),
        5,
        FALSE
    )="",
    "",
    VLOOKUP(
        $A4,
        _xlfn._xlws.FILTER(
            INDIRECT("'"&amp;E$62&amp;"'!A2:G1000"), (INDIRECT("'"&amp;E$62&amp;"'!B2:B1000")=$B4) * (INDIRECT("'"&amp;E$62&amp;"'!C2:C1000")=$C4)
        ),
        7,
        FALSE
    )
)</f>
        <v>Sim</v>
      </c>
      <c r="F4" s="60" t="str">
        <f t="array" aca="1" ref="F4" ca="1">IF(
    VLOOKUP(
        $A4,
        _xlfn._xlws.FILTER(
            INDIRECT("'"&amp;F$62&amp;"'!A2:G1000"), (INDIRECT("'"&amp;F$62&amp;"'!B2:B1000")=$B4) * (INDIRECT("'"&amp;F$62&amp;"'!C2:C1000")=$C4)
        ),
        5,
        FALSE
    )="",
    "",
    VLOOKUP(
        $A4,
        _xlfn._xlws.FILTER(
            INDIRECT("'"&amp;F$62&amp;"'!A2:G1000"), (INDIRECT("'"&amp;F$62&amp;"'!B2:B1000")=$B4) * (INDIRECT("'"&amp;F$62&amp;"'!C2:C1000")=$C4)
        ),
        7,
        FALSE
    )
)</f>
        <v>Sim</v>
      </c>
      <c r="G4" s="60" t="str">
        <f t="array" aca="1" ref="G4" ca="1">IF(
    VLOOKUP(
        $A4,
        _xlfn._xlws.FILTER(
            INDIRECT("'"&amp;G$62&amp;"'!A2:G1000"), (INDIRECT("'"&amp;G$62&amp;"'!B2:B1000")=$B4) * (INDIRECT("'"&amp;G$62&amp;"'!C2:C1000")=$C4)
        ),
        5,
        FALSE
    )="",
    "",
    VLOOKUP(
        $A4,
        _xlfn._xlws.FILTER(
            INDIRECT("'"&amp;G$62&amp;"'!A2:G1000"), (INDIRECT("'"&amp;G$62&amp;"'!B2:B1000")=$B4) * (INDIRECT("'"&amp;G$62&amp;"'!C2:C1000")=$C4)
        ),
        7,
        FALSE
    )
)</f>
        <v>Sim</v>
      </c>
      <c r="H4" s="60" t="str">
        <f t="array" aca="1" ref="H4" ca="1">IF(
    VLOOKUP(
        $A4,
        _xlfn._xlws.FILTER(
            INDIRECT("'"&amp;H$62&amp;"'!A2:G1000"), (INDIRECT("'"&amp;H$62&amp;"'!B2:B1000")=$B4) * (INDIRECT("'"&amp;H$62&amp;"'!C2:C1000")=$C4)
        ),
        5,
        FALSE
    )="",
    "",
    VLOOKUP(
        $A4,
        _xlfn._xlws.FILTER(
            INDIRECT("'"&amp;H$62&amp;"'!A2:G1000"), (INDIRECT("'"&amp;H$62&amp;"'!B2:B1000")=$B4) * (INDIRECT("'"&amp;H$62&amp;"'!C2:C1000")=$C4)
        ),
        7,
        FALSE
    )
)</f>
        <v>Sim</v>
      </c>
      <c r="I4" s="60" t="str">
        <f t="array" aca="1" ref="I4" ca="1">IF(
    VLOOKUP(
        $A4,
        _xlfn._xlws.FILTER(
            INDIRECT("'"&amp;I$62&amp;"'!A2:G1000"), (INDIRECT("'"&amp;I$62&amp;"'!B2:B1000")=$B4) * (INDIRECT("'"&amp;I$62&amp;"'!C2:C1000")=$C4)
        ),
        5,
        FALSE
    )="",
    "",
    VLOOKUP(
        $A4,
        _xlfn._xlws.FILTER(
            INDIRECT("'"&amp;I$62&amp;"'!A2:G1000"), (INDIRECT("'"&amp;I$62&amp;"'!B2:B1000")=$B4) * (INDIRECT("'"&amp;I$62&amp;"'!C2:C1000")=$C4)
        ),
        7,
        FALSE
    )
)</f>
        <v>Sim</v>
      </c>
      <c r="J4" s="60" t="str">
        <f t="array" aca="1" ref="J4" ca="1">IF(
    VLOOKUP(
        $A4,
        _xlfn._xlws.FILTER(
            INDIRECT("'"&amp;J$62&amp;"'!A2:G1000"), (INDIRECT("'"&amp;J$62&amp;"'!B2:B1000")=$B4) * (INDIRECT("'"&amp;J$62&amp;"'!C2:C1000")=$C4)
        ),
        5,
        FALSE
    )="",
    "",
    VLOOKUP(
        $A4,
        _xlfn._xlws.FILTER(
            INDIRECT("'"&amp;J$62&amp;"'!A2:G1000"), (INDIRECT("'"&amp;J$62&amp;"'!B2:B1000")=$B4) * (INDIRECT("'"&amp;J$62&amp;"'!C2:C1000")=$C4)
        ),
        7,
        FALSE
    )
)</f>
        <v>Sim</v>
      </c>
      <c r="K4" s="60" t="str">
        <f t="array" aca="1" ref="K4" ca="1">IF(
    VLOOKUP(
        $A4,
        _xlfn._xlws.FILTER(
            INDIRECT("'"&amp;K$62&amp;"'!A2:G1000"), (INDIRECT("'"&amp;K$62&amp;"'!B2:B1000")=$B4) * (INDIRECT("'"&amp;K$62&amp;"'!C2:C1000")=$C4)
        ),
        5,
        FALSE
    )="",
    "",
    VLOOKUP(
        $A4,
        _xlfn._xlws.FILTER(
            INDIRECT("'"&amp;K$62&amp;"'!A2:G1000"), (INDIRECT("'"&amp;K$62&amp;"'!B2:B1000")=$B4) * (INDIRECT("'"&amp;K$62&amp;"'!C2:C1000")=$C4)
        ),
        7,
        FALSE
    )
)</f>
        <v>Sim</v>
      </c>
      <c r="L4" s="60" t="str">
        <f t="array" aca="1" ref="L4" ca="1">IF(
    VLOOKUP(
        $A4,
        _xlfn._xlws.FILTER(
            INDIRECT("'"&amp;L$62&amp;"'!A2:G1000"), (INDIRECT("'"&amp;L$62&amp;"'!B2:B1000")=$B4) * (INDIRECT("'"&amp;L$62&amp;"'!C2:C1000")=$C4)
        ),
        5,
        FALSE
    )="",
    "",
    VLOOKUP(
        $A4,
        _xlfn._xlws.FILTER(
            INDIRECT("'"&amp;L$62&amp;"'!A2:G1000"), (INDIRECT("'"&amp;L$62&amp;"'!B2:B1000")=$B4) * (INDIRECT("'"&amp;L$62&amp;"'!C2:C1000")=$C4)
        ),
        7,
        FALSE
    )
)</f>
        <v>Sim</v>
      </c>
      <c r="M4" s="60" t="str">
        <f t="array" aca="1" ref="M4" ca="1">IF(
    VLOOKUP(
        $A4,
        _xlfn._xlws.FILTER(
            INDIRECT("'"&amp;M$62&amp;"'!A2:G1000"), (INDIRECT("'"&amp;M$62&amp;"'!B2:B1000")=$B4) * (INDIRECT("'"&amp;M$62&amp;"'!C2:C1000")=$C4)
        ),
        5,
        FALSE
    )="",
    "",
    VLOOKUP(
        $A4,
        _xlfn._xlws.FILTER(
            INDIRECT("'"&amp;M$62&amp;"'!A2:G1000"), (INDIRECT("'"&amp;M$62&amp;"'!B2:B1000")=$B4) * (INDIRECT("'"&amp;M$62&amp;"'!C2:C1000")=$C4)
        ),
        7,
        FALSE
    )
)</f>
        <v>Sim</v>
      </c>
      <c r="N4" s="60" t="str">
        <f t="array" aca="1" ref="N4" ca="1">IF(
    VLOOKUP(
        $A4,
        _xlfn._xlws.FILTER(
            INDIRECT("'"&amp;N$62&amp;"'!A2:G1000"), (INDIRECT("'"&amp;N$62&amp;"'!B2:B1000")=$B4) * (INDIRECT("'"&amp;N$62&amp;"'!C2:C1000")=$C4)
        ),
        5,
        FALSE
    )="",
    "",
    VLOOKUP(
        $A4,
        _xlfn._xlws.FILTER(
            INDIRECT("'"&amp;N$62&amp;"'!A2:G1000"), (INDIRECT("'"&amp;N$62&amp;"'!B2:B1000")=$B4) * (INDIRECT("'"&amp;N$62&amp;"'!C2:C1000")=$C4)
        ),
        7,
        FALSE
    )
)</f>
        <v>Não</v>
      </c>
      <c r="O4" s="60" t="str">
        <f t="array" aca="1" ref="O4" ca="1">IF(
    VLOOKUP(
        $A4,
        _xlfn._xlws.FILTER(
            INDIRECT("'"&amp;O$62&amp;"'!A2:G1000"), (INDIRECT("'"&amp;O$62&amp;"'!B2:B1000")=$B4) * (INDIRECT("'"&amp;O$62&amp;"'!C2:C1000")=$C4)
        ),
        5,
        FALSE
    )="",
    "",
    VLOOKUP(
        $A4,
        _xlfn._xlws.FILTER(
            INDIRECT("'"&amp;O$62&amp;"'!A2:G1000"), (INDIRECT("'"&amp;O$62&amp;"'!B2:B1000")=$B4) * (INDIRECT("'"&amp;O$62&amp;"'!C2:C1000")=$C4)
        ),
        7,
        FALSE
    )
)</f>
        <v/>
      </c>
      <c r="P4" s="60" t="str">
        <f t="array" aca="1" ref="P4" ca="1">IF(
    VLOOKUP(
        $A4,
        _xlfn._xlws.FILTER(
            INDIRECT("'"&amp;P$62&amp;"'!A2:G1000"), (INDIRECT("'"&amp;P$62&amp;"'!B2:B1000")=$B4) * (INDIRECT("'"&amp;P$62&amp;"'!C2:C1000")=$C4)
        ),
        5,
        FALSE
    )="",
    "",
    VLOOKUP(
        $A4,
        _xlfn._xlws.FILTER(
            INDIRECT("'"&amp;P$62&amp;"'!A2:G1000"), (INDIRECT("'"&amp;P$62&amp;"'!B2:B1000")=$B4) * (INDIRECT("'"&amp;P$62&amp;"'!C2:C1000")=$C4)
        ),
        7,
        FALSE
    )
)</f>
        <v/>
      </c>
    </row>
    <row r="5" spans="1:16">
      <c r="A5" s="32" t="s">
        <v>35</v>
      </c>
      <c r="B5" s="60" t="s">
        <v>74</v>
      </c>
      <c r="C5" s="60" t="s">
        <v>78</v>
      </c>
      <c r="D5" s="60" t="str">
        <f t="array" aca="1" ref="D5" ca="1">IF(
    VLOOKUP(
        $A5,
        _xlfn._xlws.FILTER(
            INDIRECT("'"&amp;D$62&amp;"'!A2:G1000"), (INDIRECT("'"&amp;D$62&amp;"'!B2:B1000")=$B5) * (INDIRECT("'"&amp;D$62&amp;"'!C2:C1000")=$C5)
        ),
        5,
        FALSE
    )="",
    "",
    VLOOKUP(
        $A5,
        _xlfn._xlws.FILTER(
            INDIRECT("'"&amp;D$62&amp;"'!A2:G1000"), (INDIRECT("'"&amp;D$62&amp;"'!B2:B1000")=$B5) * (INDIRECT("'"&amp;D$62&amp;"'!C2:C1000")=$C5)
        ),
        7,
        FALSE
    )
)</f>
        <v>Sim</v>
      </c>
      <c r="E5" s="60" t="str">
        <f t="array" aca="1" ref="E5" ca="1">IF(
    VLOOKUP(
        $A5,
        _xlfn._xlws.FILTER(
            INDIRECT("'"&amp;E$62&amp;"'!A2:G1000"), (INDIRECT("'"&amp;E$62&amp;"'!B2:B1000")=$B5) * (INDIRECT("'"&amp;E$62&amp;"'!C2:C1000")=$C5)
        ),
        5,
        FALSE
    )="",
    "",
    VLOOKUP(
        $A5,
        _xlfn._xlws.FILTER(
            INDIRECT("'"&amp;E$62&amp;"'!A2:G1000"), (INDIRECT("'"&amp;E$62&amp;"'!B2:B1000")=$B5) * (INDIRECT("'"&amp;E$62&amp;"'!C2:C1000")=$C5)
        ),
        7,
        FALSE
    )
)</f>
        <v>Sim</v>
      </c>
      <c r="F5" s="60" t="str">
        <f t="array" aca="1" ref="F5" ca="1">IF(
    VLOOKUP(
        $A5,
        _xlfn._xlws.FILTER(
            INDIRECT("'"&amp;F$62&amp;"'!A2:G1000"), (INDIRECT("'"&amp;F$62&amp;"'!B2:B1000")=$B5) * (INDIRECT("'"&amp;F$62&amp;"'!C2:C1000")=$C5)
        ),
        5,
        FALSE
    )="",
    "",
    VLOOKUP(
        $A5,
        _xlfn._xlws.FILTER(
            INDIRECT("'"&amp;F$62&amp;"'!A2:G1000"), (INDIRECT("'"&amp;F$62&amp;"'!B2:B1000")=$B5) * (INDIRECT("'"&amp;F$62&amp;"'!C2:C1000")=$C5)
        ),
        7,
        FALSE
    )
)</f>
        <v>Sim</v>
      </c>
      <c r="G5" s="60" t="str">
        <f t="array" aca="1" ref="G5" ca="1">IF(
    VLOOKUP(
        $A5,
        _xlfn._xlws.FILTER(
            INDIRECT("'"&amp;G$62&amp;"'!A2:G1000"), (INDIRECT("'"&amp;G$62&amp;"'!B2:B1000")=$B5) * (INDIRECT("'"&amp;G$62&amp;"'!C2:C1000")=$C5)
        ),
        5,
        FALSE
    )="",
    "",
    VLOOKUP(
        $A5,
        _xlfn._xlws.FILTER(
            INDIRECT("'"&amp;G$62&amp;"'!A2:G1000"), (INDIRECT("'"&amp;G$62&amp;"'!B2:B1000")=$B5) * (INDIRECT("'"&amp;G$62&amp;"'!C2:C1000")=$C5)
        ),
        7,
        FALSE
    )
)</f>
        <v>Sim</v>
      </c>
      <c r="H5" s="60" t="str">
        <f t="array" aca="1" ref="H5" ca="1">IF(
    VLOOKUP(
        $A5,
        _xlfn._xlws.FILTER(
            INDIRECT("'"&amp;H$62&amp;"'!A2:G1000"), (INDIRECT("'"&amp;H$62&amp;"'!B2:B1000")=$B5) * (INDIRECT("'"&amp;H$62&amp;"'!C2:C1000")=$C5)
        ),
        5,
        FALSE
    )="",
    "",
    VLOOKUP(
        $A5,
        _xlfn._xlws.FILTER(
            INDIRECT("'"&amp;H$62&amp;"'!A2:G1000"), (INDIRECT("'"&amp;H$62&amp;"'!B2:B1000")=$B5) * (INDIRECT("'"&amp;H$62&amp;"'!C2:C1000")=$C5)
        ),
        7,
        FALSE
    )
)</f>
        <v>Não</v>
      </c>
      <c r="I5" s="60" t="str">
        <f t="array" aca="1" ref="I5" ca="1">IF(
    VLOOKUP(
        $A5,
        _xlfn._xlws.FILTER(
            INDIRECT("'"&amp;I$62&amp;"'!A2:G1000"), (INDIRECT("'"&amp;I$62&amp;"'!B2:B1000")=$B5) * (INDIRECT("'"&amp;I$62&amp;"'!C2:C1000")=$C5)
        ),
        5,
        FALSE
    )="",
    "",
    VLOOKUP(
        $A5,
        _xlfn._xlws.FILTER(
            INDIRECT("'"&amp;I$62&amp;"'!A2:G1000"), (INDIRECT("'"&amp;I$62&amp;"'!B2:B1000")=$B5) * (INDIRECT("'"&amp;I$62&amp;"'!C2:C1000")=$C5)
        ),
        7,
        FALSE
    )
)</f>
        <v>Sim</v>
      </c>
      <c r="J5" s="60" t="str">
        <f t="array" aca="1" ref="J5" ca="1">IF(
    VLOOKUP(
        $A5,
        _xlfn._xlws.FILTER(
            INDIRECT("'"&amp;J$62&amp;"'!A2:G1000"), (INDIRECT("'"&amp;J$62&amp;"'!B2:B1000")=$B5) * (INDIRECT("'"&amp;J$62&amp;"'!C2:C1000")=$C5)
        ),
        5,
        FALSE
    )="",
    "",
    VLOOKUP(
        $A5,
        _xlfn._xlws.FILTER(
            INDIRECT("'"&amp;J$62&amp;"'!A2:G1000"), (INDIRECT("'"&amp;J$62&amp;"'!B2:B1000")=$B5) * (INDIRECT("'"&amp;J$62&amp;"'!C2:C1000")=$C5)
        ),
        7,
        FALSE
    )
)</f>
        <v>Sim</v>
      </c>
      <c r="K5" s="60" t="str">
        <f t="array" aca="1" ref="K5" ca="1">IF(
    VLOOKUP(
        $A5,
        _xlfn._xlws.FILTER(
            INDIRECT("'"&amp;K$62&amp;"'!A2:G1000"), (INDIRECT("'"&amp;K$62&amp;"'!B2:B1000")=$B5) * (INDIRECT("'"&amp;K$62&amp;"'!C2:C1000")=$C5)
        ),
        5,
        FALSE
    )="",
    "",
    VLOOKUP(
        $A5,
        _xlfn._xlws.FILTER(
            INDIRECT("'"&amp;K$62&amp;"'!A2:G1000"), (INDIRECT("'"&amp;K$62&amp;"'!B2:B1000")=$B5) * (INDIRECT("'"&amp;K$62&amp;"'!C2:C1000")=$C5)
        ),
        7,
        FALSE
    )
)</f>
        <v>Sim</v>
      </c>
      <c r="L5" s="60" t="str">
        <f t="array" aca="1" ref="L5" ca="1">IF(
    VLOOKUP(
        $A5,
        _xlfn._xlws.FILTER(
            INDIRECT("'"&amp;L$62&amp;"'!A2:G1000"), (INDIRECT("'"&amp;L$62&amp;"'!B2:B1000")=$B5) * (INDIRECT("'"&amp;L$62&amp;"'!C2:C1000")=$C5)
        ),
        5,
        FALSE
    )="",
    "",
    VLOOKUP(
        $A5,
        _xlfn._xlws.FILTER(
            INDIRECT("'"&amp;L$62&amp;"'!A2:G1000"), (INDIRECT("'"&amp;L$62&amp;"'!B2:B1000")=$B5) * (INDIRECT("'"&amp;L$62&amp;"'!C2:C1000")=$C5)
        ),
        7,
        FALSE
    )
)</f>
        <v>Sim</v>
      </c>
      <c r="M5" s="60" t="str">
        <f t="array" aca="1" ref="M5" ca="1">IF(
    VLOOKUP(
        $A5,
        _xlfn._xlws.FILTER(
            INDIRECT("'"&amp;M$62&amp;"'!A2:G1000"), (INDIRECT("'"&amp;M$62&amp;"'!B2:B1000")=$B5) * (INDIRECT("'"&amp;M$62&amp;"'!C2:C1000")=$C5)
        ),
        5,
        FALSE
    )="",
    "",
    VLOOKUP(
        $A5,
        _xlfn._xlws.FILTER(
            INDIRECT("'"&amp;M$62&amp;"'!A2:G1000"), (INDIRECT("'"&amp;M$62&amp;"'!B2:B1000")=$B5) * (INDIRECT("'"&amp;M$62&amp;"'!C2:C1000")=$C5)
        ),
        7,
        FALSE
    )
)</f>
        <v>Sim</v>
      </c>
      <c r="N5" s="60" t="str">
        <f t="array" aca="1" ref="N5" ca="1">IF(
    VLOOKUP(
        $A5,
        _xlfn._xlws.FILTER(
            INDIRECT("'"&amp;N$62&amp;"'!A2:G1000"), (INDIRECT("'"&amp;N$62&amp;"'!B2:B1000")=$B5) * (INDIRECT("'"&amp;N$62&amp;"'!C2:C1000")=$C5)
        ),
        5,
        FALSE
    )="",
    "",
    VLOOKUP(
        $A5,
        _xlfn._xlws.FILTER(
            INDIRECT("'"&amp;N$62&amp;"'!A2:G1000"), (INDIRECT("'"&amp;N$62&amp;"'!B2:B1000")=$B5) * (INDIRECT("'"&amp;N$62&amp;"'!C2:C1000")=$C5)
        ),
        7,
        FALSE
    )
)</f>
        <v>Não</v>
      </c>
      <c r="O5" s="60" t="str">
        <f t="array" aca="1" ref="O5" ca="1">IF(
    VLOOKUP(
        $A5,
        _xlfn._xlws.FILTER(
            INDIRECT("'"&amp;O$62&amp;"'!A2:G1000"), (INDIRECT("'"&amp;O$62&amp;"'!B2:B1000")=$B5) * (INDIRECT("'"&amp;O$62&amp;"'!C2:C1000")=$C5)
        ),
        5,
        FALSE
    )="",
    "",
    VLOOKUP(
        $A5,
        _xlfn._xlws.FILTER(
            INDIRECT("'"&amp;O$62&amp;"'!A2:G1000"), (INDIRECT("'"&amp;O$62&amp;"'!B2:B1000")=$B5) * (INDIRECT("'"&amp;O$62&amp;"'!C2:C1000")=$C5)
        ),
        7,
        FALSE
    )
)</f>
        <v/>
      </c>
      <c r="P5" s="60" t="str">
        <f t="array" aca="1" ref="P5" ca="1">IF(
    VLOOKUP(
        $A5,
        _xlfn._xlws.FILTER(
            INDIRECT("'"&amp;P$62&amp;"'!A2:G1000"), (INDIRECT("'"&amp;P$62&amp;"'!B2:B1000")=$B5) * (INDIRECT("'"&amp;P$62&amp;"'!C2:C1000")=$C5)
        ),
        5,
        FALSE
    )="",
    "",
    VLOOKUP(
        $A5,
        _xlfn._xlws.FILTER(
            INDIRECT("'"&amp;P$62&amp;"'!A2:G1000"), (INDIRECT("'"&amp;P$62&amp;"'!B2:B1000")=$B5) * (INDIRECT("'"&amp;P$62&amp;"'!C2:C1000")=$C5)
        ),
        7,
        FALSE
    )
)</f>
        <v/>
      </c>
    </row>
    <row r="6" spans="1:16">
      <c r="A6" s="32" t="s">
        <v>35</v>
      </c>
      <c r="B6" s="60" t="s">
        <v>74</v>
      </c>
      <c r="C6" s="60" t="s">
        <v>79</v>
      </c>
      <c r="D6" s="60" t="str">
        <f t="array" aca="1" ref="D6" ca="1">IF(
    VLOOKUP(
        $A6,
        _xlfn._xlws.FILTER(
            INDIRECT("'"&amp;D$62&amp;"'!A2:G1000"), (INDIRECT("'"&amp;D$62&amp;"'!B2:B1000")=$B6) * (INDIRECT("'"&amp;D$62&amp;"'!C2:C1000")=$C6)
        ),
        5,
        FALSE
    )="",
    "",
    VLOOKUP(
        $A6,
        _xlfn._xlws.FILTER(
            INDIRECT("'"&amp;D$62&amp;"'!A2:G1000"), (INDIRECT("'"&amp;D$62&amp;"'!B2:B1000")=$B6) * (INDIRECT("'"&amp;D$62&amp;"'!C2:C1000")=$C6)
        ),
        7,
        FALSE
    )
)</f>
        <v>Sim</v>
      </c>
      <c r="E6" s="60" t="str">
        <f t="array" aca="1" ref="E6" ca="1">IF(
    VLOOKUP(
        $A6,
        _xlfn._xlws.FILTER(
            INDIRECT("'"&amp;E$62&amp;"'!A2:G1000"), (INDIRECT("'"&amp;E$62&amp;"'!B2:B1000")=$B6) * (INDIRECT("'"&amp;E$62&amp;"'!C2:C1000")=$C6)
        ),
        5,
        FALSE
    )="",
    "",
    VLOOKUP(
        $A6,
        _xlfn._xlws.FILTER(
            INDIRECT("'"&amp;E$62&amp;"'!A2:G1000"), (INDIRECT("'"&amp;E$62&amp;"'!B2:B1000")=$B6) * (INDIRECT("'"&amp;E$62&amp;"'!C2:C1000")=$C6)
        ),
        7,
        FALSE
    )
)</f>
        <v>Sim</v>
      </c>
      <c r="F6" s="60" t="str">
        <f t="array" aca="1" ref="F6" ca="1">IF(
    VLOOKUP(
        $A6,
        _xlfn._xlws.FILTER(
            INDIRECT("'"&amp;F$62&amp;"'!A2:G1000"), (INDIRECT("'"&amp;F$62&amp;"'!B2:B1000")=$B6) * (INDIRECT("'"&amp;F$62&amp;"'!C2:C1000")=$C6)
        ),
        5,
        FALSE
    )="",
    "",
    VLOOKUP(
        $A6,
        _xlfn._xlws.FILTER(
            INDIRECT("'"&amp;F$62&amp;"'!A2:G1000"), (INDIRECT("'"&amp;F$62&amp;"'!B2:B1000")=$B6) * (INDIRECT("'"&amp;F$62&amp;"'!C2:C1000")=$C6)
        ),
        7,
        FALSE
    )
)</f>
        <v>Sim</v>
      </c>
      <c r="G6" s="60" t="str">
        <f t="array" aca="1" ref="G6" ca="1">IF(
    VLOOKUP(
        $A6,
        _xlfn._xlws.FILTER(
            INDIRECT("'"&amp;G$62&amp;"'!A2:G1000"), (INDIRECT("'"&amp;G$62&amp;"'!B2:B1000")=$B6) * (INDIRECT("'"&amp;G$62&amp;"'!C2:C1000")=$C6)
        ),
        5,
        FALSE
    )="",
    "",
    VLOOKUP(
        $A6,
        _xlfn._xlws.FILTER(
            INDIRECT("'"&amp;G$62&amp;"'!A2:G1000"), (INDIRECT("'"&amp;G$62&amp;"'!B2:B1000")=$B6) * (INDIRECT("'"&amp;G$62&amp;"'!C2:C1000")=$C6)
        ),
        7,
        FALSE
    )
)</f>
        <v>Sim</v>
      </c>
      <c r="H6" s="60" t="str">
        <f t="array" aca="1" ref="H6" ca="1">IF(
    VLOOKUP(
        $A6,
        _xlfn._xlws.FILTER(
            INDIRECT("'"&amp;H$62&amp;"'!A2:G1000"), (INDIRECT("'"&amp;H$62&amp;"'!B2:B1000")=$B6) * (INDIRECT("'"&amp;H$62&amp;"'!C2:C1000")=$C6)
        ),
        5,
        FALSE
    )="",
    "",
    VLOOKUP(
        $A6,
        _xlfn._xlws.FILTER(
            INDIRECT("'"&amp;H$62&amp;"'!A2:G1000"), (INDIRECT("'"&amp;H$62&amp;"'!B2:B1000")=$B6) * (INDIRECT("'"&amp;H$62&amp;"'!C2:C1000")=$C6)
        ),
        7,
        FALSE
    )
)</f>
        <v>Sim</v>
      </c>
      <c r="I6" s="60" t="str">
        <f t="array" aca="1" ref="I6" ca="1">IF(
    VLOOKUP(
        $A6,
        _xlfn._xlws.FILTER(
            INDIRECT("'"&amp;I$62&amp;"'!A2:G1000"), (INDIRECT("'"&amp;I$62&amp;"'!B2:B1000")=$B6) * (INDIRECT("'"&amp;I$62&amp;"'!C2:C1000")=$C6)
        ),
        5,
        FALSE
    )="",
    "",
    VLOOKUP(
        $A6,
        _xlfn._xlws.FILTER(
            INDIRECT("'"&amp;I$62&amp;"'!A2:G1000"), (INDIRECT("'"&amp;I$62&amp;"'!B2:B1000")=$B6) * (INDIRECT("'"&amp;I$62&amp;"'!C2:C1000")=$C6)
        ),
        7,
        FALSE
    )
)</f>
        <v>Sim</v>
      </c>
      <c r="J6" s="60" t="str">
        <f t="array" aca="1" ref="J6" ca="1">IF(
    VLOOKUP(
        $A6,
        _xlfn._xlws.FILTER(
            INDIRECT("'"&amp;J$62&amp;"'!A2:G1000"), (INDIRECT("'"&amp;J$62&amp;"'!B2:B1000")=$B6) * (INDIRECT("'"&amp;J$62&amp;"'!C2:C1000")=$C6)
        ),
        5,
        FALSE
    )="",
    "",
    VLOOKUP(
        $A6,
        _xlfn._xlws.FILTER(
            INDIRECT("'"&amp;J$62&amp;"'!A2:G1000"), (INDIRECT("'"&amp;J$62&amp;"'!B2:B1000")=$B6) * (INDIRECT("'"&amp;J$62&amp;"'!C2:C1000")=$C6)
        ),
        7,
        FALSE
    )
)</f>
        <v>Sim</v>
      </c>
      <c r="K6" s="60" t="str">
        <f t="array" aca="1" ref="K6" ca="1">IF(
    VLOOKUP(
        $A6,
        _xlfn._xlws.FILTER(
            INDIRECT("'"&amp;K$62&amp;"'!A2:G1000"), (INDIRECT("'"&amp;K$62&amp;"'!B2:B1000")=$B6) * (INDIRECT("'"&amp;K$62&amp;"'!C2:C1000")=$C6)
        ),
        5,
        FALSE
    )="",
    "",
    VLOOKUP(
        $A6,
        _xlfn._xlws.FILTER(
            INDIRECT("'"&amp;K$62&amp;"'!A2:G1000"), (INDIRECT("'"&amp;K$62&amp;"'!B2:B1000")=$B6) * (INDIRECT("'"&amp;K$62&amp;"'!C2:C1000")=$C6)
        ),
        7,
        FALSE
    )
)</f>
        <v>Sim</v>
      </c>
      <c r="L6" s="60" t="str">
        <f t="array" aca="1" ref="L6" ca="1">IF(
    VLOOKUP(
        $A6,
        _xlfn._xlws.FILTER(
            INDIRECT("'"&amp;L$62&amp;"'!A2:G1000"), (INDIRECT("'"&amp;L$62&amp;"'!B2:B1000")=$B6) * (INDIRECT("'"&amp;L$62&amp;"'!C2:C1000")=$C6)
        ),
        5,
        FALSE
    )="",
    "",
    VLOOKUP(
        $A6,
        _xlfn._xlws.FILTER(
            INDIRECT("'"&amp;L$62&amp;"'!A2:G1000"), (INDIRECT("'"&amp;L$62&amp;"'!B2:B1000")=$B6) * (INDIRECT("'"&amp;L$62&amp;"'!C2:C1000")=$C6)
        ),
        7,
        FALSE
    )
)</f>
        <v>Sim</v>
      </c>
      <c r="M6" s="60" t="str">
        <f t="array" aca="1" ref="M6" ca="1">IF(
    VLOOKUP(
        $A6,
        _xlfn._xlws.FILTER(
            INDIRECT("'"&amp;M$62&amp;"'!A2:G1000"), (INDIRECT("'"&amp;M$62&amp;"'!B2:B1000")=$B6) * (INDIRECT("'"&amp;M$62&amp;"'!C2:C1000")=$C6)
        ),
        5,
        FALSE
    )="",
    "",
    VLOOKUP(
        $A6,
        _xlfn._xlws.FILTER(
            INDIRECT("'"&amp;M$62&amp;"'!A2:G1000"), (INDIRECT("'"&amp;M$62&amp;"'!B2:B1000")=$B6) * (INDIRECT("'"&amp;M$62&amp;"'!C2:C1000")=$C6)
        ),
        7,
        FALSE
    )
)</f>
        <v>Sim</v>
      </c>
      <c r="N6" s="60" t="str">
        <f t="array" aca="1" ref="N6" ca="1">IF(
    VLOOKUP(
        $A6,
        _xlfn._xlws.FILTER(
            INDIRECT("'"&amp;N$62&amp;"'!A2:G1000"), (INDIRECT("'"&amp;N$62&amp;"'!B2:B1000")=$B6) * (INDIRECT("'"&amp;N$62&amp;"'!C2:C1000")=$C6)
        ),
        5,
        FALSE
    )="",
    "",
    VLOOKUP(
        $A6,
        _xlfn._xlws.FILTER(
            INDIRECT("'"&amp;N$62&amp;"'!A2:G1000"), (INDIRECT("'"&amp;N$62&amp;"'!B2:B1000")=$B6) * (INDIRECT("'"&amp;N$62&amp;"'!C2:C1000")=$C6)
        ),
        7,
        FALSE
    )
)</f>
        <v>Não</v>
      </c>
      <c r="O6" s="60" t="str">
        <f t="array" aca="1" ref="O6" ca="1">IF(
    VLOOKUP(
        $A6,
        _xlfn._xlws.FILTER(
            INDIRECT("'"&amp;O$62&amp;"'!A2:G1000"), (INDIRECT("'"&amp;O$62&amp;"'!B2:B1000")=$B6) * (INDIRECT("'"&amp;O$62&amp;"'!C2:C1000")=$C6)
        ),
        5,
        FALSE
    )="",
    "",
    VLOOKUP(
        $A6,
        _xlfn._xlws.FILTER(
            INDIRECT("'"&amp;O$62&amp;"'!A2:G1000"), (INDIRECT("'"&amp;O$62&amp;"'!B2:B1000")=$B6) * (INDIRECT("'"&amp;O$62&amp;"'!C2:C1000")=$C6)
        ),
        7,
        FALSE
    )
)</f>
        <v/>
      </c>
      <c r="P6" s="60" t="str">
        <f t="array" aca="1" ref="P6" ca="1">IF(
    VLOOKUP(
        $A6,
        _xlfn._xlws.FILTER(
            INDIRECT("'"&amp;P$62&amp;"'!A2:G1000"), (INDIRECT("'"&amp;P$62&amp;"'!B2:B1000")=$B6) * (INDIRECT("'"&amp;P$62&amp;"'!C2:C1000")=$C6)
        ),
        5,
        FALSE
    )="",
    "",
    VLOOKUP(
        $A6,
        _xlfn._xlws.FILTER(
            INDIRECT("'"&amp;P$62&amp;"'!A2:G1000"), (INDIRECT("'"&amp;P$62&amp;"'!B2:B1000")=$B6) * (INDIRECT("'"&amp;P$62&amp;"'!C2:C1000")=$C6)
        ),
        7,
        FALSE
    )
)</f>
        <v/>
      </c>
    </row>
    <row r="7" spans="1:16">
      <c r="A7" s="32" t="s">
        <v>35</v>
      </c>
      <c r="B7" s="60" t="s">
        <v>80</v>
      </c>
      <c r="C7" s="60" t="s">
        <v>75</v>
      </c>
      <c r="D7" s="60" t="str">
        <f t="array" aca="1" ref="D7" ca="1">IF(
    VLOOKUP(
        $A7,
        _xlfn._xlws.FILTER(
            INDIRECT("'"&amp;D$62&amp;"'!A2:G1000"), (INDIRECT("'"&amp;D$62&amp;"'!B2:B1000")=$B7) * (INDIRECT("'"&amp;D$62&amp;"'!C2:C1000")=$C7)
        ),
        5,
        FALSE
    )="",
    "",
    VLOOKUP(
        $A7,
        _xlfn._xlws.FILTER(
            INDIRECT("'"&amp;D$62&amp;"'!A2:G1000"), (INDIRECT("'"&amp;D$62&amp;"'!B2:B1000")=$B7) * (INDIRECT("'"&amp;D$62&amp;"'!C2:C1000")=$C7)
        ),
        7,
        FALSE
    )
)</f>
        <v>Sim</v>
      </c>
      <c r="E7" s="60" t="str">
        <f t="array" aca="1" ref="E7" ca="1">IF(
    VLOOKUP(
        $A7,
        _xlfn._xlws.FILTER(
            INDIRECT("'"&amp;E$62&amp;"'!A2:G1000"), (INDIRECT("'"&amp;E$62&amp;"'!B2:B1000")=$B7) * (INDIRECT("'"&amp;E$62&amp;"'!C2:C1000")=$C7)
        ),
        5,
        FALSE
    )="",
    "",
    VLOOKUP(
        $A7,
        _xlfn._xlws.FILTER(
            INDIRECT("'"&amp;E$62&amp;"'!A2:G1000"), (INDIRECT("'"&amp;E$62&amp;"'!B2:B1000")=$B7) * (INDIRECT("'"&amp;E$62&amp;"'!C2:C1000")=$C7)
        ),
        7,
        FALSE
    )
)</f>
        <v>Sim</v>
      </c>
      <c r="F7" s="60" t="str">
        <f t="array" aca="1" ref="F7" ca="1">IF(
    VLOOKUP(
        $A7,
        _xlfn._xlws.FILTER(
            INDIRECT("'"&amp;F$62&amp;"'!A2:G1000"), (INDIRECT("'"&amp;F$62&amp;"'!B2:B1000")=$B7) * (INDIRECT("'"&amp;F$62&amp;"'!C2:C1000")=$C7)
        ),
        5,
        FALSE
    )="",
    "",
    VLOOKUP(
        $A7,
        _xlfn._xlws.FILTER(
            INDIRECT("'"&amp;F$62&amp;"'!A2:G1000"), (INDIRECT("'"&amp;F$62&amp;"'!B2:B1000")=$B7) * (INDIRECT("'"&amp;F$62&amp;"'!C2:C1000")=$C7)
        ),
        7,
        FALSE
    )
)</f>
        <v>Sim</v>
      </c>
      <c r="G7" s="60" t="str">
        <f t="array" aca="1" ref="G7" ca="1">IF(
    VLOOKUP(
        $A7,
        _xlfn._xlws.FILTER(
            INDIRECT("'"&amp;G$62&amp;"'!A2:G1000"), (INDIRECT("'"&amp;G$62&amp;"'!B2:B1000")=$B7) * (INDIRECT("'"&amp;G$62&amp;"'!C2:C1000")=$C7)
        ),
        5,
        FALSE
    )="",
    "",
    VLOOKUP(
        $A7,
        _xlfn._xlws.FILTER(
            INDIRECT("'"&amp;G$62&amp;"'!A2:G1000"), (INDIRECT("'"&amp;G$62&amp;"'!B2:B1000")=$B7) * (INDIRECT("'"&amp;G$62&amp;"'!C2:C1000")=$C7)
        ),
        7,
        FALSE
    )
)</f>
        <v>Sim</v>
      </c>
      <c r="H7" s="60" t="str">
        <f t="array" aca="1" ref="H7" ca="1">IF(
    VLOOKUP(
        $A7,
        _xlfn._xlws.FILTER(
            INDIRECT("'"&amp;H$62&amp;"'!A2:G1000"), (INDIRECT("'"&amp;H$62&amp;"'!B2:B1000")=$B7) * (INDIRECT("'"&amp;H$62&amp;"'!C2:C1000")=$C7)
        ),
        5,
        FALSE
    )="",
    "",
    VLOOKUP(
        $A7,
        _xlfn._xlws.FILTER(
            INDIRECT("'"&amp;H$62&amp;"'!A2:G1000"), (INDIRECT("'"&amp;H$62&amp;"'!B2:B1000")=$B7) * (INDIRECT("'"&amp;H$62&amp;"'!C2:C1000")=$C7)
        ),
        7,
        FALSE
    )
)</f>
        <v>Sim</v>
      </c>
      <c r="I7" s="60" t="str">
        <f t="array" aca="1" ref="I7" ca="1">IF(
    VLOOKUP(
        $A7,
        _xlfn._xlws.FILTER(
            INDIRECT("'"&amp;I$62&amp;"'!A2:G1000"), (INDIRECT("'"&amp;I$62&amp;"'!B2:B1000")=$B7) * (INDIRECT("'"&amp;I$62&amp;"'!C2:C1000")=$C7)
        ),
        5,
        FALSE
    )="",
    "",
    VLOOKUP(
        $A7,
        _xlfn._xlws.FILTER(
            INDIRECT("'"&amp;I$62&amp;"'!A2:G1000"), (INDIRECT("'"&amp;I$62&amp;"'!B2:B1000")=$B7) * (INDIRECT("'"&amp;I$62&amp;"'!C2:C1000")=$C7)
        ),
        7,
        FALSE
    )
)</f>
        <v>Sim</v>
      </c>
      <c r="J7" s="60" t="str">
        <f t="array" aca="1" ref="J7" ca="1">IF(
    VLOOKUP(
        $A7,
        _xlfn._xlws.FILTER(
            INDIRECT("'"&amp;J$62&amp;"'!A2:G1000"), (INDIRECT("'"&amp;J$62&amp;"'!B2:B1000")=$B7) * (INDIRECT("'"&amp;J$62&amp;"'!C2:C1000")=$C7)
        ),
        5,
        FALSE
    )="",
    "",
    VLOOKUP(
        $A7,
        _xlfn._xlws.FILTER(
            INDIRECT("'"&amp;J$62&amp;"'!A2:G1000"), (INDIRECT("'"&amp;J$62&amp;"'!B2:B1000")=$B7) * (INDIRECT("'"&amp;J$62&amp;"'!C2:C1000")=$C7)
        ),
        7,
        FALSE
    )
)</f>
        <v>Sim</v>
      </c>
      <c r="K7" s="60" t="str">
        <f t="array" aca="1" ref="K7" ca="1">IF(
    VLOOKUP(
        $A7,
        _xlfn._xlws.FILTER(
            INDIRECT("'"&amp;K$62&amp;"'!A2:G1000"), (INDIRECT("'"&amp;K$62&amp;"'!B2:B1000")=$B7) * (INDIRECT("'"&amp;K$62&amp;"'!C2:C1000")=$C7)
        ),
        5,
        FALSE
    )="",
    "",
    VLOOKUP(
        $A7,
        _xlfn._xlws.FILTER(
            INDIRECT("'"&amp;K$62&amp;"'!A2:G1000"), (INDIRECT("'"&amp;K$62&amp;"'!B2:B1000")=$B7) * (INDIRECT("'"&amp;K$62&amp;"'!C2:C1000")=$C7)
        ),
        7,
        FALSE
    )
)</f>
        <v>Sim</v>
      </c>
      <c r="L7" s="60" t="str">
        <f t="array" aca="1" ref="L7" ca="1">IF(
    VLOOKUP(
        $A7,
        _xlfn._xlws.FILTER(
            INDIRECT("'"&amp;L$62&amp;"'!A2:G1000"), (INDIRECT("'"&amp;L$62&amp;"'!B2:B1000")=$B7) * (INDIRECT("'"&amp;L$62&amp;"'!C2:C1000")=$C7)
        ),
        5,
        FALSE
    )="",
    "",
    VLOOKUP(
        $A7,
        _xlfn._xlws.FILTER(
            INDIRECT("'"&amp;L$62&amp;"'!A2:G1000"), (INDIRECT("'"&amp;L$62&amp;"'!B2:B1000")=$B7) * (INDIRECT("'"&amp;L$62&amp;"'!C2:C1000")=$C7)
        ),
        7,
        FALSE
    )
)</f>
        <v>Sim</v>
      </c>
      <c r="M7" s="60" t="str">
        <f t="array" aca="1" ref="M7" ca="1">IF(
    VLOOKUP(
        $A7,
        _xlfn._xlws.FILTER(
            INDIRECT("'"&amp;M$62&amp;"'!A2:G1000"), (INDIRECT("'"&amp;M$62&amp;"'!B2:B1000")=$B7) * (INDIRECT("'"&amp;M$62&amp;"'!C2:C1000")=$C7)
        ),
        5,
        FALSE
    )="",
    "",
    VLOOKUP(
        $A7,
        _xlfn._xlws.FILTER(
            INDIRECT("'"&amp;M$62&amp;"'!A2:G1000"), (INDIRECT("'"&amp;M$62&amp;"'!B2:B1000")=$B7) * (INDIRECT("'"&amp;M$62&amp;"'!C2:C1000")=$C7)
        ),
        7,
        FALSE
    )
)</f>
        <v>Sim</v>
      </c>
      <c r="N7" s="60" t="str">
        <f t="array" aca="1" ref="N7" ca="1">IF(
    VLOOKUP(
        $A7,
        _xlfn._xlws.FILTER(
            INDIRECT("'"&amp;N$62&amp;"'!A2:G1000"), (INDIRECT("'"&amp;N$62&amp;"'!B2:B1000")=$B7) * (INDIRECT("'"&amp;N$62&amp;"'!C2:C1000")=$C7)
        ),
        5,
        FALSE
    )="",
    "",
    VLOOKUP(
        $A7,
        _xlfn._xlws.FILTER(
            INDIRECT("'"&amp;N$62&amp;"'!A2:G1000"), (INDIRECT("'"&amp;N$62&amp;"'!B2:B1000")=$B7) * (INDIRECT("'"&amp;N$62&amp;"'!C2:C1000")=$C7)
        ),
        7,
        FALSE
    )
)</f>
        <v>Não</v>
      </c>
      <c r="O7" s="60" t="str">
        <f t="array" aca="1" ref="O7" ca="1">IF(
    VLOOKUP(
        $A7,
        _xlfn._xlws.FILTER(
            INDIRECT("'"&amp;O$62&amp;"'!A2:G1000"), (INDIRECT("'"&amp;O$62&amp;"'!B2:B1000")=$B7) * (INDIRECT("'"&amp;O$62&amp;"'!C2:C1000")=$C7)
        ),
        5,
        FALSE
    )="",
    "",
    VLOOKUP(
        $A7,
        _xlfn._xlws.FILTER(
            INDIRECT("'"&amp;O$62&amp;"'!A2:G1000"), (INDIRECT("'"&amp;O$62&amp;"'!B2:B1000")=$B7) * (INDIRECT("'"&amp;O$62&amp;"'!C2:C1000")=$C7)
        ),
        7,
        FALSE
    )
)</f>
        <v/>
      </c>
      <c r="P7" s="60" t="str">
        <f t="array" aca="1" ref="P7" ca="1">IF(
    VLOOKUP(
        $A7,
        _xlfn._xlws.FILTER(
            INDIRECT("'"&amp;P$62&amp;"'!A2:G1000"), (INDIRECT("'"&amp;P$62&amp;"'!B2:B1000")=$B7) * (INDIRECT("'"&amp;P$62&amp;"'!C2:C1000")=$C7)
        ),
        5,
        FALSE
    )="",
    "",
    VLOOKUP(
        $A7,
        _xlfn._xlws.FILTER(
            INDIRECT("'"&amp;P$62&amp;"'!A2:G1000"), (INDIRECT("'"&amp;P$62&amp;"'!B2:B1000")=$B7) * (INDIRECT("'"&amp;P$62&amp;"'!C2:C1000")=$C7)
        ),
        7,
        FALSE
    )
)</f>
        <v/>
      </c>
    </row>
    <row r="8" spans="1:16">
      <c r="A8" s="32" t="s">
        <v>35</v>
      </c>
      <c r="B8" s="60" t="s">
        <v>81</v>
      </c>
      <c r="C8" s="60" t="s">
        <v>75</v>
      </c>
      <c r="D8" s="60" t="str">
        <f t="array" aca="1" ref="D8" ca="1">IF(
    VLOOKUP(
        $A8,
        _xlfn._xlws.FILTER(
            INDIRECT("'"&amp;D$62&amp;"'!A2:G1000"), (INDIRECT("'"&amp;D$62&amp;"'!B2:B1000")=$B8) * (INDIRECT("'"&amp;D$62&amp;"'!C2:C1000")=$C8)
        ),
        5,
        FALSE
    )="",
    "",
    VLOOKUP(
        $A8,
        _xlfn._xlws.FILTER(
            INDIRECT("'"&amp;D$62&amp;"'!A2:G1000"), (INDIRECT("'"&amp;D$62&amp;"'!B2:B1000")=$B8) * (INDIRECT("'"&amp;D$62&amp;"'!C2:C1000")=$C8)
        ),
        7,
        FALSE
    )
)</f>
        <v>Sim</v>
      </c>
      <c r="E8" s="60" t="str">
        <f t="array" aca="1" ref="E8" ca="1">IF(
    VLOOKUP(
        $A8,
        _xlfn._xlws.FILTER(
            INDIRECT("'"&amp;E$62&amp;"'!A2:G1000"), (INDIRECT("'"&amp;E$62&amp;"'!B2:B1000")=$B8) * (INDIRECT("'"&amp;E$62&amp;"'!C2:C1000")=$C8)
        ),
        5,
        FALSE
    )="",
    "",
    VLOOKUP(
        $A8,
        _xlfn._xlws.FILTER(
            INDIRECT("'"&amp;E$62&amp;"'!A2:G1000"), (INDIRECT("'"&amp;E$62&amp;"'!B2:B1000")=$B8) * (INDIRECT("'"&amp;E$62&amp;"'!C2:C1000")=$C8)
        ),
        7,
        FALSE
    )
)</f>
        <v>Sim</v>
      </c>
      <c r="F8" s="60" t="str">
        <f t="array" aca="1" ref="F8" ca="1">IF(
    VLOOKUP(
        $A8,
        _xlfn._xlws.FILTER(
            INDIRECT("'"&amp;F$62&amp;"'!A2:G1000"), (INDIRECT("'"&amp;F$62&amp;"'!B2:B1000")=$B8) * (INDIRECT("'"&amp;F$62&amp;"'!C2:C1000")=$C8)
        ),
        5,
        FALSE
    )="",
    "",
    VLOOKUP(
        $A8,
        _xlfn._xlws.FILTER(
            INDIRECT("'"&amp;F$62&amp;"'!A2:G1000"), (INDIRECT("'"&amp;F$62&amp;"'!B2:B1000")=$B8) * (INDIRECT("'"&amp;F$62&amp;"'!C2:C1000")=$C8)
        ),
        7,
        FALSE
    )
)</f>
        <v>Sim</v>
      </c>
      <c r="G8" s="60" t="str">
        <f t="array" aca="1" ref="G8" ca="1">IF(
    VLOOKUP(
        $A8,
        _xlfn._xlws.FILTER(
            INDIRECT("'"&amp;G$62&amp;"'!A2:G1000"), (INDIRECT("'"&amp;G$62&amp;"'!B2:B1000")=$B8) * (INDIRECT("'"&amp;G$62&amp;"'!C2:C1000")=$C8)
        ),
        5,
        FALSE
    )="",
    "",
    VLOOKUP(
        $A8,
        _xlfn._xlws.FILTER(
            INDIRECT("'"&amp;G$62&amp;"'!A2:G1000"), (INDIRECT("'"&amp;G$62&amp;"'!B2:B1000")=$B8) * (INDIRECT("'"&amp;G$62&amp;"'!C2:C1000")=$C8)
        ),
        7,
        FALSE
    )
)</f>
        <v>Sim</v>
      </c>
      <c r="H8" s="60" t="str">
        <f t="array" aca="1" ref="H8" ca="1">IF(
    VLOOKUP(
        $A8,
        _xlfn._xlws.FILTER(
            INDIRECT("'"&amp;H$62&amp;"'!A2:G1000"), (INDIRECT("'"&amp;H$62&amp;"'!B2:B1000")=$B8) * (INDIRECT("'"&amp;H$62&amp;"'!C2:C1000")=$C8)
        ),
        5,
        FALSE
    )="",
    "",
    VLOOKUP(
        $A8,
        _xlfn._xlws.FILTER(
            INDIRECT("'"&amp;H$62&amp;"'!A2:G1000"), (INDIRECT("'"&amp;H$62&amp;"'!B2:B1000")=$B8) * (INDIRECT("'"&amp;H$62&amp;"'!C2:C1000")=$C8)
        ),
        7,
        FALSE
    )
)</f>
        <v>Sim</v>
      </c>
      <c r="I8" s="60" t="str">
        <f t="array" aca="1" ref="I8" ca="1">IF(
    VLOOKUP(
        $A8,
        _xlfn._xlws.FILTER(
            INDIRECT("'"&amp;I$62&amp;"'!A2:G1000"), (INDIRECT("'"&amp;I$62&amp;"'!B2:B1000")=$B8) * (INDIRECT("'"&amp;I$62&amp;"'!C2:C1000")=$C8)
        ),
        5,
        FALSE
    )="",
    "",
    VLOOKUP(
        $A8,
        _xlfn._xlws.FILTER(
            INDIRECT("'"&amp;I$62&amp;"'!A2:G1000"), (INDIRECT("'"&amp;I$62&amp;"'!B2:B1000")=$B8) * (INDIRECT("'"&amp;I$62&amp;"'!C2:C1000")=$C8)
        ),
        7,
        FALSE
    )
)</f>
        <v>Sim</v>
      </c>
      <c r="J8" s="60" t="str">
        <f t="array" aca="1" ref="J8" ca="1">IF(
    VLOOKUP(
        $A8,
        _xlfn._xlws.FILTER(
            INDIRECT("'"&amp;J$62&amp;"'!A2:G1000"), (INDIRECT("'"&amp;J$62&amp;"'!B2:B1000")=$B8) * (INDIRECT("'"&amp;J$62&amp;"'!C2:C1000")=$C8)
        ),
        5,
        FALSE
    )="",
    "",
    VLOOKUP(
        $A8,
        _xlfn._xlws.FILTER(
            INDIRECT("'"&amp;J$62&amp;"'!A2:G1000"), (INDIRECT("'"&amp;J$62&amp;"'!B2:B1000")=$B8) * (INDIRECT("'"&amp;J$62&amp;"'!C2:C1000")=$C8)
        ),
        7,
        FALSE
    )
)</f>
        <v>Sim</v>
      </c>
      <c r="K8" s="60" t="str">
        <f t="array" aca="1" ref="K8" ca="1">IF(
    VLOOKUP(
        $A8,
        _xlfn._xlws.FILTER(
            INDIRECT("'"&amp;K$62&amp;"'!A2:G1000"), (INDIRECT("'"&amp;K$62&amp;"'!B2:B1000")=$B8) * (INDIRECT("'"&amp;K$62&amp;"'!C2:C1000")=$C8)
        ),
        5,
        FALSE
    )="",
    "",
    VLOOKUP(
        $A8,
        _xlfn._xlws.FILTER(
            INDIRECT("'"&amp;K$62&amp;"'!A2:G1000"), (INDIRECT("'"&amp;K$62&amp;"'!B2:B1000")=$B8) * (INDIRECT("'"&amp;K$62&amp;"'!C2:C1000")=$C8)
        ),
        7,
        FALSE
    )
)</f>
        <v>Sim</v>
      </c>
      <c r="L8" s="60" t="str">
        <f t="array" aca="1" ref="L8" ca="1">IF(
    VLOOKUP(
        $A8,
        _xlfn._xlws.FILTER(
            INDIRECT("'"&amp;L$62&amp;"'!A2:G1000"), (INDIRECT("'"&amp;L$62&amp;"'!B2:B1000")=$B8) * (INDIRECT("'"&amp;L$62&amp;"'!C2:C1000")=$C8)
        ),
        5,
        FALSE
    )="",
    "",
    VLOOKUP(
        $A8,
        _xlfn._xlws.FILTER(
            INDIRECT("'"&amp;L$62&amp;"'!A2:G1000"), (INDIRECT("'"&amp;L$62&amp;"'!B2:B1000")=$B8) * (INDIRECT("'"&amp;L$62&amp;"'!C2:C1000")=$C8)
        ),
        7,
        FALSE
    )
)</f>
        <v>Sim</v>
      </c>
      <c r="M8" s="60" t="str">
        <f t="array" aca="1" ref="M8" ca="1">IF(
    VLOOKUP(
        $A8,
        _xlfn._xlws.FILTER(
            INDIRECT("'"&amp;M$62&amp;"'!A2:G1000"), (INDIRECT("'"&amp;M$62&amp;"'!B2:B1000")=$B8) * (INDIRECT("'"&amp;M$62&amp;"'!C2:C1000")=$C8)
        ),
        5,
        FALSE
    )="",
    "",
    VLOOKUP(
        $A8,
        _xlfn._xlws.FILTER(
            INDIRECT("'"&amp;M$62&amp;"'!A2:G1000"), (INDIRECT("'"&amp;M$62&amp;"'!B2:B1000")=$B8) * (INDIRECT("'"&amp;M$62&amp;"'!C2:C1000")=$C8)
        ),
        7,
        FALSE
    )
)</f>
        <v>Sim</v>
      </c>
      <c r="N8" s="60" t="str">
        <f t="array" aca="1" ref="N8" ca="1">IF(
    VLOOKUP(
        $A8,
        _xlfn._xlws.FILTER(
            INDIRECT("'"&amp;N$62&amp;"'!A2:G1000"), (INDIRECT("'"&amp;N$62&amp;"'!B2:B1000")=$B8) * (INDIRECT("'"&amp;N$62&amp;"'!C2:C1000")=$C8)
        ),
        5,
        FALSE
    )="",
    "",
    VLOOKUP(
        $A8,
        _xlfn._xlws.FILTER(
            INDIRECT("'"&amp;N$62&amp;"'!A2:G1000"), (INDIRECT("'"&amp;N$62&amp;"'!B2:B1000")=$B8) * (INDIRECT("'"&amp;N$62&amp;"'!C2:C1000")=$C8)
        ),
        7,
        FALSE
    )
)</f>
        <v>Não</v>
      </c>
      <c r="O8" s="60" t="str">
        <f t="array" aca="1" ref="O8" ca="1">IF(
    VLOOKUP(
        $A8,
        _xlfn._xlws.FILTER(
            INDIRECT("'"&amp;O$62&amp;"'!A2:G1000"), (INDIRECT("'"&amp;O$62&amp;"'!B2:B1000")=$B8) * (INDIRECT("'"&amp;O$62&amp;"'!C2:C1000")=$C8)
        ),
        5,
        FALSE
    )="",
    "",
    VLOOKUP(
        $A8,
        _xlfn._xlws.FILTER(
            INDIRECT("'"&amp;O$62&amp;"'!A2:G1000"), (INDIRECT("'"&amp;O$62&amp;"'!B2:B1000")=$B8) * (INDIRECT("'"&amp;O$62&amp;"'!C2:C1000")=$C8)
        ),
        7,
        FALSE
    )
)</f>
        <v/>
      </c>
      <c r="P8" s="60" t="str">
        <f t="array" aca="1" ref="P8" ca="1">IF(
    VLOOKUP(
        $A8,
        _xlfn._xlws.FILTER(
            INDIRECT("'"&amp;P$62&amp;"'!A2:G1000"), (INDIRECT("'"&amp;P$62&amp;"'!B2:B1000")=$B8) * (INDIRECT("'"&amp;P$62&amp;"'!C2:C1000")=$C8)
        ),
        5,
        FALSE
    )="",
    "",
    VLOOKUP(
        $A8,
        _xlfn._xlws.FILTER(
            INDIRECT("'"&amp;P$62&amp;"'!A2:G1000"), (INDIRECT("'"&amp;P$62&amp;"'!B2:B1000")=$B8) * (INDIRECT("'"&amp;P$62&amp;"'!C2:C1000")=$C8)
        ),
        7,
        FALSE
    )
)</f>
        <v/>
      </c>
    </row>
    <row r="9" spans="1:16">
      <c r="A9" s="32" t="s">
        <v>35</v>
      </c>
      <c r="B9" s="60" t="s">
        <v>82</v>
      </c>
      <c r="C9" s="60" t="s">
        <v>75</v>
      </c>
      <c r="D9" s="60" t="str">
        <f t="array" aca="1" ref="D9" ca="1">IF(
    VLOOKUP(
        $A9,
        _xlfn._xlws.FILTER(
            INDIRECT("'"&amp;D$62&amp;"'!A2:G1000"), (INDIRECT("'"&amp;D$62&amp;"'!B2:B1000")=$B9) * (INDIRECT("'"&amp;D$62&amp;"'!C2:C1000")=$C9)
        ),
        5,
        FALSE
    )="",
    "",
    VLOOKUP(
        $A9,
        _xlfn._xlws.FILTER(
            INDIRECT("'"&amp;D$62&amp;"'!A2:G1000"), (INDIRECT("'"&amp;D$62&amp;"'!B2:B1000")=$B9) * (INDIRECT("'"&amp;D$62&amp;"'!C2:C1000")=$C9)
        ),
        7,
        FALSE
    )
)</f>
        <v>Sim</v>
      </c>
      <c r="E9" s="60" t="str">
        <f t="array" aca="1" ref="E9" ca="1">IF(
    VLOOKUP(
        $A9,
        _xlfn._xlws.FILTER(
            INDIRECT("'"&amp;E$62&amp;"'!A2:G1000"), (INDIRECT("'"&amp;E$62&amp;"'!B2:B1000")=$B9) * (INDIRECT("'"&amp;E$62&amp;"'!C2:C1000")=$C9)
        ),
        5,
        FALSE
    )="",
    "",
    VLOOKUP(
        $A9,
        _xlfn._xlws.FILTER(
            INDIRECT("'"&amp;E$62&amp;"'!A2:G1000"), (INDIRECT("'"&amp;E$62&amp;"'!B2:B1000")=$B9) * (INDIRECT("'"&amp;E$62&amp;"'!C2:C1000")=$C9)
        ),
        7,
        FALSE
    )
)</f>
        <v>Sim</v>
      </c>
      <c r="F9" s="60" t="str">
        <f t="array" aca="1" ref="F9" ca="1">IF(
    VLOOKUP(
        $A9,
        _xlfn._xlws.FILTER(
            INDIRECT("'"&amp;F$62&amp;"'!A2:G1000"), (INDIRECT("'"&amp;F$62&amp;"'!B2:B1000")=$B9) * (INDIRECT("'"&amp;F$62&amp;"'!C2:C1000")=$C9)
        ),
        5,
        FALSE
    )="",
    "",
    VLOOKUP(
        $A9,
        _xlfn._xlws.FILTER(
            INDIRECT("'"&amp;F$62&amp;"'!A2:G1000"), (INDIRECT("'"&amp;F$62&amp;"'!B2:B1000")=$B9) * (INDIRECT("'"&amp;F$62&amp;"'!C2:C1000")=$C9)
        ),
        7,
        FALSE
    )
)</f>
        <v>Sim</v>
      </c>
      <c r="G9" s="60" t="str">
        <f t="array" aca="1" ref="G9" ca="1">IF(
    VLOOKUP(
        $A9,
        _xlfn._xlws.FILTER(
            INDIRECT("'"&amp;G$62&amp;"'!A2:G1000"), (INDIRECT("'"&amp;G$62&amp;"'!B2:B1000")=$B9) * (INDIRECT("'"&amp;G$62&amp;"'!C2:C1000")=$C9)
        ),
        5,
        FALSE
    )="",
    "",
    VLOOKUP(
        $A9,
        _xlfn._xlws.FILTER(
            INDIRECT("'"&amp;G$62&amp;"'!A2:G1000"), (INDIRECT("'"&amp;G$62&amp;"'!B2:B1000")=$B9) * (INDIRECT("'"&amp;G$62&amp;"'!C2:C1000")=$C9)
        ),
        7,
        FALSE
    )
)</f>
        <v>Sim</v>
      </c>
      <c r="H9" s="60" t="str">
        <f t="array" aca="1" ref="H9" ca="1">IF(
    VLOOKUP(
        $A9,
        _xlfn._xlws.FILTER(
            INDIRECT("'"&amp;H$62&amp;"'!A2:G1000"), (INDIRECT("'"&amp;H$62&amp;"'!B2:B1000")=$B9) * (INDIRECT("'"&amp;H$62&amp;"'!C2:C1000")=$C9)
        ),
        5,
        FALSE
    )="",
    "",
    VLOOKUP(
        $A9,
        _xlfn._xlws.FILTER(
            INDIRECT("'"&amp;H$62&amp;"'!A2:G1000"), (INDIRECT("'"&amp;H$62&amp;"'!B2:B1000")=$B9) * (INDIRECT("'"&amp;H$62&amp;"'!C2:C1000")=$C9)
        ),
        7,
        FALSE
    )
)</f>
        <v>Sim</v>
      </c>
      <c r="I9" s="60" t="str">
        <f t="array" aca="1" ref="I9" ca="1">IF(
    VLOOKUP(
        $A9,
        _xlfn._xlws.FILTER(
            INDIRECT("'"&amp;I$62&amp;"'!A2:G1000"), (INDIRECT("'"&amp;I$62&amp;"'!B2:B1000")=$B9) * (INDIRECT("'"&amp;I$62&amp;"'!C2:C1000")=$C9)
        ),
        5,
        FALSE
    )="",
    "",
    VLOOKUP(
        $A9,
        _xlfn._xlws.FILTER(
            INDIRECT("'"&amp;I$62&amp;"'!A2:G1000"), (INDIRECT("'"&amp;I$62&amp;"'!B2:B1000")=$B9) * (INDIRECT("'"&amp;I$62&amp;"'!C2:C1000")=$C9)
        ),
        7,
        FALSE
    )
)</f>
        <v>Sim</v>
      </c>
      <c r="J9" s="60" t="str">
        <f t="array" aca="1" ref="J9" ca="1">IF(
    VLOOKUP(
        $A9,
        _xlfn._xlws.FILTER(
            INDIRECT("'"&amp;J$62&amp;"'!A2:G1000"), (INDIRECT("'"&amp;J$62&amp;"'!B2:B1000")=$B9) * (INDIRECT("'"&amp;J$62&amp;"'!C2:C1000")=$C9)
        ),
        5,
        FALSE
    )="",
    "",
    VLOOKUP(
        $A9,
        _xlfn._xlws.FILTER(
            INDIRECT("'"&amp;J$62&amp;"'!A2:G1000"), (INDIRECT("'"&amp;J$62&amp;"'!B2:B1000")=$B9) * (INDIRECT("'"&amp;J$62&amp;"'!C2:C1000")=$C9)
        ),
        7,
        FALSE
    )
)</f>
        <v>Sim</v>
      </c>
      <c r="K9" s="60" t="str">
        <f t="array" aca="1" ref="K9" ca="1">IF(
    VLOOKUP(
        $A9,
        _xlfn._xlws.FILTER(
            INDIRECT("'"&amp;K$62&amp;"'!A2:G1000"), (INDIRECT("'"&amp;K$62&amp;"'!B2:B1000")=$B9) * (INDIRECT("'"&amp;K$62&amp;"'!C2:C1000")=$C9)
        ),
        5,
        FALSE
    )="",
    "",
    VLOOKUP(
        $A9,
        _xlfn._xlws.FILTER(
            INDIRECT("'"&amp;K$62&amp;"'!A2:G1000"), (INDIRECT("'"&amp;K$62&amp;"'!B2:B1000")=$B9) * (INDIRECT("'"&amp;K$62&amp;"'!C2:C1000")=$C9)
        ),
        7,
        FALSE
    )
)</f>
        <v>Sim</v>
      </c>
      <c r="L9" s="60" t="str">
        <f t="array" aca="1" ref="L9" ca="1">IF(
    VLOOKUP(
        $A9,
        _xlfn._xlws.FILTER(
            INDIRECT("'"&amp;L$62&amp;"'!A2:G1000"), (INDIRECT("'"&amp;L$62&amp;"'!B2:B1000")=$B9) * (INDIRECT("'"&amp;L$62&amp;"'!C2:C1000")=$C9)
        ),
        5,
        FALSE
    )="",
    "",
    VLOOKUP(
        $A9,
        _xlfn._xlws.FILTER(
            INDIRECT("'"&amp;L$62&amp;"'!A2:G1000"), (INDIRECT("'"&amp;L$62&amp;"'!B2:B1000")=$B9) * (INDIRECT("'"&amp;L$62&amp;"'!C2:C1000")=$C9)
        ),
        7,
        FALSE
    )
)</f>
        <v>Sim</v>
      </c>
      <c r="M9" s="60" t="str">
        <f t="array" aca="1" ref="M9" ca="1">IF(
    VLOOKUP(
        $A9,
        _xlfn._xlws.FILTER(
            INDIRECT("'"&amp;M$62&amp;"'!A2:G1000"), (INDIRECT("'"&amp;M$62&amp;"'!B2:B1000")=$B9) * (INDIRECT("'"&amp;M$62&amp;"'!C2:C1000")=$C9)
        ),
        5,
        FALSE
    )="",
    "",
    VLOOKUP(
        $A9,
        _xlfn._xlws.FILTER(
            INDIRECT("'"&amp;M$62&amp;"'!A2:G1000"), (INDIRECT("'"&amp;M$62&amp;"'!B2:B1000")=$B9) * (INDIRECT("'"&amp;M$62&amp;"'!C2:C1000")=$C9)
        ),
        7,
        FALSE
    )
)</f>
        <v>Sim</v>
      </c>
      <c r="N9" s="60" t="str">
        <f t="array" aca="1" ref="N9" ca="1">IF(
    VLOOKUP(
        $A9,
        _xlfn._xlws.FILTER(
            INDIRECT("'"&amp;N$62&amp;"'!A2:G1000"), (INDIRECT("'"&amp;N$62&amp;"'!B2:B1000")=$B9) * (INDIRECT("'"&amp;N$62&amp;"'!C2:C1000")=$C9)
        ),
        5,
        FALSE
    )="",
    "",
    VLOOKUP(
        $A9,
        _xlfn._xlws.FILTER(
            INDIRECT("'"&amp;N$62&amp;"'!A2:G1000"), (INDIRECT("'"&amp;N$62&amp;"'!B2:B1000")=$B9) * (INDIRECT("'"&amp;N$62&amp;"'!C2:C1000")=$C9)
        ),
        7,
        FALSE
    )
)</f>
        <v>Não</v>
      </c>
      <c r="O9" s="60" t="str">
        <f t="array" aca="1" ref="O9" ca="1">IF(
    VLOOKUP(
        $A9,
        _xlfn._xlws.FILTER(
            INDIRECT("'"&amp;O$62&amp;"'!A2:G1000"), (INDIRECT("'"&amp;O$62&amp;"'!B2:B1000")=$B9) * (INDIRECT("'"&amp;O$62&amp;"'!C2:C1000")=$C9)
        ),
        5,
        FALSE
    )="",
    "",
    VLOOKUP(
        $A9,
        _xlfn._xlws.FILTER(
            INDIRECT("'"&amp;O$62&amp;"'!A2:G1000"), (INDIRECT("'"&amp;O$62&amp;"'!B2:B1000")=$B9) * (INDIRECT("'"&amp;O$62&amp;"'!C2:C1000")=$C9)
        ),
        7,
        FALSE
    )
)</f>
        <v/>
      </c>
      <c r="P9" s="60" t="str">
        <f t="array" aca="1" ref="P9" ca="1">IF(
    VLOOKUP(
        $A9,
        _xlfn._xlws.FILTER(
            INDIRECT("'"&amp;P$62&amp;"'!A2:G1000"), (INDIRECT("'"&amp;P$62&amp;"'!B2:B1000")=$B9) * (INDIRECT("'"&amp;P$62&amp;"'!C2:C1000")=$C9)
        ),
        5,
        FALSE
    )="",
    "",
    VLOOKUP(
        $A9,
        _xlfn._xlws.FILTER(
            INDIRECT("'"&amp;P$62&amp;"'!A2:G1000"), (INDIRECT("'"&amp;P$62&amp;"'!B2:B1000")=$B9) * (INDIRECT("'"&amp;P$62&amp;"'!C2:C1000")=$C9)
        ),
        7,
        FALSE
    )
)</f>
        <v/>
      </c>
    </row>
    <row r="10" spans="1:16">
      <c r="A10" s="32" t="s">
        <v>35</v>
      </c>
      <c r="B10" s="60" t="s">
        <v>83</v>
      </c>
      <c r="C10" s="60" t="s">
        <v>75</v>
      </c>
      <c r="D10" s="60" t="str">
        <f t="array" aca="1" ref="D10" ca="1">IF(
    VLOOKUP(
        $A10,
        _xlfn._xlws.FILTER(
            INDIRECT("'"&amp;D$62&amp;"'!A2:G1000"), (INDIRECT("'"&amp;D$62&amp;"'!B2:B1000")=$B10) * (INDIRECT("'"&amp;D$62&amp;"'!C2:C1000")=$C10)
        ),
        5,
        FALSE
    )="",
    "",
    VLOOKUP(
        $A10,
        _xlfn._xlws.FILTER(
            INDIRECT("'"&amp;D$62&amp;"'!A2:G1000"), (INDIRECT("'"&amp;D$62&amp;"'!B2:B1000")=$B10) * (INDIRECT("'"&amp;D$62&amp;"'!C2:C1000")=$C10)
        ),
        7,
        FALSE
    )
)</f>
        <v>Sim</v>
      </c>
      <c r="E10" s="60" t="str">
        <f t="array" aca="1" ref="E10" ca="1">IF(
    VLOOKUP(
        $A10,
        _xlfn._xlws.FILTER(
            INDIRECT("'"&amp;E$62&amp;"'!A2:G1000"), (INDIRECT("'"&amp;E$62&amp;"'!B2:B1000")=$B10) * (INDIRECT("'"&amp;E$62&amp;"'!C2:C1000")=$C10)
        ),
        5,
        FALSE
    )="",
    "",
    VLOOKUP(
        $A10,
        _xlfn._xlws.FILTER(
            INDIRECT("'"&amp;E$62&amp;"'!A2:G1000"), (INDIRECT("'"&amp;E$62&amp;"'!B2:B1000")=$B10) * (INDIRECT("'"&amp;E$62&amp;"'!C2:C1000")=$C10)
        ),
        7,
        FALSE
    )
)</f>
        <v>Sim</v>
      </c>
      <c r="F10" s="60" t="str">
        <f t="array" aca="1" ref="F10" ca="1">IF(
    VLOOKUP(
        $A10,
        _xlfn._xlws.FILTER(
            INDIRECT("'"&amp;F$62&amp;"'!A2:G1000"), (INDIRECT("'"&amp;F$62&amp;"'!B2:B1000")=$B10) * (INDIRECT("'"&amp;F$62&amp;"'!C2:C1000")=$C10)
        ),
        5,
        FALSE
    )="",
    "",
    VLOOKUP(
        $A10,
        _xlfn._xlws.FILTER(
            INDIRECT("'"&amp;F$62&amp;"'!A2:G1000"), (INDIRECT("'"&amp;F$62&amp;"'!B2:B1000")=$B10) * (INDIRECT("'"&amp;F$62&amp;"'!C2:C1000")=$C10)
        ),
        7,
        FALSE
    )
)</f>
        <v>Sim</v>
      </c>
      <c r="G10" s="60" t="str">
        <f t="array" aca="1" ref="G10" ca="1">IF(
    VLOOKUP(
        $A10,
        _xlfn._xlws.FILTER(
            INDIRECT("'"&amp;G$62&amp;"'!A2:G1000"), (INDIRECT("'"&amp;G$62&amp;"'!B2:B1000")=$B10) * (INDIRECT("'"&amp;G$62&amp;"'!C2:C1000")=$C10)
        ),
        5,
        FALSE
    )="",
    "",
    VLOOKUP(
        $A10,
        _xlfn._xlws.FILTER(
            INDIRECT("'"&amp;G$62&amp;"'!A2:G1000"), (INDIRECT("'"&amp;G$62&amp;"'!B2:B1000")=$B10) * (INDIRECT("'"&amp;G$62&amp;"'!C2:C1000")=$C10)
        ),
        7,
        FALSE
    )
)</f>
        <v>Sim</v>
      </c>
      <c r="H10" s="60" t="str">
        <f t="array" aca="1" ref="H10" ca="1">IF(
    VLOOKUP(
        $A10,
        _xlfn._xlws.FILTER(
            INDIRECT("'"&amp;H$62&amp;"'!A2:G1000"), (INDIRECT("'"&amp;H$62&amp;"'!B2:B1000")=$B10) * (INDIRECT("'"&amp;H$62&amp;"'!C2:C1000")=$C10)
        ),
        5,
        FALSE
    )="",
    "",
    VLOOKUP(
        $A10,
        _xlfn._xlws.FILTER(
            INDIRECT("'"&amp;H$62&amp;"'!A2:G1000"), (INDIRECT("'"&amp;H$62&amp;"'!B2:B1000")=$B10) * (INDIRECT("'"&amp;H$62&amp;"'!C2:C1000")=$C10)
        ),
        7,
        FALSE
    )
)</f>
        <v>Sim</v>
      </c>
      <c r="I10" s="60" t="str">
        <f t="array" aca="1" ref="I10" ca="1">IF(
    VLOOKUP(
        $A10,
        _xlfn._xlws.FILTER(
            INDIRECT("'"&amp;I$62&amp;"'!A2:G1000"), (INDIRECT("'"&amp;I$62&amp;"'!B2:B1000")=$B10) * (INDIRECT("'"&amp;I$62&amp;"'!C2:C1000")=$C10)
        ),
        5,
        FALSE
    )="",
    "",
    VLOOKUP(
        $A10,
        _xlfn._xlws.FILTER(
            INDIRECT("'"&amp;I$62&amp;"'!A2:G1000"), (INDIRECT("'"&amp;I$62&amp;"'!B2:B1000")=$B10) * (INDIRECT("'"&amp;I$62&amp;"'!C2:C1000")=$C10)
        ),
        7,
        FALSE
    )
)</f>
        <v>Não</v>
      </c>
      <c r="J10" s="60" t="str">
        <f t="array" aca="1" ref="J10" ca="1">IF(
    VLOOKUP(
        $A10,
        _xlfn._xlws.FILTER(
            INDIRECT("'"&amp;J$62&amp;"'!A2:G1000"), (INDIRECT("'"&amp;J$62&amp;"'!B2:B1000")=$B10) * (INDIRECT("'"&amp;J$62&amp;"'!C2:C1000")=$C10)
        ),
        5,
        FALSE
    )="",
    "",
    VLOOKUP(
        $A10,
        _xlfn._xlws.FILTER(
            INDIRECT("'"&amp;J$62&amp;"'!A2:G1000"), (INDIRECT("'"&amp;J$62&amp;"'!B2:B1000")=$B10) * (INDIRECT("'"&amp;J$62&amp;"'!C2:C1000")=$C10)
        ),
        7,
        FALSE
    )
)</f>
        <v>Não</v>
      </c>
      <c r="K10" s="60" t="str">
        <f t="array" aca="1" ref="K10" ca="1">IF(
    VLOOKUP(
        $A10,
        _xlfn._xlws.FILTER(
            INDIRECT("'"&amp;K$62&amp;"'!A2:G1000"), (INDIRECT("'"&amp;K$62&amp;"'!B2:B1000")=$B10) * (INDIRECT("'"&amp;K$62&amp;"'!C2:C1000")=$C10)
        ),
        5,
        FALSE
    )="",
    "",
    VLOOKUP(
        $A10,
        _xlfn._xlws.FILTER(
            INDIRECT("'"&amp;K$62&amp;"'!A2:G1000"), (INDIRECT("'"&amp;K$62&amp;"'!B2:B1000")=$B10) * (INDIRECT("'"&amp;K$62&amp;"'!C2:C1000")=$C10)
        ),
        7,
        FALSE
    )
)</f>
        <v>Sim</v>
      </c>
      <c r="L10" s="60" t="str">
        <f t="array" aca="1" ref="L10" ca="1">IF(
    VLOOKUP(
        $A10,
        _xlfn._xlws.FILTER(
            INDIRECT("'"&amp;L$62&amp;"'!A2:G1000"), (INDIRECT("'"&amp;L$62&amp;"'!B2:B1000")=$B10) * (INDIRECT("'"&amp;L$62&amp;"'!C2:C1000")=$C10)
        ),
        5,
        FALSE
    )="",
    "",
    VLOOKUP(
        $A10,
        _xlfn._xlws.FILTER(
            INDIRECT("'"&amp;L$62&amp;"'!A2:G1000"), (INDIRECT("'"&amp;L$62&amp;"'!B2:B1000")=$B10) * (INDIRECT("'"&amp;L$62&amp;"'!C2:C1000")=$C10)
        ),
        7,
        FALSE
    )
)</f>
        <v>Sim</v>
      </c>
      <c r="M10" s="60" t="str">
        <f t="array" aca="1" ref="M10" ca="1">IF(
    VLOOKUP(
        $A10,
        _xlfn._xlws.FILTER(
            INDIRECT("'"&amp;M$62&amp;"'!A2:G1000"), (INDIRECT("'"&amp;M$62&amp;"'!B2:B1000")=$B10) * (INDIRECT("'"&amp;M$62&amp;"'!C2:C1000")=$C10)
        ),
        5,
        FALSE
    )="",
    "",
    VLOOKUP(
        $A10,
        _xlfn._xlws.FILTER(
            INDIRECT("'"&amp;M$62&amp;"'!A2:G1000"), (INDIRECT("'"&amp;M$62&amp;"'!B2:B1000")=$B10) * (INDIRECT("'"&amp;M$62&amp;"'!C2:C1000")=$C10)
        ),
        7,
        FALSE
    )
)</f>
        <v>Sim</v>
      </c>
      <c r="N10" s="60" t="str">
        <f t="array" aca="1" ref="N10" ca="1">IF(
    VLOOKUP(
        $A10,
        _xlfn._xlws.FILTER(
            INDIRECT("'"&amp;N$62&amp;"'!A2:G1000"), (INDIRECT("'"&amp;N$62&amp;"'!B2:B1000")=$B10) * (INDIRECT("'"&amp;N$62&amp;"'!C2:C1000")=$C10)
        ),
        5,
        FALSE
    )="",
    "",
    VLOOKUP(
        $A10,
        _xlfn._xlws.FILTER(
            INDIRECT("'"&amp;N$62&amp;"'!A2:G1000"), (INDIRECT("'"&amp;N$62&amp;"'!B2:B1000")=$B10) * (INDIRECT("'"&amp;N$62&amp;"'!C2:C1000")=$C10)
        ),
        7,
        FALSE
    )
)</f>
        <v>Sim</v>
      </c>
      <c r="O10" s="60" t="str">
        <f t="array" aca="1" ref="O10" ca="1">IF(
    VLOOKUP(
        $A10,
        _xlfn._xlws.FILTER(
            INDIRECT("'"&amp;O$62&amp;"'!A2:G1000"), (INDIRECT("'"&amp;O$62&amp;"'!B2:B1000")=$B10) * (INDIRECT("'"&amp;O$62&amp;"'!C2:C1000")=$C10)
        ),
        5,
        FALSE
    )="",
    "",
    VLOOKUP(
        $A10,
        _xlfn._xlws.FILTER(
            INDIRECT("'"&amp;O$62&amp;"'!A2:G1000"), (INDIRECT("'"&amp;O$62&amp;"'!B2:B1000")=$B10) * (INDIRECT("'"&amp;O$62&amp;"'!C2:C1000")=$C10)
        ),
        7,
        FALSE
    )
)</f>
        <v/>
      </c>
      <c r="P10" s="60" t="str">
        <f t="array" aca="1" ref="P10" ca="1">IF(
    VLOOKUP(
        $A10,
        _xlfn._xlws.FILTER(
            INDIRECT("'"&amp;P$62&amp;"'!A2:G1000"), (INDIRECT("'"&amp;P$62&amp;"'!B2:B1000")=$B10) * (INDIRECT("'"&amp;P$62&amp;"'!C2:C1000")=$C10)
        ),
        5,
        FALSE
    )="",
    "",
    VLOOKUP(
        $A10,
        _xlfn._xlws.FILTER(
            INDIRECT("'"&amp;P$62&amp;"'!A2:G1000"), (INDIRECT("'"&amp;P$62&amp;"'!B2:B1000")=$B10) * (INDIRECT("'"&amp;P$62&amp;"'!C2:C1000")=$C10)
        ),
        7,
        FALSE
    )
)</f>
        <v/>
      </c>
    </row>
    <row r="11" spans="1:16">
      <c r="A11" s="32" t="s">
        <v>35</v>
      </c>
      <c r="B11" s="60" t="s">
        <v>83</v>
      </c>
      <c r="C11" s="60" t="s">
        <v>76</v>
      </c>
      <c r="D11" s="60" t="str">
        <f t="array" aca="1" ref="D11" ca="1">IF(
    VLOOKUP(
        $A11,
        _xlfn._xlws.FILTER(
            INDIRECT("'"&amp;D$62&amp;"'!A2:G1000"), (INDIRECT("'"&amp;D$62&amp;"'!B2:B1000")=$B11) * (INDIRECT("'"&amp;D$62&amp;"'!C2:C1000")=$C11)
        ),
        5,
        FALSE
    )="",
    "",
    VLOOKUP(
        $A11,
        _xlfn._xlws.FILTER(
            INDIRECT("'"&amp;D$62&amp;"'!A2:G1000"), (INDIRECT("'"&amp;D$62&amp;"'!B2:B1000")=$B11) * (INDIRECT("'"&amp;D$62&amp;"'!C2:C1000")=$C11)
        ),
        7,
        FALSE
    )
)</f>
        <v>Sim</v>
      </c>
      <c r="E11" s="60" t="str">
        <f t="array" aca="1" ref="E11" ca="1">IF(
    VLOOKUP(
        $A11,
        _xlfn._xlws.FILTER(
            INDIRECT("'"&amp;E$62&amp;"'!A2:G1000"), (INDIRECT("'"&amp;E$62&amp;"'!B2:B1000")=$B11) * (INDIRECT("'"&amp;E$62&amp;"'!C2:C1000")=$C11)
        ),
        5,
        FALSE
    )="",
    "",
    VLOOKUP(
        $A11,
        _xlfn._xlws.FILTER(
            INDIRECT("'"&amp;E$62&amp;"'!A2:G1000"), (INDIRECT("'"&amp;E$62&amp;"'!B2:B1000")=$B11) * (INDIRECT("'"&amp;E$62&amp;"'!C2:C1000")=$C11)
        ),
        7,
        FALSE
    )
)</f>
        <v>Sim</v>
      </c>
      <c r="F11" s="60" t="str">
        <f t="array" aca="1" ref="F11" ca="1">IF(
    VLOOKUP(
        $A11,
        _xlfn._xlws.FILTER(
            INDIRECT("'"&amp;F$62&amp;"'!A2:G1000"), (INDIRECT("'"&amp;F$62&amp;"'!B2:B1000")=$B11) * (INDIRECT("'"&amp;F$62&amp;"'!C2:C1000")=$C11)
        ),
        5,
        FALSE
    )="",
    "",
    VLOOKUP(
        $A11,
        _xlfn._xlws.FILTER(
            INDIRECT("'"&amp;F$62&amp;"'!A2:G1000"), (INDIRECT("'"&amp;F$62&amp;"'!B2:B1000")=$B11) * (INDIRECT("'"&amp;F$62&amp;"'!C2:C1000")=$C11)
        ),
        7,
        FALSE
    )
)</f>
        <v>Sim</v>
      </c>
      <c r="G11" s="60" t="str">
        <f t="array" aca="1" ref="G11" ca="1">IF(
    VLOOKUP(
        $A11,
        _xlfn._xlws.FILTER(
            INDIRECT("'"&amp;G$62&amp;"'!A2:G1000"), (INDIRECT("'"&amp;G$62&amp;"'!B2:B1000")=$B11) * (INDIRECT("'"&amp;G$62&amp;"'!C2:C1000")=$C11)
        ),
        5,
        FALSE
    )="",
    "",
    VLOOKUP(
        $A11,
        _xlfn._xlws.FILTER(
            INDIRECT("'"&amp;G$62&amp;"'!A2:G1000"), (INDIRECT("'"&amp;G$62&amp;"'!B2:B1000")=$B11) * (INDIRECT("'"&amp;G$62&amp;"'!C2:C1000")=$C11)
        ),
        7,
        FALSE
    )
)</f>
        <v>Sim</v>
      </c>
      <c r="H11" s="60" t="str">
        <f t="array" aca="1" ref="H11" ca="1">IF(
    VLOOKUP(
        $A11,
        _xlfn._xlws.FILTER(
            INDIRECT("'"&amp;H$62&amp;"'!A2:G1000"), (INDIRECT("'"&amp;H$62&amp;"'!B2:B1000")=$B11) * (INDIRECT("'"&amp;H$62&amp;"'!C2:C1000")=$C11)
        ),
        5,
        FALSE
    )="",
    "",
    VLOOKUP(
        $A11,
        _xlfn._xlws.FILTER(
            INDIRECT("'"&amp;H$62&amp;"'!A2:G1000"), (INDIRECT("'"&amp;H$62&amp;"'!B2:B1000")=$B11) * (INDIRECT("'"&amp;H$62&amp;"'!C2:C1000")=$C11)
        ),
        7,
        FALSE
    )
)</f>
        <v>Sim</v>
      </c>
      <c r="I11" s="60" t="str">
        <f t="array" aca="1" ref="I11" ca="1">IF(
    VLOOKUP(
        $A11,
        _xlfn._xlws.FILTER(
            INDIRECT("'"&amp;I$62&amp;"'!A2:G1000"), (INDIRECT("'"&amp;I$62&amp;"'!B2:B1000")=$B11) * (INDIRECT("'"&amp;I$62&amp;"'!C2:C1000")=$C11)
        ),
        5,
        FALSE
    )="",
    "",
    VLOOKUP(
        $A11,
        _xlfn._xlws.FILTER(
            INDIRECT("'"&amp;I$62&amp;"'!A2:G1000"), (INDIRECT("'"&amp;I$62&amp;"'!B2:B1000")=$B11) * (INDIRECT("'"&amp;I$62&amp;"'!C2:C1000")=$C11)
        ),
        7,
        FALSE
    )
)</f>
        <v>Sim</v>
      </c>
      <c r="J11" s="60" t="str">
        <f t="array" aca="1" ref="J11" ca="1">IF(
    VLOOKUP(
        $A11,
        _xlfn._xlws.FILTER(
            INDIRECT("'"&amp;J$62&amp;"'!A2:G1000"), (INDIRECT("'"&amp;J$62&amp;"'!B2:B1000")=$B11) * (INDIRECT("'"&amp;J$62&amp;"'!C2:C1000")=$C11)
        ),
        5,
        FALSE
    )="",
    "",
    VLOOKUP(
        $A11,
        _xlfn._xlws.FILTER(
            INDIRECT("'"&amp;J$62&amp;"'!A2:G1000"), (INDIRECT("'"&amp;J$62&amp;"'!B2:B1000")=$B11) * (INDIRECT("'"&amp;J$62&amp;"'!C2:C1000")=$C11)
        ),
        7,
        FALSE
    )
)</f>
        <v>Não</v>
      </c>
      <c r="K11" s="60" t="str">
        <f t="array" aca="1" ref="K11" ca="1">IF(
    VLOOKUP(
        $A11,
        _xlfn._xlws.FILTER(
            INDIRECT("'"&amp;K$62&amp;"'!A2:G1000"), (INDIRECT("'"&amp;K$62&amp;"'!B2:B1000")=$B11) * (INDIRECT("'"&amp;K$62&amp;"'!C2:C1000")=$C11)
        ),
        5,
        FALSE
    )="",
    "",
    VLOOKUP(
        $A11,
        _xlfn._xlws.FILTER(
            INDIRECT("'"&amp;K$62&amp;"'!A2:G1000"), (INDIRECT("'"&amp;K$62&amp;"'!B2:B1000")=$B11) * (INDIRECT("'"&amp;K$62&amp;"'!C2:C1000")=$C11)
        ),
        7,
        FALSE
    )
)</f>
        <v>Não</v>
      </c>
      <c r="L11" s="60" t="str">
        <f t="array" aca="1" ref="L11" ca="1">IF(
    VLOOKUP(
        $A11,
        _xlfn._xlws.FILTER(
            INDIRECT("'"&amp;L$62&amp;"'!A2:G1000"), (INDIRECT("'"&amp;L$62&amp;"'!B2:B1000")=$B11) * (INDIRECT("'"&amp;L$62&amp;"'!C2:C1000")=$C11)
        ),
        5,
        FALSE
    )="",
    "",
    VLOOKUP(
        $A11,
        _xlfn._xlws.FILTER(
            INDIRECT("'"&amp;L$62&amp;"'!A2:G1000"), (INDIRECT("'"&amp;L$62&amp;"'!B2:B1000")=$B11) * (INDIRECT("'"&amp;L$62&amp;"'!C2:C1000")=$C11)
        ),
        7,
        FALSE
    )
)</f>
        <v>Sim</v>
      </c>
      <c r="M11" s="60" t="str">
        <f t="array" aca="1" ref="M11" ca="1">IF(
    VLOOKUP(
        $A11,
        _xlfn._xlws.FILTER(
            INDIRECT("'"&amp;M$62&amp;"'!A2:G1000"), (INDIRECT("'"&amp;M$62&amp;"'!B2:B1000")=$B11) * (INDIRECT("'"&amp;M$62&amp;"'!C2:C1000")=$C11)
        ),
        5,
        FALSE
    )="",
    "",
    VLOOKUP(
        $A11,
        _xlfn._xlws.FILTER(
            INDIRECT("'"&amp;M$62&amp;"'!A2:G1000"), (INDIRECT("'"&amp;M$62&amp;"'!B2:B1000")=$B11) * (INDIRECT("'"&amp;M$62&amp;"'!C2:C1000")=$C11)
        ),
        7,
        FALSE
    )
)</f>
        <v>Sim</v>
      </c>
      <c r="N11" s="60" t="str">
        <f t="array" aca="1" ref="N11" ca="1">IF(
    VLOOKUP(
        $A11,
        _xlfn._xlws.FILTER(
            INDIRECT("'"&amp;N$62&amp;"'!A2:G1000"), (INDIRECT("'"&amp;N$62&amp;"'!B2:B1000")=$B11) * (INDIRECT("'"&amp;N$62&amp;"'!C2:C1000")=$C11)
        ),
        5,
        FALSE
    )="",
    "",
    VLOOKUP(
        $A11,
        _xlfn._xlws.FILTER(
            INDIRECT("'"&amp;N$62&amp;"'!A2:G1000"), (INDIRECT("'"&amp;N$62&amp;"'!B2:B1000")=$B11) * (INDIRECT("'"&amp;N$62&amp;"'!C2:C1000")=$C11)
        ),
        7,
        FALSE
    )
)</f>
        <v>Sim</v>
      </c>
      <c r="O11" s="60" t="str">
        <f t="array" aca="1" ref="O11" ca="1">IF(
    VLOOKUP(
        $A11,
        _xlfn._xlws.FILTER(
            INDIRECT("'"&amp;O$62&amp;"'!A2:G1000"), (INDIRECT("'"&amp;O$62&amp;"'!B2:B1000")=$B11) * (INDIRECT("'"&amp;O$62&amp;"'!C2:C1000")=$C11)
        ),
        5,
        FALSE
    )="",
    "",
    VLOOKUP(
        $A11,
        _xlfn._xlws.FILTER(
            INDIRECT("'"&amp;O$62&amp;"'!A2:G1000"), (INDIRECT("'"&amp;O$62&amp;"'!B2:B1000")=$B11) * (INDIRECT("'"&amp;O$62&amp;"'!C2:C1000")=$C11)
        ),
        7,
        FALSE
    )
)</f>
        <v/>
      </c>
      <c r="P11" s="60" t="str">
        <f t="array" aca="1" ref="P11" ca="1">IF(
    VLOOKUP(
        $A11,
        _xlfn._xlws.FILTER(
            INDIRECT("'"&amp;P$62&amp;"'!A2:G1000"), (INDIRECT("'"&amp;P$62&amp;"'!B2:B1000")=$B11) * (INDIRECT("'"&amp;P$62&amp;"'!C2:C1000")=$C11)
        ),
        5,
        FALSE
    )="",
    "",
    VLOOKUP(
        $A11,
        _xlfn._xlws.FILTER(
            INDIRECT("'"&amp;P$62&amp;"'!A2:G1000"), (INDIRECT("'"&amp;P$62&amp;"'!B2:B1000")=$B11) * (INDIRECT("'"&amp;P$62&amp;"'!C2:C1000")=$C11)
        ),
        7,
        FALSE
    )
)</f>
        <v/>
      </c>
    </row>
    <row r="12" spans="1:16">
      <c r="A12" s="32" t="s">
        <v>35</v>
      </c>
      <c r="B12" s="60" t="s">
        <v>84</v>
      </c>
      <c r="C12" s="60" t="s">
        <v>75</v>
      </c>
      <c r="D12" s="60" t="str">
        <f t="array" aca="1" ref="D12" ca="1">IF(
    VLOOKUP(
        $A12,
        _xlfn._xlws.FILTER(
            INDIRECT("'"&amp;D$62&amp;"'!A2:G1000"), (INDIRECT("'"&amp;D$62&amp;"'!B2:B1000")=$B12) * (INDIRECT("'"&amp;D$62&amp;"'!C2:C1000")=$C12)
        ),
        5,
        FALSE
    )="",
    "",
    VLOOKUP(
        $A12,
        _xlfn._xlws.FILTER(
            INDIRECT("'"&amp;D$62&amp;"'!A2:G1000"), (INDIRECT("'"&amp;D$62&amp;"'!B2:B1000")=$B12) * (INDIRECT("'"&amp;D$62&amp;"'!C2:C1000")=$C12)
        ),
        7,
        FALSE
    )
)</f>
        <v>Sim</v>
      </c>
      <c r="E12" s="60" t="str">
        <f t="array" aca="1" ref="E12" ca="1">IF(
    VLOOKUP(
        $A12,
        _xlfn._xlws.FILTER(
            INDIRECT("'"&amp;E$62&amp;"'!A2:G1000"), (INDIRECT("'"&amp;E$62&amp;"'!B2:B1000")=$B12) * (INDIRECT("'"&amp;E$62&amp;"'!C2:C1000")=$C12)
        ),
        5,
        FALSE
    )="",
    "",
    VLOOKUP(
        $A12,
        _xlfn._xlws.FILTER(
            INDIRECT("'"&amp;E$62&amp;"'!A2:G1000"), (INDIRECT("'"&amp;E$62&amp;"'!B2:B1000")=$B12) * (INDIRECT("'"&amp;E$62&amp;"'!C2:C1000")=$C12)
        ),
        7,
        FALSE
    )
)</f>
        <v>Sim</v>
      </c>
      <c r="F12" s="60" t="str">
        <f t="array" aca="1" ref="F12" ca="1">IF(
    VLOOKUP(
        $A12,
        _xlfn._xlws.FILTER(
            INDIRECT("'"&amp;F$62&amp;"'!A2:G1000"), (INDIRECT("'"&amp;F$62&amp;"'!B2:B1000")=$B12) * (INDIRECT("'"&amp;F$62&amp;"'!C2:C1000")=$C12)
        ),
        5,
        FALSE
    )="",
    "",
    VLOOKUP(
        $A12,
        _xlfn._xlws.FILTER(
            INDIRECT("'"&amp;F$62&amp;"'!A2:G1000"), (INDIRECT("'"&amp;F$62&amp;"'!B2:B1000")=$B12) * (INDIRECT("'"&amp;F$62&amp;"'!C2:C1000")=$C12)
        ),
        7,
        FALSE
    )
)</f>
        <v>Sim</v>
      </c>
      <c r="G12" s="60" t="str">
        <f t="array" aca="1" ref="G12" ca="1">IF(
    VLOOKUP(
        $A12,
        _xlfn._xlws.FILTER(
            INDIRECT("'"&amp;G$62&amp;"'!A2:G1000"), (INDIRECT("'"&amp;G$62&amp;"'!B2:B1000")=$B12) * (INDIRECT("'"&amp;G$62&amp;"'!C2:C1000")=$C12)
        ),
        5,
        FALSE
    )="",
    "",
    VLOOKUP(
        $A12,
        _xlfn._xlws.FILTER(
            INDIRECT("'"&amp;G$62&amp;"'!A2:G1000"), (INDIRECT("'"&amp;G$62&amp;"'!B2:B1000")=$B12) * (INDIRECT("'"&amp;G$62&amp;"'!C2:C1000")=$C12)
        ),
        7,
        FALSE
    )
)</f>
        <v>Sim</v>
      </c>
      <c r="H12" s="60" t="str">
        <f t="array" aca="1" ref="H12" ca="1">IF(
    VLOOKUP(
        $A12,
        _xlfn._xlws.FILTER(
            INDIRECT("'"&amp;H$62&amp;"'!A2:G1000"), (INDIRECT("'"&amp;H$62&amp;"'!B2:B1000")=$B12) * (INDIRECT("'"&amp;H$62&amp;"'!C2:C1000")=$C12)
        ),
        5,
        FALSE
    )="",
    "",
    VLOOKUP(
        $A12,
        _xlfn._xlws.FILTER(
            INDIRECT("'"&amp;H$62&amp;"'!A2:G1000"), (INDIRECT("'"&amp;H$62&amp;"'!B2:B1000")=$B12) * (INDIRECT("'"&amp;H$62&amp;"'!C2:C1000")=$C12)
        ),
        7,
        FALSE
    )
)</f>
        <v>Sim</v>
      </c>
      <c r="I12" s="60" t="str">
        <f t="array" aca="1" ref="I12" ca="1">IF(
    VLOOKUP(
        $A12,
        _xlfn._xlws.FILTER(
            INDIRECT("'"&amp;I$62&amp;"'!A2:G1000"), (INDIRECT("'"&amp;I$62&amp;"'!B2:B1000")=$B12) * (INDIRECT("'"&amp;I$62&amp;"'!C2:C1000")=$C12)
        ),
        5,
        FALSE
    )="",
    "",
    VLOOKUP(
        $A12,
        _xlfn._xlws.FILTER(
            INDIRECT("'"&amp;I$62&amp;"'!A2:G1000"), (INDIRECT("'"&amp;I$62&amp;"'!B2:B1000")=$B12) * (INDIRECT("'"&amp;I$62&amp;"'!C2:C1000")=$C12)
        ),
        7,
        FALSE
    )
)</f>
        <v>Sim</v>
      </c>
      <c r="J12" s="60" t="str">
        <f t="array" aca="1" ref="J12" ca="1">IF(
    VLOOKUP(
        $A12,
        _xlfn._xlws.FILTER(
            INDIRECT("'"&amp;J$62&amp;"'!A2:G1000"), (INDIRECT("'"&amp;J$62&amp;"'!B2:B1000")=$B12) * (INDIRECT("'"&amp;J$62&amp;"'!C2:C1000")=$C12)
        ),
        5,
        FALSE
    )="",
    "",
    VLOOKUP(
        $A12,
        _xlfn._xlws.FILTER(
            INDIRECT("'"&amp;J$62&amp;"'!A2:G1000"), (INDIRECT("'"&amp;J$62&amp;"'!B2:B1000")=$B12) * (INDIRECT("'"&amp;J$62&amp;"'!C2:C1000")=$C12)
        ),
        7,
        FALSE
    )
)</f>
        <v>Sim</v>
      </c>
      <c r="K12" s="60" t="str">
        <f t="array" aca="1" ref="K12" ca="1">IF(
    VLOOKUP(
        $A12,
        _xlfn._xlws.FILTER(
            INDIRECT("'"&amp;K$62&amp;"'!A2:G1000"), (INDIRECT("'"&amp;K$62&amp;"'!B2:B1000")=$B12) * (INDIRECT("'"&amp;K$62&amp;"'!C2:C1000")=$C12)
        ),
        5,
        FALSE
    )="",
    "",
    VLOOKUP(
        $A12,
        _xlfn._xlws.FILTER(
            INDIRECT("'"&amp;K$62&amp;"'!A2:G1000"), (INDIRECT("'"&amp;K$62&amp;"'!B2:B1000")=$B12) * (INDIRECT("'"&amp;K$62&amp;"'!C2:C1000")=$C12)
        ),
        7,
        FALSE
    )
)</f>
        <v>Sim</v>
      </c>
      <c r="L12" s="60" t="str">
        <f t="array" aca="1" ref="L12" ca="1">IF(
    VLOOKUP(
        $A12,
        _xlfn._xlws.FILTER(
            INDIRECT("'"&amp;L$62&amp;"'!A2:G1000"), (INDIRECT("'"&amp;L$62&amp;"'!B2:B1000")=$B12) * (INDIRECT("'"&amp;L$62&amp;"'!C2:C1000")=$C12)
        ),
        5,
        FALSE
    )="",
    "",
    VLOOKUP(
        $A12,
        _xlfn._xlws.FILTER(
            INDIRECT("'"&amp;L$62&amp;"'!A2:G1000"), (INDIRECT("'"&amp;L$62&amp;"'!B2:B1000")=$B12) * (INDIRECT("'"&amp;L$62&amp;"'!C2:C1000")=$C12)
        ),
        7,
        FALSE
    )
)</f>
        <v>Sim</v>
      </c>
      <c r="M12" s="60" t="str">
        <f t="array" aca="1" ref="M12" ca="1">IF(
    VLOOKUP(
        $A12,
        _xlfn._xlws.FILTER(
            INDIRECT("'"&amp;M$62&amp;"'!A2:G1000"), (INDIRECT("'"&amp;M$62&amp;"'!B2:B1000")=$B12) * (INDIRECT("'"&amp;M$62&amp;"'!C2:C1000")=$C12)
        ),
        5,
        FALSE
    )="",
    "",
    VLOOKUP(
        $A12,
        _xlfn._xlws.FILTER(
            INDIRECT("'"&amp;M$62&amp;"'!A2:G1000"), (INDIRECT("'"&amp;M$62&amp;"'!B2:B1000")=$B12) * (INDIRECT("'"&amp;M$62&amp;"'!C2:C1000")=$C12)
        ),
        7,
        FALSE
    )
)</f>
        <v>Sim</v>
      </c>
      <c r="N12" s="60" t="str">
        <f t="array" aca="1" ref="N12" ca="1">IF(
    VLOOKUP(
        $A12,
        _xlfn._xlws.FILTER(
            INDIRECT("'"&amp;N$62&amp;"'!A2:G1000"), (INDIRECT("'"&amp;N$62&amp;"'!B2:B1000")=$B12) * (INDIRECT("'"&amp;N$62&amp;"'!C2:C1000")=$C12)
        ),
        5,
        FALSE
    )="",
    "",
    VLOOKUP(
        $A12,
        _xlfn._xlws.FILTER(
            INDIRECT("'"&amp;N$62&amp;"'!A2:G1000"), (INDIRECT("'"&amp;N$62&amp;"'!B2:B1000")=$B12) * (INDIRECT("'"&amp;N$62&amp;"'!C2:C1000")=$C12)
        ),
        7,
        FALSE
    )
)</f>
        <v>Sim</v>
      </c>
      <c r="O12" s="60" t="str">
        <f t="array" aca="1" ref="O12" ca="1">IF(
    VLOOKUP(
        $A12,
        _xlfn._xlws.FILTER(
            INDIRECT("'"&amp;O$62&amp;"'!A2:G1000"), (INDIRECT("'"&amp;O$62&amp;"'!B2:B1000")=$B12) * (INDIRECT("'"&amp;O$62&amp;"'!C2:C1000")=$C12)
        ),
        5,
        FALSE
    )="",
    "",
    VLOOKUP(
        $A12,
        _xlfn._xlws.FILTER(
            INDIRECT("'"&amp;O$62&amp;"'!A2:G1000"), (INDIRECT("'"&amp;O$62&amp;"'!B2:B1000")=$B12) * (INDIRECT("'"&amp;O$62&amp;"'!C2:C1000")=$C12)
        ),
        7,
        FALSE
    )
)</f>
        <v/>
      </c>
      <c r="P12" s="60" t="str">
        <f t="array" aca="1" ref="P12" ca="1">IF(
    VLOOKUP(
        $A12,
        _xlfn._xlws.FILTER(
            INDIRECT("'"&amp;P$62&amp;"'!A2:G1000"), (INDIRECT("'"&amp;P$62&amp;"'!B2:B1000")=$B12) * (INDIRECT("'"&amp;P$62&amp;"'!C2:C1000")=$C12)
        ),
        5,
        FALSE
    )="",
    "",
    VLOOKUP(
        $A12,
        _xlfn._xlws.FILTER(
            INDIRECT("'"&amp;P$62&amp;"'!A2:G1000"), (INDIRECT("'"&amp;P$62&amp;"'!B2:B1000")=$B12) * (INDIRECT("'"&amp;P$62&amp;"'!C2:C1000")=$C12)
        ),
        7,
        FALSE
    )
)</f>
        <v/>
      </c>
    </row>
    <row r="13" spans="1:16">
      <c r="A13" s="32" t="s">
        <v>35</v>
      </c>
      <c r="B13" s="60" t="s">
        <v>85</v>
      </c>
      <c r="C13" s="60" t="s">
        <v>75</v>
      </c>
      <c r="D13" s="60" t="str">
        <f t="array" aca="1" ref="D13" ca="1">IF(
    VLOOKUP(
        $A13,
        _xlfn._xlws.FILTER(
            INDIRECT("'"&amp;D$62&amp;"'!A2:G1000"), (INDIRECT("'"&amp;D$62&amp;"'!B2:B1000")=$B13) * (INDIRECT("'"&amp;D$62&amp;"'!C2:C1000")=$C13)
        ),
        5,
        FALSE
    )="",
    "",
    VLOOKUP(
        $A13,
        _xlfn._xlws.FILTER(
            INDIRECT("'"&amp;D$62&amp;"'!A2:G1000"), (INDIRECT("'"&amp;D$62&amp;"'!B2:B1000")=$B13) * (INDIRECT("'"&amp;D$62&amp;"'!C2:C1000")=$C13)
        ),
        7,
        FALSE
    )
)</f>
        <v>Sim</v>
      </c>
      <c r="E13" s="60" t="str">
        <f t="array" aca="1" ref="E13" ca="1">IF(
    VLOOKUP(
        $A13,
        _xlfn._xlws.FILTER(
            INDIRECT("'"&amp;E$62&amp;"'!A2:G1000"), (INDIRECT("'"&amp;E$62&amp;"'!B2:B1000")=$B13) * (INDIRECT("'"&amp;E$62&amp;"'!C2:C1000")=$C13)
        ),
        5,
        FALSE
    )="",
    "",
    VLOOKUP(
        $A13,
        _xlfn._xlws.FILTER(
            INDIRECT("'"&amp;E$62&amp;"'!A2:G1000"), (INDIRECT("'"&amp;E$62&amp;"'!B2:B1000")=$B13) * (INDIRECT("'"&amp;E$62&amp;"'!C2:C1000")=$C13)
        ),
        7,
        FALSE
    )
)</f>
        <v>Sim</v>
      </c>
      <c r="F13" s="60" t="str">
        <f t="array" aca="1" ref="F13" ca="1">IF(
    VLOOKUP(
        $A13,
        _xlfn._xlws.FILTER(
            INDIRECT("'"&amp;F$62&amp;"'!A2:G1000"), (INDIRECT("'"&amp;F$62&amp;"'!B2:B1000")=$B13) * (INDIRECT("'"&amp;F$62&amp;"'!C2:C1000")=$C13)
        ),
        5,
        FALSE
    )="",
    "",
    VLOOKUP(
        $A13,
        _xlfn._xlws.FILTER(
            INDIRECT("'"&amp;F$62&amp;"'!A2:G1000"), (INDIRECT("'"&amp;F$62&amp;"'!B2:B1000")=$B13) * (INDIRECT("'"&amp;F$62&amp;"'!C2:C1000")=$C13)
        ),
        7,
        FALSE
    )
)</f>
        <v>Sim</v>
      </c>
      <c r="G13" s="60" t="str">
        <f t="array" aca="1" ref="G13" ca="1">IF(
    VLOOKUP(
        $A13,
        _xlfn._xlws.FILTER(
            INDIRECT("'"&amp;G$62&amp;"'!A2:G1000"), (INDIRECT("'"&amp;G$62&amp;"'!B2:B1000")=$B13) * (INDIRECT("'"&amp;G$62&amp;"'!C2:C1000")=$C13)
        ),
        5,
        FALSE
    )="",
    "",
    VLOOKUP(
        $A13,
        _xlfn._xlws.FILTER(
            INDIRECT("'"&amp;G$62&amp;"'!A2:G1000"), (INDIRECT("'"&amp;G$62&amp;"'!B2:B1000")=$B13) * (INDIRECT("'"&amp;G$62&amp;"'!C2:C1000")=$C13)
        ),
        7,
        FALSE
    )
)</f>
        <v>Sim</v>
      </c>
      <c r="H13" s="60" t="str">
        <f t="array" aca="1" ref="H13" ca="1">IF(
    VLOOKUP(
        $A13,
        _xlfn._xlws.FILTER(
            INDIRECT("'"&amp;H$62&amp;"'!A2:G1000"), (INDIRECT("'"&amp;H$62&amp;"'!B2:B1000")=$B13) * (INDIRECT("'"&amp;H$62&amp;"'!C2:C1000")=$C13)
        ),
        5,
        FALSE
    )="",
    "",
    VLOOKUP(
        $A13,
        _xlfn._xlws.FILTER(
            INDIRECT("'"&amp;H$62&amp;"'!A2:G1000"), (INDIRECT("'"&amp;H$62&amp;"'!B2:B1000")=$B13) * (INDIRECT("'"&amp;H$62&amp;"'!C2:C1000")=$C13)
        ),
        7,
        FALSE
    )
)</f>
        <v>Sim</v>
      </c>
      <c r="I13" s="60" t="str">
        <f t="array" aca="1" ref="I13" ca="1">IF(
    VLOOKUP(
        $A13,
        _xlfn._xlws.FILTER(
            INDIRECT("'"&amp;I$62&amp;"'!A2:G1000"), (INDIRECT("'"&amp;I$62&amp;"'!B2:B1000")=$B13) * (INDIRECT("'"&amp;I$62&amp;"'!C2:C1000")=$C13)
        ),
        5,
        FALSE
    )="",
    "",
    VLOOKUP(
        $A13,
        _xlfn._xlws.FILTER(
            INDIRECT("'"&amp;I$62&amp;"'!A2:G1000"), (INDIRECT("'"&amp;I$62&amp;"'!B2:B1000")=$B13) * (INDIRECT("'"&amp;I$62&amp;"'!C2:C1000")=$C13)
        ),
        7,
        FALSE
    )
)</f>
        <v>Sim</v>
      </c>
      <c r="J13" s="60" t="str">
        <f t="array" aca="1" ref="J13" ca="1">IF(
    VLOOKUP(
        $A13,
        _xlfn._xlws.FILTER(
            INDIRECT("'"&amp;J$62&amp;"'!A2:G1000"), (INDIRECT("'"&amp;J$62&amp;"'!B2:B1000")=$B13) * (INDIRECT("'"&amp;J$62&amp;"'!C2:C1000")=$C13)
        ),
        5,
        FALSE
    )="",
    "",
    VLOOKUP(
        $A13,
        _xlfn._xlws.FILTER(
            INDIRECT("'"&amp;J$62&amp;"'!A2:G1000"), (INDIRECT("'"&amp;J$62&amp;"'!B2:B1000")=$B13) * (INDIRECT("'"&amp;J$62&amp;"'!C2:C1000")=$C13)
        ),
        7,
        FALSE
    )
)</f>
        <v>Sim</v>
      </c>
      <c r="K13" s="60" t="str">
        <f t="array" aca="1" ref="K13" ca="1">IF(
    VLOOKUP(
        $A13,
        _xlfn._xlws.FILTER(
            INDIRECT("'"&amp;K$62&amp;"'!A2:G1000"), (INDIRECT("'"&amp;K$62&amp;"'!B2:B1000")=$B13) * (INDIRECT("'"&amp;K$62&amp;"'!C2:C1000")=$C13)
        ),
        5,
        FALSE
    )="",
    "",
    VLOOKUP(
        $A13,
        _xlfn._xlws.FILTER(
            INDIRECT("'"&amp;K$62&amp;"'!A2:G1000"), (INDIRECT("'"&amp;K$62&amp;"'!B2:B1000")=$B13) * (INDIRECT("'"&amp;K$62&amp;"'!C2:C1000")=$C13)
        ),
        7,
        FALSE
    )
)</f>
        <v>Sim</v>
      </c>
      <c r="L13" s="60" t="str">
        <f t="array" aca="1" ref="L13" ca="1">IF(
    VLOOKUP(
        $A13,
        _xlfn._xlws.FILTER(
            INDIRECT("'"&amp;L$62&amp;"'!A2:G1000"), (INDIRECT("'"&amp;L$62&amp;"'!B2:B1000")=$B13) * (INDIRECT("'"&amp;L$62&amp;"'!C2:C1000")=$C13)
        ),
        5,
        FALSE
    )="",
    "",
    VLOOKUP(
        $A13,
        _xlfn._xlws.FILTER(
            INDIRECT("'"&amp;L$62&amp;"'!A2:G1000"), (INDIRECT("'"&amp;L$62&amp;"'!B2:B1000")=$B13) * (INDIRECT("'"&amp;L$62&amp;"'!C2:C1000")=$C13)
        ),
        7,
        FALSE
    )
)</f>
        <v>Sim</v>
      </c>
      <c r="M13" s="60" t="str">
        <f t="array" aca="1" ref="M13" ca="1">IF(
    VLOOKUP(
        $A13,
        _xlfn._xlws.FILTER(
            INDIRECT("'"&amp;M$62&amp;"'!A2:G1000"), (INDIRECT("'"&amp;M$62&amp;"'!B2:B1000")=$B13) * (INDIRECT("'"&amp;M$62&amp;"'!C2:C1000")=$C13)
        ),
        5,
        FALSE
    )="",
    "",
    VLOOKUP(
        $A13,
        _xlfn._xlws.FILTER(
            INDIRECT("'"&amp;M$62&amp;"'!A2:G1000"), (INDIRECT("'"&amp;M$62&amp;"'!B2:B1000")=$B13) * (INDIRECT("'"&amp;M$62&amp;"'!C2:C1000")=$C13)
        ),
        7,
        FALSE
    )
)</f>
        <v>Sim</v>
      </c>
      <c r="N13" s="60" t="str">
        <f t="array" aca="1" ref="N13" ca="1">IF(
    VLOOKUP(
        $A13,
        _xlfn._xlws.FILTER(
            INDIRECT("'"&amp;N$62&amp;"'!A2:G1000"), (INDIRECT("'"&amp;N$62&amp;"'!B2:B1000")=$B13) * (INDIRECT("'"&amp;N$62&amp;"'!C2:C1000")=$C13)
        ),
        5,
        FALSE
    )="",
    "",
    VLOOKUP(
        $A13,
        _xlfn._xlws.FILTER(
            INDIRECT("'"&amp;N$62&amp;"'!A2:G1000"), (INDIRECT("'"&amp;N$62&amp;"'!B2:B1000")=$B13) * (INDIRECT("'"&amp;N$62&amp;"'!C2:C1000")=$C13)
        ),
        7,
        FALSE
    )
)</f>
        <v>Sim</v>
      </c>
      <c r="O13" s="60" t="str">
        <f t="array" aca="1" ref="O13" ca="1">IF(
    VLOOKUP(
        $A13,
        _xlfn._xlws.FILTER(
            INDIRECT("'"&amp;O$62&amp;"'!A2:G1000"), (INDIRECT("'"&amp;O$62&amp;"'!B2:B1000")=$B13) * (INDIRECT("'"&amp;O$62&amp;"'!C2:C1000")=$C13)
        ),
        5,
        FALSE
    )="",
    "",
    VLOOKUP(
        $A13,
        _xlfn._xlws.FILTER(
            INDIRECT("'"&amp;O$62&amp;"'!A2:G1000"), (INDIRECT("'"&amp;O$62&amp;"'!B2:B1000")=$B13) * (INDIRECT("'"&amp;O$62&amp;"'!C2:C1000")=$C13)
        ),
        7,
        FALSE
    )
)</f>
        <v/>
      </c>
      <c r="P13" s="60" t="str">
        <f t="array" aca="1" ref="P13" ca="1">IF(
    VLOOKUP(
        $A13,
        _xlfn._xlws.FILTER(
            INDIRECT("'"&amp;P$62&amp;"'!A2:G1000"), (INDIRECT("'"&amp;P$62&amp;"'!B2:B1000")=$B13) * (INDIRECT("'"&amp;P$62&amp;"'!C2:C1000")=$C13)
        ),
        5,
        FALSE
    )="",
    "",
    VLOOKUP(
        $A13,
        _xlfn._xlws.FILTER(
            INDIRECT("'"&amp;P$62&amp;"'!A2:G1000"), (INDIRECT("'"&amp;P$62&amp;"'!B2:B1000")=$B13) * (INDIRECT("'"&amp;P$62&amp;"'!C2:C1000")=$C13)
        ),
        7,
        FALSE
    )
)</f>
        <v/>
      </c>
    </row>
    <row r="14" spans="1:16">
      <c r="A14" s="32" t="s">
        <v>35</v>
      </c>
      <c r="B14" s="60" t="s">
        <v>86</v>
      </c>
      <c r="C14" s="60" t="s">
        <v>75</v>
      </c>
      <c r="D14" s="60" t="str">
        <f t="array" aca="1" ref="D14" ca="1">IF(
    VLOOKUP(
        $A14,
        _xlfn._xlws.FILTER(
            INDIRECT("'"&amp;D$62&amp;"'!A2:G1000"), (INDIRECT("'"&amp;D$62&amp;"'!B2:B1000")=$B14) * (INDIRECT("'"&amp;D$62&amp;"'!C2:C1000")=$C14)
        ),
        5,
        FALSE
    )="",
    "",
    VLOOKUP(
        $A14,
        _xlfn._xlws.FILTER(
            INDIRECT("'"&amp;D$62&amp;"'!A2:G1000"), (INDIRECT("'"&amp;D$62&amp;"'!B2:B1000")=$B14) * (INDIRECT("'"&amp;D$62&amp;"'!C2:C1000")=$C14)
        ),
        7,
        FALSE
    )
)</f>
        <v>Sim</v>
      </c>
      <c r="E14" s="60" t="str">
        <f t="array" aca="1" ref="E14" ca="1">IF(
    VLOOKUP(
        $A14,
        _xlfn._xlws.FILTER(
            INDIRECT("'"&amp;E$62&amp;"'!A2:G1000"), (INDIRECT("'"&amp;E$62&amp;"'!B2:B1000")=$B14) * (INDIRECT("'"&amp;E$62&amp;"'!C2:C1000")=$C14)
        ),
        5,
        FALSE
    )="",
    "",
    VLOOKUP(
        $A14,
        _xlfn._xlws.FILTER(
            INDIRECT("'"&amp;E$62&amp;"'!A2:G1000"), (INDIRECT("'"&amp;E$62&amp;"'!B2:B1000")=$B14) * (INDIRECT("'"&amp;E$62&amp;"'!C2:C1000")=$C14)
        ),
        7,
        FALSE
    )
)</f>
        <v>Sim</v>
      </c>
      <c r="F14" s="60" t="str">
        <f t="array" aca="1" ref="F14" ca="1">IF(
    VLOOKUP(
        $A14,
        _xlfn._xlws.FILTER(
            INDIRECT("'"&amp;F$62&amp;"'!A2:G1000"), (INDIRECT("'"&amp;F$62&amp;"'!B2:B1000")=$B14) * (INDIRECT("'"&amp;F$62&amp;"'!C2:C1000")=$C14)
        ),
        5,
        FALSE
    )="",
    "",
    VLOOKUP(
        $A14,
        _xlfn._xlws.FILTER(
            INDIRECT("'"&amp;F$62&amp;"'!A2:G1000"), (INDIRECT("'"&amp;F$62&amp;"'!B2:B1000")=$B14) * (INDIRECT("'"&amp;F$62&amp;"'!C2:C1000")=$C14)
        ),
        7,
        FALSE
    )
)</f>
        <v>Sim</v>
      </c>
      <c r="G14" s="60" t="str">
        <f t="array" aca="1" ref="G14" ca="1">IF(
    VLOOKUP(
        $A14,
        _xlfn._xlws.FILTER(
            INDIRECT("'"&amp;G$62&amp;"'!A2:G1000"), (INDIRECT("'"&amp;G$62&amp;"'!B2:B1000")=$B14) * (INDIRECT("'"&amp;G$62&amp;"'!C2:C1000")=$C14)
        ),
        5,
        FALSE
    )="",
    "",
    VLOOKUP(
        $A14,
        _xlfn._xlws.FILTER(
            INDIRECT("'"&amp;G$62&amp;"'!A2:G1000"), (INDIRECT("'"&amp;G$62&amp;"'!B2:B1000")=$B14) * (INDIRECT("'"&amp;G$62&amp;"'!C2:C1000")=$C14)
        ),
        7,
        FALSE
    )
)</f>
        <v>Sim</v>
      </c>
      <c r="H14" s="60" t="str">
        <f t="array" aca="1" ref="H14" ca="1">IF(
    VLOOKUP(
        $A14,
        _xlfn._xlws.FILTER(
            INDIRECT("'"&amp;H$62&amp;"'!A2:G1000"), (INDIRECT("'"&amp;H$62&amp;"'!B2:B1000")=$B14) * (INDIRECT("'"&amp;H$62&amp;"'!C2:C1000")=$C14)
        ),
        5,
        FALSE
    )="",
    "",
    VLOOKUP(
        $A14,
        _xlfn._xlws.FILTER(
            INDIRECT("'"&amp;H$62&amp;"'!A2:G1000"), (INDIRECT("'"&amp;H$62&amp;"'!B2:B1000")=$B14) * (INDIRECT("'"&amp;H$62&amp;"'!C2:C1000")=$C14)
        ),
        7,
        FALSE
    )
)</f>
        <v>Sim</v>
      </c>
      <c r="I14" s="60" t="str">
        <f t="array" aca="1" ref="I14" ca="1">IF(
    VLOOKUP(
        $A14,
        _xlfn._xlws.FILTER(
            INDIRECT("'"&amp;I$62&amp;"'!A2:G1000"), (INDIRECT("'"&amp;I$62&amp;"'!B2:B1000")=$B14) * (INDIRECT("'"&amp;I$62&amp;"'!C2:C1000")=$C14)
        ),
        5,
        FALSE
    )="",
    "",
    VLOOKUP(
        $A14,
        _xlfn._xlws.FILTER(
            INDIRECT("'"&amp;I$62&amp;"'!A2:G1000"), (INDIRECT("'"&amp;I$62&amp;"'!B2:B1000")=$B14) * (INDIRECT("'"&amp;I$62&amp;"'!C2:C1000")=$C14)
        ),
        7,
        FALSE
    )
)</f>
        <v>Sim</v>
      </c>
      <c r="J14" s="60" t="str">
        <f t="array" aca="1" ref="J14" ca="1">IF(
    VLOOKUP(
        $A14,
        _xlfn._xlws.FILTER(
            INDIRECT("'"&amp;J$62&amp;"'!A2:G1000"), (INDIRECT("'"&amp;J$62&amp;"'!B2:B1000")=$B14) * (INDIRECT("'"&amp;J$62&amp;"'!C2:C1000")=$C14)
        ),
        5,
        FALSE
    )="",
    "",
    VLOOKUP(
        $A14,
        _xlfn._xlws.FILTER(
            INDIRECT("'"&amp;J$62&amp;"'!A2:G1000"), (INDIRECT("'"&amp;J$62&amp;"'!B2:B1000")=$B14) * (INDIRECT("'"&amp;J$62&amp;"'!C2:C1000")=$C14)
        ),
        7,
        FALSE
    )
)</f>
        <v>Sim</v>
      </c>
      <c r="K14" s="60" t="str">
        <f t="array" aca="1" ref="K14" ca="1">IF(
    VLOOKUP(
        $A14,
        _xlfn._xlws.FILTER(
            INDIRECT("'"&amp;K$62&amp;"'!A2:G1000"), (INDIRECT("'"&amp;K$62&amp;"'!B2:B1000")=$B14) * (INDIRECT("'"&amp;K$62&amp;"'!C2:C1000")=$C14)
        ),
        5,
        FALSE
    )="",
    "",
    VLOOKUP(
        $A14,
        _xlfn._xlws.FILTER(
            INDIRECT("'"&amp;K$62&amp;"'!A2:G1000"), (INDIRECT("'"&amp;K$62&amp;"'!B2:B1000")=$B14) * (INDIRECT("'"&amp;K$62&amp;"'!C2:C1000")=$C14)
        ),
        7,
        FALSE
    )
)</f>
        <v>Sim</v>
      </c>
      <c r="L14" s="60" t="str">
        <f t="array" aca="1" ref="L14" ca="1">IF(
    VLOOKUP(
        $A14,
        _xlfn._xlws.FILTER(
            INDIRECT("'"&amp;L$62&amp;"'!A2:G1000"), (INDIRECT("'"&amp;L$62&amp;"'!B2:B1000")=$B14) * (INDIRECT("'"&amp;L$62&amp;"'!C2:C1000")=$C14)
        ),
        5,
        FALSE
    )="",
    "",
    VLOOKUP(
        $A14,
        _xlfn._xlws.FILTER(
            INDIRECT("'"&amp;L$62&amp;"'!A2:G1000"), (INDIRECT("'"&amp;L$62&amp;"'!B2:B1000")=$B14) * (INDIRECT("'"&amp;L$62&amp;"'!C2:C1000")=$C14)
        ),
        7,
        FALSE
    )
)</f>
        <v>Sim</v>
      </c>
      <c r="M14" s="60" t="str">
        <f t="array" aca="1" ref="M14" ca="1">IF(
    VLOOKUP(
        $A14,
        _xlfn._xlws.FILTER(
            INDIRECT("'"&amp;M$62&amp;"'!A2:G1000"), (INDIRECT("'"&amp;M$62&amp;"'!B2:B1000")=$B14) * (INDIRECT("'"&amp;M$62&amp;"'!C2:C1000")=$C14)
        ),
        5,
        FALSE
    )="",
    "",
    VLOOKUP(
        $A14,
        _xlfn._xlws.FILTER(
            INDIRECT("'"&amp;M$62&amp;"'!A2:G1000"), (INDIRECT("'"&amp;M$62&amp;"'!B2:B1000")=$B14) * (INDIRECT("'"&amp;M$62&amp;"'!C2:C1000")=$C14)
        ),
        7,
        FALSE
    )
)</f>
        <v>Sim</v>
      </c>
      <c r="N14" s="60" t="str">
        <f t="array" aca="1" ref="N14" ca="1">IF(
    VLOOKUP(
        $A14,
        _xlfn._xlws.FILTER(
            INDIRECT("'"&amp;N$62&amp;"'!A2:G1000"), (INDIRECT("'"&amp;N$62&amp;"'!B2:B1000")=$B14) * (INDIRECT("'"&amp;N$62&amp;"'!C2:C1000")=$C14)
        ),
        5,
        FALSE
    )="",
    "",
    VLOOKUP(
        $A14,
        _xlfn._xlws.FILTER(
            INDIRECT("'"&amp;N$62&amp;"'!A2:G1000"), (INDIRECT("'"&amp;N$62&amp;"'!B2:B1000")=$B14) * (INDIRECT("'"&amp;N$62&amp;"'!C2:C1000")=$C14)
        ),
        7,
        FALSE
    )
)</f>
        <v>Sim</v>
      </c>
      <c r="O14" s="60" t="str">
        <f t="array" aca="1" ref="O14" ca="1">IF(
    VLOOKUP(
        $A14,
        _xlfn._xlws.FILTER(
            INDIRECT("'"&amp;O$62&amp;"'!A2:G1000"), (INDIRECT("'"&amp;O$62&amp;"'!B2:B1000")=$B14) * (INDIRECT("'"&amp;O$62&amp;"'!C2:C1000")=$C14)
        ),
        5,
        FALSE
    )="",
    "",
    VLOOKUP(
        $A14,
        _xlfn._xlws.FILTER(
            INDIRECT("'"&amp;O$62&amp;"'!A2:G1000"), (INDIRECT("'"&amp;O$62&amp;"'!B2:B1000")=$B14) * (INDIRECT("'"&amp;O$62&amp;"'!C2:C1000")=$C14)
        ),
        7,
        FALSE
    )
)</f>
        <v/>
      </c>
      <c r="P14" s="60" t="str">
        <f t="array" aca="1" ref="P14" ca="1">IF(
    VLOOKUP(
        $A14,
        _xlfn._xlws.FILTER(
            INDIRECT("'"&amp;P$62&amp;"'!A2:G1000"), (INDIRECT("'"&amp;P$62&amp;"'!B2:B1000")=$B14) * (INDIRECT("'"&amp;P$62&amp;"'!C2:C1000")=$C14)
        ),
        5,
        FALSE
    )="",
    "",
    VLOOKUP(
        $A14,
        _xlfn._xlws.FILTER(
            INDIRECT("'"&amp;P$62&amp;"'!A2:G1000"), (INDIRECT("'"&amp;P$62&amp;"'!B2:B1000")=$B14) * (INDIRECT("'"&amp;P$62&amp;"'!C2:C1000")=$C14)
        ),
        7,
        FALSE
    )
)</f>
        <v/>
      </c>
    </row>
    <row r="16" spans="1:16" ht="15.75" customHeight="1">
      <c r="A16" s="76" t="s">
        <v>87</v>
      </c>
      <c r="B16" s="21" t="s">
        <v>72</v>
      </c>
      <c r="C16" s="21" t="s">
        <v>73</v>
      </c>
      <c r="D16" s="74" t="s">
        <v>1</v>
      </c>
      <c r="E16" s="74" t="s">
        <v>2</v>
      </c>
      <c r="F16" s="74" t="s">
        <v>3</v>
      </c>
      <c r="G16" s="74" t="s">
        <v>4</v>
      </c>
      <c r="H16" s="74" t="s">
        <v>5</v>
      </c>
      <c r="I16" s="74" t="s">
        <v>6</v>
      </c>
      <c r="J16" s="74" t="s">
        <v>7</v>
      </c>
      <c r="K16" s="74" t="s">
        <v>8</v>
      </c>
      <c r="L16" s="74" t="s">
        <v>9</v>
      </c>
      <c r="M16" s="74" t="s">
        <v>9</v>
      </c>
      <c r="N16" s="74" t="s">
        <v>10</v>
      </c>
      <c r="O16" s="74" t="s">
        <v>11</v>
      </c>
      <c r="P16" s="74" t="s">
        <v>12</v>
      </c>
    </row>
    <row r="17" spans="1:16">
      <c r="A17" s="29" t="s">
        <v>37</v>
      </c>
      <c r="B17" s="60" t="s">
        <v>88</v>
      </c>
      <c r="C17" s="60" t="s">
        <v>75</v>
      </c>
      <c r="D17" s="60" t="str">
        <f t="array" aca="1" ref="D17" ca="1">IF(
    VLOOKUP(
        $A17,
        _xlfn._xlws.FILTER(
            INDIRECT("'"&amp;D$62&amp;"'!A2:G1000"), (INDIRECT("'"&amp;D$62&amp;"'!B2:B1000")=$B17) * (INDIRECT("'"&amp;D$62&amp;"'!C2:C1000")=$C17)
        ),
        5,
        FALSE
    )="",
    "",
    VLOOKUP(
        $A17,
        _xlfn._xlws.FILTER(
            INDIRECT("'"&amp;D$62&amp;"'!A2:G1000"), (INDIRECT("'"&amp;D$62&amp;"'!B2:B1000")=$B17) * (INDIRECT("'"&amp;D$62&amp;"'!C2:C1000")=$C17)
        ),
        7,
        FALSE
    )
)</f>
        <v>Sim</v>
      </c>
      <c r="E17" s="60" t="str">
        <f t="array" aca="1" ref="E17" ca="1">IF(
    VLOOKUP(
        $A17,
        _xlfn._xlws.FILTER(
            INDIRECT("'"&amp;E$62&amp;"'!A2:G1000"), (INDIRECT("'"&amp;E$62&amp;"'!B2:B1000")=$B17) * (INDIRECT("'"&amp;E$62&amp;"'!C2:C1000")=$C17)
        ),
        5,
        FALSE
    )="",
    "",
    VLOOKUP(
        $A17,
        _xlfn._xlws.FILTER(
            INDIRECT("'"&amp;E$62&amp;"'!A2:G1000"), (INDIRECT("'"&amp;E$62&amp;"'!B2:B1000")=$B17) * (INDIRECT("'"&amp;E$62&amp;"'!C2:C1000")=$C17)
        ),
        7,
        FALSE
    )
)</f>
        <v>Sim</v>
      </c>
      <c r="F17" s="60" t="str">
        <f t="array" aca="1" ref="F17" ca="1">IF(
    VLOOKUP(
        $A17,
        _xlfn._xlws.FILTER(
            INDIRECT("'"&amp;F$62&amp;"'!A2:G1000"), (INDIRECT("'"&amp;F$62&amp;"'!B2:B1000")=$B17) * (INDIRECT("'"&amp;F$62&amp;"'!C2:C1000")=$C17)
        ),
        5,
        FALSE
    )="",
    "",
    VLOOKUP(
        $A17,
        _xlfn._xlws.FILTER(
            INDIRECT("'"&amp;F$62&amp;"'!A2:G1000"), (INDIRECT("'"&amp;F$62&amp;"'!B2:B1000")=$B17) * (INDIRECT("'"&amp;F$62&amp;"'!C2:C1000")=$C17)
        ),
        7,
        FALSE
    )
)</f>
        <v>Sim</v>
      </c>
      <c r="G17" s="60" t="str">
        <f t="array" aca="1" ref="G17" ca="1">IF(
    VLOOKUP(
        $A17,
        _xlfn._xlws.FILTER(
            INDIRECT("'"&amp;G$62&amp;"'!A2:G1000"), (INDIRECT("'"&amp;G$62&amp;"'!B2:B1000")=$B17) * (INDIRECT("'"&amp;G$62&amp;"'!C2:C1000")=$C17)
        ),
        5,
        FALSE
    )="",
    "",
    VLOOKUP(
        $A17,
        _xlfn._xlws.FILTER(
            INDIRECT("'"&amp;G$62&amp;"'!A2:G1000"), (INDIRECT("'"&amp;G$62&amp;"'!B2:B1000")=$B17) * (INDIRECT("'"&amp;G$62&amp;"'!C2:C1000")=$C17)
        ),
        7,
        FALSE
    )
)</f>
        <v>Sim</v>
      </c>
      <c r="H17" s="60" t="str">
        <f t="array" aca="1" ref="H17" ca="1">IF(
    VLOOKUP(
        $A17,
        _xlfn._xlws.FILTER(
            INDIRECT("'"&amp;H$62&amp;"'!A2:G1000"), (INDIRECT("'"&amp;H$62&amp;"'!B2:B1000")=$B17) * (INDIRECT("'"&amp;H$62&amp;"'!C2:C1000")=$C17)
        ),
        5,
        FALSE
    )="",
    "",
    VLOOKUP(
        $A17,
        _xlfn._xlws.FILTER(
            INDIRECT("'"&amp;H$62&amp;"'!A2:G1000"), (INDIRECT("'"&amp;H$62&amp;"'!B2:B1000")=$B17) * (INDIRECT("'"&amp;H$62&amp;"'!C2:C1000")=$C17)
        ),
        7,
        FALSE
    )
)</f>
        <v>Sim</v>
      </c>
      <c r="I17" s="60" t="str">
        <f t="array" aca="1" ref="I17" ca="1">IF(
    VLOOKUP(
        $A17,
        _xlfn._xlws.FILTER(
            INDIRECT("'"&amp;I$62&amp;"'!A2:G1000"), (INDIRECT("'"&amp;I$62&amp;"'!B2:B1000")=$B17) * (INDIRECT("'"&amp;I$62&amp;"'!C2:C1000")=$C17)
        ),
        5,
        FALSE
    )="",
    "",
    VLOOKUP(
        $A17,
        _xlfn._xlws.FILTER(
            INDIRECT("'"&amp;I$62&amp;"'!A2:G1000"), (INDIRECT("'"&amp;I$62&amp;"'!B2:B1000")=$B17) * (INDIRECT("'"&amp;I$62&amp;"'!C2:C1000")=$C17)
        ),
        7,
        FALSE
    )
)</f>
        <v>Sim</v>
      </c>
      <c r="J17" s="60" t="str">
        <f t="array" aca="1" ref="J17" ca="1">IF(
    VLOOKUP(
        $A17,
        _xlfn._xlws.FILTER(
            INDIRECT("'"&amp;J$62&amp;"'!A2:G1000"), (INDIRECT("'"&amp;J$62&amp;"'!B2:B1000")=$B17) * (INDIRECT("'"&amp;J$62&amp;"'!C2:C1000")=$C17)
        ),
        5,
        FALSE
    )="",
    "",
    VLOOKUP(
        $A17,
        _xlfn._xlws.FILTER(
            INDIRECT("'"&amp;J$62&amp;"'!A2:G1000"), (INDIRECT("'"&amp;J$62&amp;"'!B2:B1000")=$B17) * (INDIRECT("'"&amp;J$62&amp;"'!C2:C1000")=$C17)
        ),
        7,
        FALSE
    )
)</f>
        <v>Sim</v>
      </c>
      <c r="K17" s="60" t="str">
        <f t="array" aca="1" ref="K17" ca="1">IF(
    VLOOKUP(
        $A17,
        _xlfn._xlws.FILTER(
            INDIRECT("'"&amp;K$62&amp;"'!A2:G1000"), (INDIRECT("'"&amp;K$62&amp;"'!B2:B1000")=$B17) * (INDIRECT("'"&amp;K$62&amp;"'!C2:C1000")=$C17)
        ),
        5,
        FALSE
    )="",
    "",
    VLOOKUP(
        $A17,
        _xlfn._xlws.FILTER(
            INDIRECT("'"&amp;K$62&amp;"'!A2:G1000"), (INDIRECT("'"&amp;K$62&amp;"'!B2:B1000")=$B17) * (INDIRECT("'"&amp;K$62&amp;"'!C2:C1000")=$C17)
        ),
        7,
        FALSE
    )
)</f>
        <v>Sim</v>
      </c>
      <c r="L17" s="60" t="str">
        <f t="array" aca="1" ref="L17" ca="1">IF(
    VLOOKUP(
        $A17,
        _xlfn._xlws.FILTER(
            INDIRECT("'"&amp;L$62&amp;"'!A2:G1000"), (INDIRECT("'"&amp;L$62&amp;"'!B2:B1000")=$B17) * (INDIRECT("'"&amp;L$62&amp;"'!C2:C1000")=$C17)
        ),
        5,
        FALSE
    )="",
    "",
    VLOOKUP(
        $A17,
        _xlfn._xlws.FILTER(
            INDIRECT("'"&amp;L$62&amp;"'!A2:G1000"), (INDIRECT("'"&amp;L$62&amp;"'!B2:B1000")=$B17) * (INDIRECT("'"&amp;L$62&amp;"'!C2:C1000")=$C17)
        ),
        7,
        FALSE
    )
)</f>
        <v>Sim</v>
      </c>
      <c r="M17" s="60" t="str">
        <f t="array" aca="1" ref="M17" ca="1">IF(
    VLOOKUP(
        $A17,
        _xlfn._xlws.FILTER(
            INDIRECT("'"&amp;M$62&amp;"'!A2:G1000"), (INDIRECT("'"&amp;M$62&amp;"'!B2:B1000")=$B17) * (INDIRECT("'"&amp;M$62&amp;"'!C2:C1000")=$C17)
        ),
        5,
        FALSE
    )="",
    "",
    VLOOKUP(
        $A17,
        _xlfn._xlws.FILTER(
            INDIRECT("'"&amp;M$62&amp;"'!A2:G1000"), (INDIRECT("'"&amp;M$62&amp;"'!B2:B1000")=$B17) * (INDIRECT("'"&amp;M$62&amp;"'!C2:C1000")=$C17)
        ),
        7,
        FALSE
    )
)</f>
        <v>Sim</v>
      </c>
      <c r="N17" s="60" t="str">
        <f t="array" aca="1" ref="N17" ca="1">IF(
    VLOOKUP(
        $A17,
        _xlfn._xlws.FILTER(
            INDIRECT("'"&amp;N$62&amp;"'!A2:G1000"), (INDIRECT("'"&amp;N$62&amp;"'!B2:B1000")=$B17) * (INDIRECT("'"&amp;N$62&amp;"'!C2:C1000")=$C17)
        ),
        5,
        FALSE
    )="",
    "",
    VLOOKUP(
        $A17,
        _xlfn._xlws.FILTER(
            INDIRECT("'"&amp;N$62&amp;"'!A2:G1000"), (INDIRECT("'"&amp;N$62&amp;"'!B2:B1000")=$B17) * (INDIRECT("'"&amp;N$62&amp;"'!C2:C1000")=$C17)
        ),
        7,
        FALSE
    )
)</f>
        <v>Sim</v>
      </c>
      <c r="O17" s="60" t="str">
        <f t="array" aca="1" ref="O17" ca="1">IF(
    VLOOKUP(
        $A17,
        _xlfn._xlws.FILTER(
            INDIRECT("'"&amp;O$62&amp;"'!A2:G1000"), (INDIRECT("'"&amp;O$62&amp;"'!B2:B1000")=$B17) * (INDIRECT("'"&amp;O$62&amp;"'!C2:C1000")=$C17)
        ),
        5,
        FALSE
    )="",
    "",
    VLOOKUP(
        $A17,
        _xlfn._xlws.FILTER(
            INDIRECT("'"&amp;O$62&amp;"'!A2:G1000"), (INDIRECT("'"&amp;O$62&amp;"'!B2:B1000")=$B17) * (INDIRECT("'"&amp;O$62&amp;"'!C2:C1000")=$C17)
        ),
        7,
        FALSE
    )
)</f>
        <v/>
      </c>
      <c r="P17" s="60" t="str">
        <f t="array" aca="1" ref="P17" ca="1">IF(
    VLOOKUP(
        $A17,
        _xlfn._xlws.FILTER(
            INDIRECT("'"&amp;P$62&amp;"'!A2:G1000"), (INDIRECT("'"&amp;P$62&amp;"'!B2:B1000")=$B17) * (INDIRECT("'"&amp;P$62&amp;"'!C2:C1000")=$C17)
        ),
        5,
        FALSE
    )="",
    "",
    VLOOKUP(
        $A17,
        _xlfn._xlws.FILTER(
            INDIRECT("'"&amp;P$62&amp;"'!A2:G1000"), (INDIRECT("'"&amp;P$62&amp;"'!B2:B1000")=$B17) * (INDIRECT("'"&amp;P$62&amp;"'!C2:C1000")=$C17)
        ),
        7,
        FALSE
    )
)</f>
        <v/>
      </c>
    </row>
    <row r="18" spans="1:16">
      <c r="A18" s="29" t="s">
        <v>37</v>
      </c>
      <c r="B18" s="60" t="s">
        <v>89</v>
      </c>
      <c r="C18" s="60" t="s">
        <v>75</v>
      </c>
      <c r="D18" s="60" t="str">
        <f t="array" aca="1" ref="D18" ca="1">IF(
    VLOOKUP(
        $A18,
        _xlfn._xlws.FILTER(
            INDIRECT("'"&amp;D$62&amp;"'!A2:G1000"), (INDIRECT("'"&amp;D$62&amp;"'!B2:B1000")=$B18) * (INDIRECT("'"&amp;D$62&amp;"'!C2:C1000")=$C18)
        ),
        5,
        FALSE
    )="",
    "",
    VLOOKUP(
        $A18,
        _xlfn._xlws.FILTER(
            INDIRECT("'"&amp;D$62&amp;"'!A2:G1000"), (INDIRECT("'"&amp;D$62&amp;"'!B2:B1000")=$B18) * (INDIRECT("'"&amp;D$62&amp;"'!C2:C1000")=$C18)
        ),
        7,
        FALSE
    )
)</f>
        <v>Sim</v>
      </c>
      <c r="E18" s="60" t="str">
        <f t="array" aca="1" ref="E18" ca="1">IF(
    VLOOKUP(
        $A18,
        _xlfn._xlws.FILTER(
            INDIRECT("'"&amp;E$62&amp;"'!A2:G1000"), (INDIRECT("'"&amp;E$62&amp;"'!B2:B1000")=$B18) * (INDIRECT("'"&amp;E$62&amp;"'!C2:C1000")=$C18)
        ),
        5,
        FALSE
    )="",
    "",
    VLOOKUP(
        $A18,
        _xlfn._xlws.FILTER(
            INDIRECT("'"&amp;E$62&amp;"'!A2:G1000"), (INDIRECT("'"&amp;E$62&amp;"'!B2:B1000")=$B18) * (INDIRECT("'"&amp;E$62&amp;"'!C2:C1000")=$C18)
        ),
        7,
        FALSE
    )
)</f>
        <v>Sim</v>
      </c>
      <c r="F18" s="60" t="str">
        <f t="array" aca="1" ref="F18" ca="1">IF(
    VLOOKUP(
        $A18,
        _xlfn._xlws.FILTER(
            INDIRECT("'"&amp;F$62&amp;"'!A2:G1000"), (INDIRECT("'"&amp;F$62&amp;"'!B2:B1000")=$B18) * (INDIRECT("'"&amp;F$62&amp;"'!C2:C1000")=$C18)
        ),
        5,
        FALSE
    )="",
    "",
    VLOOKUP(
        $A18,
        _xlfn._xlws.FILTER(
            INDIRECT("'"&amp;F$62&amp;"'!A2:G1000"), (INDIRECT("'"&amp;F$62&amp;"'!B2:B1000")=$B18) * (INDIRECT("'"&amp;F$62&amp;"'!C2:C1000")=$C18)
        ),
        7,
        FALSE
    )
)</f>
        <v>Sim</v>
      </c>
      <c r="G18" s="60" t="str">
        <f t="array" aca="1" ref="G18" ca="1">IF(
    VLOOKUP(
        $A18,
        _xlfn._xlws.FILTER(
            INDIRECT("'"&amp;G$62&amp;"'!A2:G1000"), (INDIRECT("'"&amp;G$62&amp;"'!B2:B1000")=$B18) * (INDIRECT("'"&amp;G$62&amp;"'!C2:C1000")=$C18)
        ),
        5,
        FALSE
    )="",
    "",
    VLOOKUP(
        $A18,
        _xlfn._xlws.FILTER(
            INDIRECT("'"&amp;G$62&amp;"'!A2:G1000"), (INDIRECT("'"&amp;G$62&amp;"'!B2:B1000")=$B18) * (INDIRECT("'"&amp;G$62&amp;"'!C2:C1000")=$C18)
        ),
        7,
        FALSE
    )
)</f>
        <v>Sim</v>
      </c>
      <c r="H18" s="60" t="str">
        <f t="array" aca="1" ref="H18" ca="1">IF(
    VLOOKUP(
        $A18,
        _xlfn._xlws.FILTER(
            INDIRECT("'"&amp;H$62&amp;"'!A2:G1000"), (INDIRECT("'"&amp;H$62&amp;"'!B2:B1000")=$B18) * (INDIRECT("'"&amp;H$62&amp;"'!C2:C1000")=$C18)
        ),
        5,
        FALSE
    )="",
    "",
    VLOOKUP(
        $A18,
        _xlfn._xlws.FILTER(
            INDIRECT("'"&amp;H$62&amp;"'!A2:G1000"), (INDIRECT("'"&amp;H$62&amp;"'!B2:B1000")=$B18) * (INDIRECT("'"&amp;H$62&amp;"'!C2:C1000")=$C18)
        ),
        7,
        FALSE
    )
)</f>
        <v>Sim</v>
      </c>
      <c r="I18" s="60" t="str">
        <f t="array" aca="1" ref="I18" ca="1">IF(
    VLOOKUP(
        $A18,
        _xlfn._xlws.FILTER(
            INDIRECT("'"&amp;I$62&amp;"'!A2:G1000"), (INDIRECT("'"&amp;I$62&amp;"'!B2:B1000")=$B18) * (INDIRECT("'"&amp;I$62&amp;"'!C2:C1000")=$C18)
        ),
        5,
        FALSE
    )="",
    "",
    VLOOKUP(
        $A18,
        _xlfn._xlws.FILTER(
            INDIRECT("'"&amp;I$62&amp;"'!A2:G1000"), (INDIRECT("'"&amp;I$62&amp;"'!B2:B1000")=$B18) * (INDIRECT("'"&amp;I$62&amp;"'!C2:C1000")=$C18)
        ),
        7,
        FALSE
    )
)</f>
        <v>Sim</v>
      </c>
      <c r="J18" s="60" t="str">
        <f t="array" aca="1" ref="J18" ca="1">IF(
    VLOOKUP(
        $A18,
        _xlfn._xlws.FILTER(
            INDIRECT("'"&amp;J$62&amp;"'!A2:G1000"), (INDIRECT("'"&amp;J$62&amp;"'!B2:B1000")=$B18) * (INDIRECT("'"&amp;J$62&amp;"'!C2:C1000")=$C18)
        ),
        5,
        FALSE
    )="",
    "",
    VLOOKUP(
        $A18,
        _xlfn._xlws.FILTER(
            INDIRECT("'"&amp;J$62&amp;"'!A2:G1000"), (INDIRECT("'"&amp;J$62&amp;"'!B2:B1000")=$B18) * (INDIRECT("'"&amp;J$62&amp;"'!C2:C1000")=$C18)
        ),
        7,
        FALSE
    )
)</f>
        <v>Sim</v>
      </c>
      <c r="K18" s="60" t="str">
        <f t="array" aca="1" ref="K18" ca="1">IF(
    VLOOKUP(
        $A18,
        _xlfn._xlws.FILTER(
            INDIRECT("'"&amp;K$62&amp;"'!A2:G1000"), (INDIRECT("'"&amp;K$62&amp;"'!B2:B1000")=$B18) * (INDIRECT("'"&amp;K$62&amp;"'!C2:C1000")=$C18)
        ),
        5,
        FALSE
    )="",
    "",
    VLOOKUP(
        $A18,
        _xlfn._xlws.FILTER(
            INDIRECT("'"&amp;K$62&amp;"'!A2:G1000"), (INDIRECT("'"&amp;K$62&amp;"'!B2:B1000")=$B18) * (INDIRECT("'"&amp;K$62&amp;"'!C2:C1000")=$C18)
        ),
        7,
        FALSE
    )
)</f>
        <v>Sim</v>
      </c>
      <c r="L18" s="60" t="str">
        <f t="array" aca="1" ref="L18" ca="1">IF(
    VLOOKUP(
        $A18,
        _xlfn._xlws.FILTER(
            INDIRECT("'"&amp;L$62&amp;"'!A2:G1000"), (INDIRECT("'"&amp;L$62&amp;"'!B2:B1000")=$B18) * (INDIRECT("'"&amp;L$62&amp;"'!C2:C1000")=$C18)
        ),
        5,
        FALSE
    )="",
    "",
    VLOOKUP(
        $A18,
        _xlfn._xlws.FILTER(
            INDIRECT("'"&amp;L$62&amp;"'!A2:G1000"), (INDIRECT("'"&amp;L$62&amp;"'!B2:B1000")=$B18) * (INDIRECT("'"&amp;L$62&amp;"'!C2:C1000")=$C18)
        ),
        7,
        FALSE
    )
)</f>
        <v>Sim</v>
      </c>
      <c r="M18" s="60" t="str">
        <f t="array" aca="1" ref="M18" ca="1">IF(
    VLOOKUP(
        $A18,
        _xlfn._xlws.FILTER(
            INDIRECT("'"&amp;M$62&amp;"'!A2:G1000"), (INDIRECT("'"&amp;M$62&amp;"'!B2:B1000")=$B18) * (INDIRECT("'"&amp;M$62&amp;"'!C2:C1000")=$C18)
        ),
        5,
        FALSE
    )="",
    "",
    VLOOKUP(
        $A18,
        _xlfn._xlws.FILTER(
            INDIRECT("'"&amp;M$62&amp;"'!A2:G1000"), (INDIRECT("'"&amp;M$62&amp;"'!B2:B1000")=$B18) * (INDIRECT("'"&amp;M$62&amp;"'!C2:C1000")=$C18)
        ),
        7,
        FALSE
    )
)</f>
        <v>Sim</v>
      </c>
      <c r="N18" s="60" t="str">
        <f t="array" aca="1" ref="N18" ca="1">IF(
    VLOOKUP(
        $A18,
        _xlfn._xlws.FILTER(
            INDIRECT("'"&amp;N$62&amp;"'!A2:G1000"), (INDIRECT("'"&amp;N$62&amp;"'!B2:B1000")=$B18) * (INDIRECT("'"&amp;N$62&amp;"'!C2:C1000")=$C18)
        ),
        5,
        FALSE
    )="",
    "",
    VLOOKUP(
        $A18,
        _xlfn._xlws.FILTER(
            INDIRECT("'"&amp;N$62&amp;"'!A2:G1000"), (INDIRECT("'"&amp;N$62&amp;"'!B2:B1000")=$B18) * (INDIRECT("'"&amp;N$62&amp;"'!C2:C1000")=$C18)
        ),
        7,
        FALSE
    )
)</f>
        <v>Sim</v>
      </c>
      <c r="O18" s="60" t="str">
        <f t="array" aca="1" ref="O18" ca="1">IF(
    VLOOKUP(
        $A18,
        _xlfn._xlws.FILTER(
            INDIRECT("'"&amp;O$62&amp;"'!A2:G1000"), (INDIRECT("'"&amp;O$62&amp;"'!B2:B1000")=$B18) * (INDIRECT("'"&amp;O$62&amp;"'!C2:C1000")=$C18)
        ),
        5,
        FALSE
    )="",
    "",
    VLOOKUP(
        $A18,
        _xlfn._xlws.FILTER(
            INDIRECT("'"&amp;O$62&amp;"'!A2:G1000"), (INDIRECT("'"&amp;O$62&amp;"'!B2:B1000")=$B18) * (INDIRECT("'"&amp;O$62&amp;"'!C2:C1000")=$C18)
        ),
        7,
        FALSE
    )
)</f>
        <v/>
      </c>
      <c r="P18" s="60" t="str">
        <f t="array" aca="1" ref="P18" ca="1">IF(
    VLOOKUP(
        $A18,
        _xlfn._xlws.FILTER(
            INDIRECT("'"&amp;P$62&amp;"'!A2:G1000"), (INDIRECT("'"&amp;P$62&amp;"'!B2:B1000")=$B18) * (INDIRECT("'"&amp;P$62&amp;"'!C2:C1000")=$C18)
        ),
        5,
        FALSE
    )="",
    "",
    VLOOKUP(
        $A18,
        _xlfn._xlws.FILTER(
            INDIRECT("'"&amp;P$62&amp;"'!A2:G1000"), (INDIRECT("'"&amp;P$62&amp;"'!B2:B1000")=$B18) * (INDIRECT("'"&amp;P$62&amp;"'!C2:C1000")=$C18)
        ),
        7,
        FALSE
    )
)</f>
        <v/>
      </c>
    </row>
    <row r="19" spans="1:16">
      <c r="A19" s="29" t="s">
        <v>37</v>
      </c>
      <c r="B19" s="60" t="s">
        <v>90</v>
      </c>
      <c r="C19" s="60" t="s">
        <v>75</v>
      </c>
      <c r="D19" s="60" t="str">
        <f t="array" aca="1" ref="D19" ca="1">IF(
    VLOOKUP(
        $A19,
        _xlfn._xlws.FILTER(
            INDIRECT("'"&amp;D$62&amp;"'!A2:G1000"), (INDIRECT("'"&amp;D$62&amp;"'!B2:B1000")=$B19) * (INDIRECT("'"&amp;D$62&amp;"'!C2:C1000")=$C19)
        ),
        5,
        FALSE
    )="",
    "",
    VLOOKUP(
        $A19,
        _xlfn._xlws.FILTER(
            INDIRECT("'"&amp;D$62&amp;"'!A2:G1000"), (INDIRECT("'"&amp;D$62&amp;"'!B2:B1000")=$B19) * (INDIRECT("'"&amp;D$62&amp;"'!C2:C1000")=$C19)
        ),
        7,
        FALSE
    )
)</f>
        <v>Sim</v>
      </c>
      <c r="E19" s="60" t="str">
        <f t="array" aca="1" ref="E19" ca="1">IF(
    VLOOKUP(
        $A19,
        _xlfn._xlws.FILTER(
            INDIRECT("'"&amp;E$62&amp;"'!A2:G1000"), (INDIRECT("'"&amp;E$62&amp;"'!B2:B1000")=$B19) * (INDIRECT("'"&amp;E$62&amp;"'!C2:C1000")=$C19)
        ),
        5,
        FALSE
    )="",
    "",
    VLOOKUP(
        $A19,
        _xlfn._xlws.FILTER(
            INDIRECT("'"&amp;E$62&amp;"'!A2:G1000"), (INDIRECT("'"&amp;E$62&amp;"'!B2:B1000")=$B19) * (INDIRECT("'"&amp;E$62&amp;"'!C2:C1000")=$C19)
        ),
        7,
        FALSE
    )
)</f>
        <v>Sim</v>
      </c>
      <c r="F19" s="60" t="str">
        <f t="array" aca="1" ref="F19" ca="1">IF(
    VLOOKUP(
        $A19,
        _xlfn._xlws.FILTER(
            INDIRECT("'"&amp;F$62&amp;"'!A2:G1000"), (INDIRECT("'"&amp;F$62&amp;"'!B2:B1000")=$B19) * (INDIRECT("'"&amp;F$62&amp;"'!C2:C1000")=$C19)
        ),
        5,
        FALSE
    )="",
    "",
    VLOOKUP(
        $A19,
        _xlfn._xlws.FILTER(
            INDIRECT("'"&amp;F$62&amp;"'!A2:G1000"), (INDIRECT("'"&amp;F$62&amp;"'!B2:B1000")=$B19) * (INDIRECT("'"&amp;F$62&amp;"'!C2:C1000")=$C19)
        ),
        7,
        FALSE
    )
)</f>
        <v>Sim</v>
      </c>
      <c r="G19" s="60" t="str">
        <f t="array" aca="1" ref="G19" ca="1">IF(
    VLOOKUP(
        $A19,
        _xlfn._xlws.FILTER(
            INDIRECT("'"&amp;G$62&amp;"'!A2:G1000"), (INDIRECT("'"&amp;G$62&amp;"'!B2:B1000")=$B19) * (INDIRECT("'"&amp;G$62&amp;"'!C2:C1000")=$C19)
        ),
        5,
        FALSE
    )="",
    "",
    VLOOKUP(
        $A19,
        _xlfn._xlws.FILTER(
            INDIRECT("'"&amp;G$62&amp;"'!A2:G1000"), (INDIRECT("'"&amp;G$62&amp;"'!B2:B1000")=$B19) * (INDIRECT("'"&amp;G$62&amp;"'!C2:C1000")=$C19)
        ),
        7,
        FALSE
    )
)</f>
        <v>Sim</v>
      </c>
      <c r="H19" s="60" t="str">
        <f t="array" aca="1" ref="H19" ca="1">IF(
    VLOOKUP(
        $A19,
        _xlfn._xlws.FILTER(
            INDIRECT("'"&amp;H$62&amp;"'!A2:G1000"), (INDIRECT("'"&amp;H$62&amp;"'!B2:B1000")=$B19) * (INDIRECT("'"&amp;H$62&amp;"'!C2:C1000")=$C19)
        ),
        5,
        FALSE
    )="",
    "",
    VLOOKUP(
        $A19,
        _xlfn._xlws.FILTER(
            INDIRECT("'"&amp;H$62&amp;"'!A2:G1000"), (INDIRECT("'"&amp;H$62&amp;"'!B2:B1000")=$B19) * (INDIRECT("'"&amp;H$62&amp;"'!C2:C1000")=$C19)
        ),
        7,
        FALSE
    )
)</f>
        <v>Sim</v>
      </c>
      <c r="I19" s="60" t="str">
        <f t="array" aca="1" ref="I19" ca="1">IF(
    VLOOKUP(
        $A19,
        _xlfn._xlws.FILTER(
            INDIRECT("'"&amp;I$62&amp;"'!A2:G1000"), (INDIRECT("'"&amp;I$62&amp;"'!B2:B1000")=$B19) * (INDIRECT("'"&amp;I$62&amp;"'!C2:C1000")=$C19)
        ),
        5,
        FALSE
    )="",
    "",
    VLOOKUP(
        $A19,
        _xlfn._xlws.FILTER(
            INDIRECT("'"&amp;I$62&amp;"'!A2:G1000"), (INDIRECT("'"&amp;I$62&amp;"'!B2:B1000")=$B19) * (INDIRECT("'"&amp;I$62&amp;"'!C2:C1000")=$C19)
        ),
        7,
        FALSE
    )
)</f>
        <v>Sim</v>
      </c>
      <c r="J19" s="60" t="str">
        <f t="array" aca="1" ref="J19" ca="1">IF(
    VLOOKUP(
        $A19,
        _xlfn._xlws.FILTER(
            INDIRECT("'"&amp;J$62&amp;"'!A2:G1000"), (INDIRECT("'"&amp;J$62&amp;"'!B2:B1000")=$B19) * (INDIRECT("'"&amp;J$62&amp;"'!C2:C1000")=$C19)
        ),
        5,
        FALSE
    )="",
    "",
    VLOOKUP(
        $A19,
        _xlfn._xlws.FILTER(
            INDIRECT("'"&amp;J$62&amp;"'!A2:G1000"), (INDIRECT("'"&amp;J$62&amp;"'!B2:B1000")=$B19) * (INDIRECT("'"&amp;J$62&amp;"'!C2:C1000")=$C19)
        ),
        7,
        FALSE
    )
)</f>
        <v>Sim</v>
      </c>
      <c r="K19" s="60" t="str">
        <f t="array" aca="1" ref="K19" ca="1">IF(
    VLOOKUP(
        $A19,
        _xlfn._xlws.FILTER(
            INDIRECT("'"&amp;K$62&amp;"'!A2:G1000"), (INDIRECT("'"&amp;K$62&amp;"'!B2:B1000")=$B19) * (INDIRECT("'"&amp;K$62&amp;"'!C2:C1000")=$C19)
        ),
        5,
        FALSE
    )="",
    "",
    VLOOKUP(
        $A19,
        _xlfn._xlws.FILTER(
            INDIRECT("'"&amp;K$62&amp;"'!A2:G1000"), (INDIRECT("'"&amp;K$62&amp;"'!B2:B1000")=$B19) * (INDIRECT("'"&amp;K$62&amp;"'!C2:C1000")=$C19)
        ),
        7,
        FALSE
    )
)</f>
        <v>Sim</v>
      </c>
      <c r="L19" s="60" t="str">
        <f t="array" aca="1" ref="L19" ca="1">IF(
    VLOOKUP(
        $A19,
        _xlfn._xlws.FILTER(
            INDIRECT("'"&amp;L$62&amp;"'!A2:G1000"), (INDIRECT("'"&amp;L$62&amp;"'!B2:B1000")=$B19) * (INDIRECT("'"&amp;L$62&amp;"'!C2:C1000")=$C19)
        ),
        5,
        FALSE
    )="",
    "",
    VLOOKUP(
        $A19,
        _xlfn._xlws.FILTER(
            INDIRECT("'"&amp;L$62&amp;"'!A2:G1000"), (INDIRECT("'"&amp;L$62&amp;"'!B2:B1000")=$B19) * (INDIRECT("'"&amp;L$62&amp;"'!C2:C1000")=$C19)
        ),
        7,
        FALSE
    )
)</f>
        <v>Não</v>
      </c>
      <c r="M19" s="60" t="str">
        <f t="array" aca="1" ref="M19" ca="1">IF(
    VLOOKUP(
        $A19,
        _xlfn._xlws.FILTER(
            INDIRECT("'"&amp;M$62&amp;"'!A2:G1000"), (INDIRECT("'"&amp;M$62&amp;"'!B2:B1000")=$B19) * (INDIRECT("'"&amp;M$62&amp;"'!C2:C1000")=$C19)
        ),
        5,
        FALSE
    )="",
    "",
    VLOOKUP(
        $A19,
        _xlfn._xlws.FILTER(
            INDIRECT("'"&amp;M$62&amp;"'!A2:G1000"), (INDIRECT("'"&amp;M$62&amp;"'!B2:B1000")=$B19) * (INDIRECT("'"&amp;M$62&amp;"'!C2:C1000")=$C19)
        ),
        7,
        FALSE
    )
)</f>
        <v>Não</v>
      </c>
      <c r="N19" s="60" t="str">
        <f t="array" aca="1" ref="N19" ca="1">IF(
    VLOOKUP(
        $A19,
        _xlfn._xlws.FILTER(
            INDIRECT("'"&amp;N$62&amp;"'!A2:G1000"), (INDIRECT("'"&amp;N$62&amp;"'!B2:B1000")=$B19) * (INDIRECT("'"&amp;N$62&amp;"'!C2:C1000")=$C19)
        ),
        5,
        FALSE
    )="",
    "",
    VLOOKUP(
        $A19,
        _xlfn._xlws.FILTER(
            INDIRECT("'"&amp;N$62&amp;"'!A2:G1000"), (INDIRECT("'"&amp;N$62&amp;"'!B2:B1000")=$B19) * (INDIRECT("'"&amp;N$62&amp;"'!C2:C1000")=$C19)
        ),
        7,
        FALSE
    )
)</f>
        <v>Sim</v>
      </c>
      <c r="O19" s="60" t="str">
        <f t="array" aca="1" ref="O19" ca="1">IF(
    VLOOKUP(
        $A19,
        _xlfn._xlws.FILTER(
            INDIRECT("'"&amp;O$62&amp;"'!A2:G1000"), (INDIRECT("'"&amp;O$62&amp;"'!B2:B1000")=$B19) * (INDIRECT("'"&amp;O$62&amp;"'!C2:C1000")=$C19)
        ),
        5,
        FALSE
    )="",
    "",
    VLOOKUP(
        $A19,
        _xlfn._xlws.FILTER(
            INDIRECT("'"&amp;O$62&amp;"'!A2:G1000"), (INDIRECT("'"&amp;O$62&amp;"'!B2:B1000")=$B19) * (INDIRECT("'"&amp;O$62&amp;"'!C2:C1000")=$C19)
        ),
        7,
        FALSE
    )
)</f>
        <v/>
      </c>
      <c r="P19" s="60" t="str">
        <f t="array" aca="1" ref="P19" ca="1">IF(
    VLOOKUP(
        $A19,
        _xlfn._xlws.FILTER(
            INDIRECT("'"&amp;P$62&amp;"'!A2:G1000"), (INDIRECT("'"&amp;P$62&amp;"'!B2:B1000")=$B19) * (INDIRECT("'"&amp;P$62&amp;"'!C2:C1000")=$C19)
        ),
        5,
        FALSE
    )="",
    "",
    VLOOKUP(
        $A19,
        _xlfn._xlws.FILTER(
            INDIRECT("'"&amp;P$62&amp;"'!A2:G1000"), (INDIRECT("'"&amp;P$62&amp;"'!B2:B1000")=$B19) * (INDIRECT("'"&amp;P$62&amp;"'!C2:C1000")=$C19)
        ),
        7,
        FALSE
    )
)</f>
        <v/>
      </c>
    </row>
    <row r="20" spans="1:16">
      <c r="A20" s="29" t="s">
        <v>37</v>
      </c>
      <c r="B20" s="60" t="s">
        <v>37</v>
      </c>
      <c r="C20" s="60" t="s">
        <v>75</v>
      </c>
      <c r="D20" s="60" t="str">
        <f t="array" aca="1" ref="D20" ca="1">IF(
    VLOOKUP(
        $A20,
        _xlfn._xlws.FILTER(
            INDIRECT("'"&amp;D$62&amp;"'!A2:G1000"), (INDIRECT("'"&amp;D$62&amp;"'!B2:B1000")=$B20) * (INDIRECT("'"&amp;D$62&amp;"'!C2:C1000")=$C20)
        ),
        5,
        FALSE
    )="",
    "",
    VLOOKUP(
        $A20,
        _xlfn._xlws.FILTER(
            INDIRECT("'"&amp;D$62&amp;"'!A2:G1000"), (INDIRECT("'"&amp;D$62&amp;"'!B2:B1000")=$B20) * (INDIRECT("'"&amp;D$62&amp;"'!C2:C1000")=$C20)
        ),
        7,
        FALSE
    )
)</f>
        <v>Sim</v>
      </c>
      <c r="E20" s="60" t="str">
        <f t="array" aca="1" ref="E20" ca="1">IF(
    VLOOKUP(
        $A20,
        _xlfn._xlws.FILTER(
            INDIRECT("'"&amp;E$62&amp;"'!A2:G1000"), (INDIRECT("'"&amp;E$62&amp;"'!B2:B1000")=$B20) * (INDIRECT("'"&amp;E$62&amp;"'!C2:C1000")=$C20)
        ),
        5,
        FALSE
    )="",
    "",
    VLOOKUP(
        $A20,
        _xlfn._xlws.FILTER(
            INDIRECT("'"&amp;E$62&amp;"'!A2:G1000"), (INDIRECT("'"&amp;E$62&amp;"'!B2:B1000")=$B20) * (INDIRECT("'"&amp;E$62&amp;"'!C2:C1000")=$C20)
        ),
        7,
        FALSE
    )
)</f>
        <v>Sim</v>
      </c>
      <c r="F20" s="60" t="str">
        <f t="array" aca="1" ref="F20" ca="1">IF(
    VLOOKUP(
        $A20,
        _xlfn._xlws.FILTER(
            INDIRECT("'"&amp;F$62&amp;"'!A2:G1000"), (INDIRECT("'"&amp;F$62&amp;"'!B2:B1000")=$B20) * (INDIRECT("'"&amp;F$62&amp;"'!C2:C1000")=$C20)
        ),
        5,
        FALSE
    )="",
    "",
    VLOOKUP(
        $A20,
        _xlfn._xlws.FILTER(
            INDIRECT("'"&amp;F$62&amp;"'!A2:G1000"), (INDIRECT("'"&amp;F$62&amp;"'!B2:B1000")=$B20) * (INDIRECT("'"&amp;F$62&amp;"'!C2:C1000")=$C20)
        ),
        7,
        FALSE
    )
)</f>
        <v>Sim</v>
      </c>
      <c r="G20" s="60" t="str">
        <f t="array" aca="1" ref="G20" ca="1">IF(
    VLOOKUP(
        $A20,
        _xlfn._xlws.FILTER(
            INDIRECT("'"&amp;G$62&amp;"'!A2:G1000"), (INDIRECT("'"&amp;G$62&amp;"'!B2:B1000")=$B20) * (INDIRECT("'"&amp;G$62&amp;"'!C2:C1000")=$C20)
        ),
        5,
        FALSE
    )="",
    "",
    VLOOKUP(
        $A20,
        _xlfn._xlws.FILTER(
            INDIRECT("'"&amp;G$62&amp;"'!A2:G1000"), (INDIRECT("'"&amp;G$62&amp;"'!B2:B1000")=$B20) * (INDIRECT("'"&amp;G$62&amp;"'!C2:C1000")=$C20)
        ),
        7,
        FALSE
    )
)</f>
        <v>Sim</v>
      </c>
      <c r="H20" s="60" t="str">
        <f t="array" aca="1" ref="H20" ca="1">IF(
    VLOOKUP(
        $A20,
        _xlfn._xlws.FILTER(
            INDIRECT("'"&amp;H$62&amp;"'!A2:G1000"), (INDIRECT("'"&amp;H$62&amp;"'!B2:B1000")=$B20) * (INDIRECT("'"&amp;H$62&amp;"'!C2:C1000")=$C20)
        ),
        5,
        FALSE
    )="",
    "",
    VLOOKUP(
        $A20,
        _xlfn._xlws.FILTER(
            INDIRECT("'"&amp;H$62&amp;"'!A2:G1000"), (INDIRECT("'"&amp;H$62&amp;"'!B2:B1000")=$B20) * (INDIRECT("'"&amp;H$62&amp;"'!C2:C1000")=$C20)
        ),
        7,
        FALSE
    )
)</f>
        <v>Sim</v>
      </c>
      <c r="I20" s="60" t="str">
        <f t="array" aca="1" ref="I20" ca="1">IF(
    VLOOKUP(
        $A20,
        _xlfn._xlws.FILTER(
            INDIRECT("'"&amp;I$62&amp;"'!A2:G1000"), (INDIRECT("'"&amp;I$62&amp;"'!B2:B1000")=$B20) * (INDIRECT("'"&amp;I$62&amp;"'!C2:C1000")=$C20)
        ),
        5,
        FALSE
    )="",
    "",
    VLOOKUP(
        $A20,
        _xlfn._xlws.FILTER(
            INDIRECT("'"&amp;I$62&amp;"'!A2:G1000"), (INDIRECT("'"&amp;I$62&amp;"'!B2:B1000")=$B20) * (INDIRECT("'"&amp;I$62&amp;"'!C2:C1000")=$C20)
        ),
        7,
        FALSE
    )
)</f>
        <v>Sim</v>
      </c>
      <c r="J20" s="60" t="str">
        <f t="array" aca="1" ref="J20" ca="1">IF(
    VLOOKUP(
        $A20,
        _xlfn._xlws.FILTER(
            INDIRECT("'"&amp;J$62&amp;"'!A2:G1000"), (INDIRECT("'"&amp;J$62&amp;"'!B2:B1000")=$B20) * (INDIRECT("'"&amp;J$62&amp;"'!C2:C1000")=$C20)
        ),
        5,
        FALSE
    )="",
    "",
    VLOOKUP(
        $A20,
        _xlfn._xlws.FILTER(
            INDIRECT("'"&amp;J$62&amp;"'!A2:G1000"), (INDIRECT("'"&amp;J$62&amp;"'!B2:B1000")=$B20) * (INDIRECT("'"&amp;J$62&amp;"'!C2:C1000")=$C20)
        ),
        7,
        FALSE
    )
)</f>
        <v>Sim</v>
      </c>
      <c r="K20" s="60" t="str">
        <f t="array" aca="1" ref="K20" ca="1">IF(
    VLOOKUP(
        $A20,
        _xlfn._xlws.FILTER(
            INDIRECT("'"&amp;K$62&amp;"'!A2:G1000"), (INDIRECT("'"&amp;K$62&amp;"'!B2:B1000")=$B20) * (INDIRECT("'"&amp;K$62&amp;"'!C2:C1000")=$C20)
        ),
        5,
        FALSE
    )="",
    "",
    VLOOKUP(
        $A20,
        _xlfn._xlws.FILTER(
            INDIRECT("'"&amp;K$62&amp;"'!A2:G1000"), (INDIRECT("'"&amp;K$62&amp;"'!B2:B1000")=$B20) * (INDIRECT("'"&amp;K$62&amp;"'!C2:C1000")=$C20)
        ),
        7,
        FALSE
    )
)</f>
        <v>Sim</v>
      </c>
      <c r="L20" s="60" t="str">
        <f t="array" aca="1" ref="L20" ca="1">IF(
    VLOOKUP(
        $A20,
        _xlfn._xlws.FILTER(
            INDIRECT("'"&amp;L$62&amp;"'!A2:G1000"), (INDIRECT("'"&amp;L$62&amp;"'!B2:B1000")=$B20) * (INDIRECT("'"&amp;L$62&amp;"'!C2:C1000")=$C20)
        ),
        5,
        FALSE
    )="",
    "",
    VLOOKUP(
        $A20,
        _xlfn._xlws.FILTER(
            INDIRECT("'"&amp;L$62&amp;"'!A2:G1000"), (INDIRECT("'"&amp;L$62&amp;"'!B2:B1000")=$B20) * (INDIRECT("'"&amp;L$62&amp;"'!C2:C1000")=$C20)
        ),
        7,
        FALSE
    )
)</f>
        <v>Não</v>
      </c>
      <c r="M20" s="60" t="str">
        <f t="array" aca="1" ref="M20" ca="1">IF(
    VLOOKUP(
        $A20,
        _xlfn._xlws.FILTER(
            INDIRECT("'"&amp;M$62&amp;"'!A2:G1000"), (INDIRECT("'"&amp;M$62&amp;"'!B2:B1000")=$B20) * (INDIRECT("'"&amp;M$62&amp;"'!C2:C1000")=$C20)
        ),
        5,
        FALSE
    )="",
    "",
    VLOOKUP(
        $A20,
        _xlfn._xlws.FILTER(
            INDIRECT("'"&amp;M$62&amp;"'!A2:G1000"), (INDIRECT("'"&amp;M$62&amp;"'!B2:B1000")=$B20) * (INDIRECT("'"&amp;M$62&amp;"'!C2:C1000")=$C20)
        ),
        7,
        FALSE
    )
)</f>
        <v>Não</v>
      </c>
      <c r="N20" s="60" t="str">
        <f t="array" aca="1" ref="N20" ca="1">IF(
    VLOOKUP(
        $A20,
        _xlfn._xlws.FILTER(
            INDIRECT("'"&amp;N$62&amp;"'!A2:G1000"), (INDIRECT("'"&amp;N$62&amp;"'!B2:B1000")=$B20) * (INDIRECT("'"&amp;N$62&amp;"'!C2:C1000")=$C20)
        ),
        5,
        FALSE
    )="",
    "",
    VLOOKUP(
        $A20,
        _xlfn._xlws.FILTER(
            INDIRECT("'"&amp;N$62&amp;"'!A2:G1000"), (INDIRECT("'"&amp;N$62&amp;"'!B2:B1000")=$B20) * (INDIRECT("'"&amp;N$62&amp;"'!C2:C1000")=$C20)
        ),
        7,
        FALSE
    )
)</f>
        <v>Não</v>
      </c>
      <c r="O20" s="60" t="str">
        <f t="array" aca="1" ref="O20" ca="1">IF(
    VLOOKUP(
        $A20,
        _xlfn._xlws.FILTER(
            INDIRECT("'"&amp;O$62&amp;"'!A2:G1000"), (INDIRECT("'"&amp;O$62&amp;"'!B2:B1000")=$B20) * (INDIRECT("'"&amp;O$62&amp;"'!C2:C1000")=$C20)
        ),
        5,
        FALSE
    )="",
    "",
    VLOOKUP(
        $A20,
        _xlfn._xlws.FILTER(
            INDIRECT("'"&amp;O$62&amp;"'!A2:G1000"), (INDIRECT("'"&amp;O$62&amp;"'!B2:B1000")=$B20) * (INDIRECT("'"&amp;O$62&amp;"'!C2:C1000")=$C20)
        ),
        7,
        FALSE
    )
)</f>
        <v/>
      </c>
      <c r="P20" s="60" t="str">
        <f t="array" aca="1" ref="P20" ca="1">IF(
    VLOOKUP(
        $A20,
        _xlfn._xlws.FILTER(
            INDIRECT("'"&amp;P$62&amp;"'!A2:G1000"), (INDIRECT("'"&amp;P$62&amp;"'!B2:B1000")=$B20) * (INDIRECT("'"&amp;P$62&amp;"'!C2:C1000")=$C20)
        ),
        5,
        FALSE
    )="",
    "",
    VLOOKUP(
        $A20,
        _xlfn._xlws.FILTER(
            INDIRECT("'"&amp;P$62&amp;"'!A2:G1000"), (INDIRECT("'"&amp;P$62&amp;"'!B2:B1000")=$B20) * (INDIRECT("'"&amp;P$62&amp;"'!C2:C1000")=$C20)
        ),
        7,
        FALSE
    )
)</f>
        <v/>
      </c>
    </row>
    <row r="21" spans="1:16">
      <c r="A21" s="29" t="s">
        <v>37</v>
      </c>
      <c r="B21" s="60" t="s">
        <v>37</v>
      </c>
      <c r="C21" s="60" t="s">
        <v>76</v>
      </c>
      <c r="D21" s="60" t="str">
        <f t="array" aca="1" ref="D21" ca="1">IF(
    VLOOKUP(
        $A21,
        _xlfn._xlws.FILTER(
            INDIRECT("'"&amp;D$62&amp;"'!A2:G1000"), (INDIRECT("'"&amp;D$62&amp;"'!B2:B1000")=$B21) * (INDIRECT("'"&amp;D$62&amp;"'!C2:C1000")=$C21)
        ),
        5,
        FALSE
    )="",
    "",
    VLOOKUP(
        $A21,
        _xlfn._xlws.FILTER(
            INDIRECT("'"&amp;D$62&amp;"'!A2:G1000"), (INDIRECT("'"&amp;D$62&amp;"'!B2:B1000")=$B21) * (INDIRECT("'"&amp;D$62&amp;"'!C2:C1000")=$C21)
        ),
        7,
        FALSE
    )
)</f>
        <v>Sim</v>
      </c>
      <c r="E21" s="60" t="str">
        <f t="array" aca="1" ref="E21" ca="1">IF(
    VLOOKUP(
        $A21,
        _xlfn._xlws.FILTER(
            INDIRECT("'"&amp;E$62&amp;"'!A2:G1000"), (INDIRECT("'"&amp;E$62&amp;"'!B2:B1000")=$B21) * (INDIRECT("'"&amp;E$62&amp;"'!C2:C1000")=$C21)
        ),
        5,
        FALSE
    )="",
    "",
    VLOOKUP(
        $A21,
        _xlfn._xlws.FILTER(
            INDIRECT("'"&amp;E$62&amp;"'!A2:G1000"), (INDIRECT("'"&amp;E$62&amp;"'!B2:B1000")=$B21) * (INDIRECT("'"&amp;E$62&amp;"'!C2:C1000")=$C21)
        ),
        7,
        FALSE
    )
)</f>
        <v>Sim</v>
      </c>
      <c r="F21" s="60" t="str">
        <f t="array" aca="1" ref="F21" ca="1">IF(
    VLOOKUP(
        $A21,
        _xlfn._xlws.FILTER(
            INDIRECT("'"&amp;F$62&amp;"'!A2:G1000"), (INDIRECT("'"&amp;F$62&amp;"'!B2:B1000")=$B21) * (INDIRECT("'"&amp;F$62&amp;"'!C2:C1000")=$C21)
        ),
        5,
        FALSE
    )="",
    "",
    VLOOKUP(
        $A21,
        _xlfn._xlws.FILTER(
            INDIRECT("'"&amp;F$62&amp;"'!A2:G1000"), (INDIRECT("'"&amp;F$62&amp;"'!B2:B1000")=$B21) * (INDIRECT("'"&amp;F$62&amp;"'!C2:C1000")=$C21)
        ),
        7,
        FALSE
    )
)</f>
        <v>Sim</v>
      </c>
      <c r="G21" s="60" t="str">
        <f t="array" aca="1" ref="G21" ca="1">IF(
    VLOOKUP(
        $A21,
        _xlfn._xlws.FILTER(
            INDIRECT("'"&amp;G$62&amp;"'!A2:G1000"), (INDIRECT("'"&amp;G$62&amp;"'!B2:B1000")=$B21) * (INDIRECT("'"&amp;G$62&amp;"'!C2:C1000")=$C21)
        ),
        5,
        FALSE
    )="",
    "",
    VLOOKUP(
        $A21,
        _xlfn._xlws.FILTER(
            INDIRECT("'"&amp;G$62&amp;"'!A2:G1000"), (INDIRECT("'"&amp;G$62&amp;"'!B2:B1000")=$B21) * (INDIRECT("'"&amp;G$62&amp;"'!C2:C1000")=$C21)
        ),
        7,
        FALSE
    )
)</f>
        <v>Sim</v>
      </c>
      <c r="H21" s="60" t="str">
        <f t="array" aca="1" ref="H21" ca="1">IF(
    VLOOKUP(
        $A21,
        _xlfn._xlws.FILTER(
            INDIRECT("'"&amp;H$62&amp;"'!A2:G1000"), (INDIRECT("'"&amp;H$62&amp;"'!B2:B1000")=$B21) * (INDIRECT("'"&amp;H$62&amp;"'!C2:C1000")=$C21)
        ),
        5,
        FALSE
    )="",
    "",
    VLOOKUP(
        $A21,
        _xlfn._xlws.FILTER(
            INDIRECT("'"&amp;H$62&amp;"'!A2:G1000"), (INDIRECT("'"&amp;H$62&amp;"'!B2:B1000")=$B21) * (INDIRECT("'"&amp;H$62&amp;"'!C2:C1000")=$C21)
        ),
        7,
        FALSE
    )
)</f>
        <v>Sim</v>
      </c>
      <c r="I21" s="60" t="str">
        <f t="array" aca="1" ref="I21" ca="1">IF(
    VLOOKUP(
        $A21,
        _xlfn._xlws.FILTER(
            INDIRECT("'"&amp;I$62&amp;"'!A2:G1000"), (INDIRECT("'"&amp;I$62&amp;"'!B2:B1000")=$B21) * (INDIRECT("'"&amp;I$62&amp;"'!C2:C1000")=$C21)
        ),
        5,
        FALSE
    )="",
    "",
    VLOOKUP(
        $A21,
        _xlfn._xlws.FILTER(
            INDIRECT("'"&amp;I$62&amp;"'!A2:G1000"), (INDIRECT("'"&amp;I$62&amp;"'!B2:B1000")=$B21) * (INDIRECT("'"&amp;I$62&amp;"'!C2:C1000")=$C21)
        ),
        7,
        FALSE
    )
)</f>
        <v>Sim</v>
      </c>
      <c r="J21" s="60" t="str">
        <f t="array" aca="1" ref="J21" ca="1">IF(
    VLOOKUP(
        $A21,
        _xlfn._xlws.FILTER(
            INDIRECT("'"&amp;J$62&amp;"'!A2:G1000"), (INDIRECT("'"&amp;J$62&amp;"'!B2:B1000")=$B21) * (INDIRECT("'"&amp;J$62&amp;"'!C2:C1000")=$C21)
        ),
        5,
        FALSE
    )="",
    "",
    VLOOKUP(
        $A21,
        _xlfn._xlws.FILTER(
            INDIRECT("'"&amp;J$62&amp;"'!A2:G1000"), (INDIRECT("'"&amp;J$62&amp;"'!B2:B1000")=$B21) * (INDIRECT("'"&amp;J$62&amp;"'!C2:C1000")=$C21)
        ),
        7,
        FALSE
    )
)</f>
        <v>Sim</v>
      </c>
      <c r="K21" s="60" t="str">
        <f t="array" aca="1" ref="K21" ca="1">IF(
    VLOOKUP(
        $A21,
        _xlfn._xlws.FILTER(
            INDIRECT("'"&amp;K$62&amp;"'!A2:G1000"), (INDIRECT("'"&amp;K$62&amp;"'!B2:B1000")=$B21) * (INDIRECT("'"&amp;K$62&amp;"'!C2:C1000")=$C21)
        ),
        5,
        FALSE
    )="",
    "",
    VLOOKUP(
        $A21,
        _xlfn._xlws.FILTER(
            INDIRECT("'"&amp;K$62&amp;"'!A2:G1000"), (INDIRECT("'"&amp;K$62&amp;"'!B2:B1000")=$B21) * (INDIRECT("'"&amp;K$62&amp;"'!C2:C1000")=$C21)
        ),
        7,
        FALSE
    )
)</f>
        <v>Sim</v>
      </c>
      <c r="L21" s="60" t="str">
        <f t="array" aca="1" ref="L21" ca="1">IF(
    VLOOKUP(
        $A21,
        _xlfn._xlws.FILTER(
            INDIRECT("'"&amp;L$62&amp;"'!A2:G1000"), (INDIRECT("'"&amp;L$62&amp;"'!B2:B1000")=$B21) * (INDIRECT("'"&amp;L$62&amp;"'!C2:C1000")=$C21)
        ),
        5,
        FALSE
    )="",
    "",
    VLOOKUP(
        $A21,
        _xlfn._xlws.FILTER(
            INDIRECT("'"&amp;L$62&amp;"'!A2:G1000"), (INDIRECT("'"&amp;L$62&amp;"'!B2:B1000")=$B21) * (INDIRECT("'"&amp;L$62&amp;"'!C2:C1000")=$C21)
        ),
        7,
        FALSE
    )
)</f>
        <v>Não</v>
      </c>
      <c r="M21" s="60" t="str">
        <f t="array" aca="1" ref="M21" ca="1">IF(
    VLOOKUP(
        $A21,
        _xlfn._xlws.FILTER(
            INDIRECT("'"&amp;M$62&amp;"'!A2:G1000"), (INDIRECT("'"&amp;M$62&amp;"'!B2:B1000")=$B21) * (INDIRECT("'"&amp;M$62&amp;"'!C2:C1000")=$C21)
        ),
        5,
        FALSE
    )="",
    "",
    VLOOKUP(
        $A21,
        _xlfn._xlws.FILTER(
            INDIRECT("'"&amp;M$62&amp;"'!A2:G1000"), (INDIRECT("'"&amp;M$62&amp;"'!B2:B1000")=$B21) * (INDIRECT("'"&amp;M$62&amp;"'!C2:C1000")=$C21)
        ),
        7,
        FALSE
    )
)</f>
        <v>Não</v>
      </c>
      <c r="N21" s="60" t="str">
        <f t="array" aca="1" ref="N21" ca="1">IF(
    VLOOKUP(
        $A21,
        _xlfn._xlws.FILTER(
            INDIRECT("'"&amp;N$62&amp;"'!A2:G1000"), (INDIRECT("'"&amp;N$62&amp;"'!B2:B1000")=$B21) * (INDIRECT("'"&amp;N$62&amp;"'!C2:C1000")=$C21)
        ),
        5,
        FALSE
    )="",
    "",
    VLOOKUP(
        $A21,
        _xlfn._xlws.FILTER(
            INDIRECT("'"&amp;N$62&amp;"'!A2:G1000"), (INDIRECT("'"&amp;N$62&amp;"'!B2:B1000")=$B21) * (INDIRECT("'"&amp;N$62&amp;"'!C2:C1000")=$C21)
        ),
        7,
        FALSE
    )
)</f>
        <v>Não</v>
      </c>
      <c r="O21" s="60" t="str">
        <f t="array" aca="1" ref="O21" ca="1">IF(
    VLOOKUP(
        $A21,
        _xlfn._xlws.FILTER(
            INDIRECT("'"&amp;O$62&amp;"'!A2:G1000"), (INDIRECT("'"&amp;O$62&amp;"'!B2:B1000")=$B21) * (INDIRECT("'"&amp;O$62&amp;"'!C2:C1000")=$C21)
        ),
        5,
        FALSE
    )="",
    "",
    VLOOKUP(
        $A21,
        _xlfn._xlws.FILTER(
            INDIRECT("'"&amp;O$62&amp;"'!A2:G1000"), (INDIRECT("'"&amp;O$62&amp;"'!B2:B1000")=$B21) * (INDIRECT("'"&amp;O$62&amp;"'!C2:C1000")=$C21)
        ),
        7,
        FALSE
    )
)</f>
        <v/>
      </c>
      <c r="P21" s="60" t="str">
        <f t="array" aca="1" ref="P21" ca="1">IF(
    VLOOKUP(
        $A21,
        _xlfn._xlws.FILTER(
            INDIRECT("'"&amp;P$62&amp;"'!A2:G1000"), (INDIRECT("'"&amp;P$62&amp;"'!B2:B1000")=$B21) * (INDIRECT("'"&amp;P$62&amp;"'!C2:C1000")=$C21)
        ),
        5,
        FALSE
    )="",
    "",
    VLOOKUP(
        $A21,
        _xlfn._xlws.FILTER(
            INDIRECT("'"&amp;P$62&amp;"'!A2:G1000"), (INDIRECT("'"&amp;P$62&amp;"'!B2:B1000")=$B21) * (INDIRECT("'"&amp;P$62&amp;"'!C2:C1000")=$C21)
        ),
        7,
        FALSE
    )
)</f>
        <v/>
      </c>
    </row>
    <row r="22" spans="1:16">
      <c r="A22" s="29" t="s">
        <v>37</v>
      </c>
      <c r="B22" s="60" t="s">
        <v>37</v>
      </c>
      <c r="C22" s="60" t="s">
        <v>77</v>
      </c>
      <c r="D22" s="60" t="str">
        <f t="array" aca="1" ref="D22" ca="1">IF(
    VLOOKUP(
        $A22,
        _xlfn._xlws.FILTER(
            INDIRECT("'"&amp;D$62&amp;"'!A2:G1000"), (INDIRECT("'"&amp;D$62&amp;"'!B2:B1000")=$B22) * (INDIRECT("'"&amp;D$62&amp;"'!C2:C1000")=$C22)
        ),
        5,
        FALSE
    )="",
    "",
    VLOOKUP(
        $A22,
        _xlfn._xlws.FILTER(
            INDIRECT("'"&amp;D$62&amp;"'!A2:G1000"), (INDIRECT("'"&amp;D$62&amp;"'!B2:B1000")=$B22) * (INDIRECT("'"&amp;D$62&amp;"'!C2:C1000")=$C22)
        ),
        7,
        FALSE
    )
)</f>
        <v>Sim</v>
      </c>
      <c r="E22" s="60" t="str">
        <f t="array" aca="1" ref="E22" ca="1">IF(
    VLOOKUP(
        $A22,
        _xlfn._xlws.FILTER(
            INDIRECT("'"&amp;E$62&amp;"'!A2:G1000"), (INDIRECT("'"&amp;E$62&amp;"'!B2:B1000")=$B22) * (INDIRECT("'"&amp;E$62&amp;"'!C2:C1000")=$C22)
        ),
        5,
        FALSE
    )="",
    "",
    VLOOKUP(
        $A22,
        _xlfn._xlws.FILTER(
            INDIRECT("'"&amp;E$62&amp;"'!A2:G1000"), (INDIRECT("'"&amp;E$62&amp;"'!B2:B1000")=$B22) * (INDIRECT("'"&amp;E$62&amp;"'!C2:C1000")=$C22)
        ),
        7,
        FALSE
    )
)</f>
        <v>Sim</v>
      </c>
      <c r="F22" s="60" t="str">
        <f t="array" aca="1" ref="F22" ca="1">IF(
    VLOOKUP(
        $A22,
        _xlfn._xlws.FILTER(
            INDIRECT("'"&amp;F$62&amp;"'!A2:G1000"), (INDIRECT("'"&amp;F$62&amp;"'!B2:B1000")=$B22) * (INDIRECT("'"&amp;F$62&amp;"'!C2:C1000")=$C22)
        ),
        5,
        FALSE
    )="",
    "",
    VLOOKUP(
        $A22,
        _xlfn._xlws.FILTER(
            INDIRECT("'"&amp;F$62&amp;"'!A2:G1000"), (INDIRECT("'"&amp;F$62&amp;"'!B2:B1000")=$B22) * (INDIRECT("'"&amp;F$62&amp;"'!C2:C1000")=$C22)
        ),
        7,
        FALSE
    )
)</f>
        <v>Sim</v>
      </c>
      <c r="G22" s="60" t="str">
        <f t="array" aca="1" ref="G22" ca="1">IF(
    VLOOKUP(
        $A22,
        _xlfn._xlws.FILTER(
            INDIRECT("'"&amp;G$62&amp;"'!A2:G1000"), (INDIRECT("'"&amp;G$62&amp;"'!B2:B1000")=$B22) * (INDIRECT("'"&amp;G$62&amp;"'!C2:C1000")=$C22)
        ),
        5,
        FALSE
    )="",
    "",
    VLOOKUP(
        $A22,
        _xlfn._xlws.FILTER(
            INDIRECT("'"&amp;G$62&amp;"'!A2:G1000"), (INDIRECT("'"&amp;G$62&amp;"'!B2:B1000")=$B22) * (INDIRECT("'"&amp;G$62&amp;"'!C2:C1000")=$C22)
        ),
        7,
        FALSE
    )
)</f>
        <v>Sim</v>
      </c>
      <c r="H22" s="60" t="str">
        <f t="array" aca="1" ref="H22" ca="1">IF(
    VLOOKUP(
        $A22,
        _xlfn._xlws.FILTER(
            INDIRECT("'"&amp;H$62&amp;"'!A2:G1000"), (INDIRECT("'"&amp;H$62&amp;"'!B2:B1000")=$B22) * (INDIRECT("'"&amp;H$62&amp;"'!C2:C1000")=$C22)
        ),
        5,
        FALSE
    )="",
    "",
    VLOOKUP(
        $A22,
        _xlfn._xlws.FILTER(
            INDIRECT("'"&amp;H$62&amp;"'!A2:G1000"), (INDIRECT("'"&amp;H$62&amp;"'!B2:B1000")=$B22) * (INDIRECT("'"&amp;H$62&amp;"'!C2:C1000")=$C22)
        ),
        7,
        FALSE
    )
)</f>
        <v>Não</v>
      </c>
      <c r="I22" s="60" t="str">
        <f t="array" aca="1" ref="I22" ca="1">IF(
    VLOOKUP(
        $A22,
        _xlfn._xlws.FILTER(
            INDIRECT("'"&amp;I$62&amp;"'!A2:G1000"), (INDIRECT("'"&amp;I$62&amp;"'!B2:B1000")=$B22) * (INDIRECT("'"&amp;I$62&amp;"'!C2:C1000")=$C22)
        ),
        5,
        FALSE
    )="",
    "",
    VLOOKUP(
        $A22,
        _xlfn._xlws.FILTER(
            INDIRECT("'"&amp;I$62&amp;"'!A2:G1000"), (INDIRECT("'"&amp;I$62&amp;"'!B2:B1000")=$B22) * (INDIRECT("'"&amp;I$62&amp;"'!C2:C1000")=$C22)
        ),
        7,
        FALSE
    )
)</f>
        <v>Sim</v>
      </c>
      <c r="J22" s="60" t="str">
        <f t="array" aca="1" ref="J22" ca="1">IF(
    VLOOKUP(
        $A22,
        _xlfn._xlws.FILTER(
            INDIRECT("'"&amp;J$62&amp;"'!A2:G1000"), (INDIRECT("'"&amp;J$62&amp;"'!B2:B1000")=$B22) * (INDIRECT("'"&amp;J$62&amp;"'!C2:C1000")=$C22)
        ),
        5,
        FALSE
    )="",
    "",
    VLOOKUP(
        $A22,
        _xlfn._xlws.FILTER(
            INDIRECT("'"&amp;J$62&amp;"'!A2:G1000"), (INDIRECT("'"&amp;J$62&amp;"'!B2:B1000")=$B22) * (INDIRECT("'"&amp;J$62&amp;"'!C2:C1000")=$C22)
        ),
        7,
        FALSE
    )
)</f>
        <v>Sim</v>
      </c>
      <c r="K22" s="60" t="str">
        <f t="array" aca="1" ref="K22" ca="1">IF(
    VLOOKUP(
        $A22,
        _xlfn._xlws.FILTER(
            INDIRECT("'"&amp;K$62&amp;"'!A2:G1000"), (INDIRECT("'"&amp;K$62&amp;"'!B2:B1000")=$B22) * (INDIRECT("'"&amp;K$62&amp;"'!C2:C1000")=$C22)
        ),
        5,
        FALSE
    )="",
    "",
    VLOOKUP(
        $A22,
        _xlfn._xlws.FILTER(
            INDIRECT("'"&amp;K$62&amp;"'!A2:G1000"), (INDIRECT("'"&amp;K$62&amp;"'!B2:B1000")=$B22) * (INDIRECT("'"&amp;K$62&amp;"'!C2:C1000")=$C22)
        ),
        7,
        FALSE
    )
)</f>
        <v>Sim</v>
      </c>
      <c r="L22" s="60" t="str">
        <f t="array" aca="1" ref="L22" ca="1">IF(
    VLOOKUP(
        $A22,
        _xlfn._xlws.FILTER(
            INDIRECT("'"&amp;L$62&amp;"'!A2:G1000"), (INDIRECT("'"&amp;L$62&amp;"'!B2:B1000")=$B22) * (INDIRECT("'"&amp;L$62&amp;"'!C2:C1000")=$C22)
        ),
        5,
        FALSE
    )="",
    "",
    VLOOKUP(
        $A22,
        _xlfn._xlws.FILTER(
            INDIRECT("'"&amp;L$62&amp;"'!A2:G1000"), (INDIRECT("'"&amp;L$62&amp;"'!B2:B1000")=$B22) * (INDIRECT("'"&amp;L$62&amp;"'!C2:C1000")=$C22)
        ),
        7,
        FALSE
    )
)</f>
        <v>Não</v>
      </c>
      <c r="M22" s="60" t="str">
        <f t="array" aca="1" ref="M22" ca="1">IF(
    VLOOKUP(
        $A22,
        _xlfn._xlws.FILTER(
            INDIRECT("'"&amp;M$62&amp;"'!A2:G1000"), (INDIRECT("'"&amp;M$62&amp;"'!B2:B1000")=$B22) * (INDIRECT("'"&amp;M$62&amp;"'!C2:C1000")=$C22)
        ),
        5,
        FALSE
    )="",
    "",
    VLOOKUP(
        $A22,
        _xlfn._xlws.FILTER(
            INDIRECT("'"&amp;M$62&amp;"'!A2:G1000"), (INDIRECT("'"&amp;M$62&amp;"'!B2:B1000")=$B22) * (INDIRECT("'"&amp;M$62&amp;"'!C2:C1000")=$C22)
        ),
        7,
        FALSE
    )
)</f>
        <v>Não</v>
      </c>
      <c r="N22" s="60" t="str">
        <f t="array" aca="1" ref="N22" ca="1">IF(
    VLOOKUP(
        $A22,
        _xlfn._xlws.FILTER(
            INDIRECT("'"&amp;N$62&amp;"'!A2:G1000"), (INDIRECT("'"&amp;N$62&amp;"'!B2:B1000")=$B22) * (INDIRECT("'"&amp;N$62&amp;"'!C2:C1000")=$C22)
        ),
        5,
        FALSE
    )="",
    "",
    VLOOKUP(
        $A22,
        _xlfn._xlws.FILTER(
            INDIRECT("'"&amp;N$62&amp;"'!A2:G1000"), (INDIRECT("'"&amp;N$62&amp;"'!B2:B1000")=$B22) * (INDIRECT("'"&amp;N$62&amp;"'!C2:C1000")=$C22)
        ),
        7,
        FALSE
    )
)</f>
        <v>Não</v>
      </c>
      <c r="O22" s="60" t="str">
        <f t="array" aca="1" ref="O22" ca="1">IF(
    VLOOKUP(
        $A22,
        _xlfn._xlws.FILTER(
            INDIRECT("'"&amp;O$62&amp;"'!A2:G1000"), (INDIRECT("'"&amp;O$62&amp;"'!B2:B1000")=$B22) * (INDIRECT("'"&amp;O$62&amp;"'!C2:C1000")=$C22)
        ),
        5,
        FALSE
    )="",
    "",
    VLOOKUP(
        $A22,
        _xlfn._xlws.FILTER(
            INDIRECT("'"&amp;O$62&amp;"'!A2:G1000"), (INDIRECT("'"&amp;O$62&amp;"'!B2:B1000")=$B22) * (INDIRECT("'"&amp;O$62&amp;"'!C2:C1000")=$C22)
        ),
        7,
        FALSE
    )
)</f>
        <v/>
      </c>
      <c r="P22" s="60" t="str">
        <f t="array" aca="1" ref="P22" ca="1">IF(
    VLOOKUP(
        $A22,
        _xlfn._xlws.FILTER(
            INDIRECT("'"&amp;P$62&amp;"'!A2:G1000"), (INDIRECT("'"&amp;P$62&amp;"'!B2:B1000")=$B22) * (INDIRECT("'"&amp;P$62&amp;"'!C2:C1000")=$C22)
        ),
        5,
        FALSE
    )="",
    "",
    VLOOKUP(
        $A22,
        _xlfn._xlws.FILTER(
            INDIRECT("'"&amp;P$62&amp;"'!A2:G1000"), (INDIRECT("'"&amp;P$62&amp;"'!B2:B1000")=$B22) * (INDIRECT("'"&amp;P$62&amp;"'!C2:C1000")=$C22)
        ),
        7,
        FALSE
    )
)</f>
        <v/>
      </c>
    </row>
    <row r="23" spans="1:16">
      <c r="A23" s="29" t="s">
        <v>37</v>
      </c>
      <c r="B23" s="60" t="s">
        <v>91</v>
      </c>
      <c r="C23" s="60" t="s">
        <v>75</v>
      </c>
      <c r="D23" s="60" t="str">
        <f t="array" aca="1" ref="D23" ca="1">IF(
    VLOOKUP(
        $A23,
        _xlfn._xlws.FILTER(
            INDIRECT("'"&amp;D$62&amp;"'!A2:G1000"), (INDIRECT("'"&amp;D$62&amp;"'!B2:B1000")=$B23) * (INDIRECT("'"&amp;D$62&amp;"'!C2:C1000")=$C23)
        ),
        5,
        FALSE
    )="",
    "",
    VLOOKUP(
        $A23,
        _xlfn._xlws.FILTER(
            INDIRECT("'"&amp;D$62&amp;"'!A2:G1000"), (INDIRECT("'"&amp;D$62&amp;"'!B2:B1000")=$B23) * (INDIRECT("'"&amp;D$62&amp;"'!C2:C1000")=$C23)
        ),
        7,
        FALSE
    )
)</f>
        <v>Sim</v>
      </c>
      <c r="E23" s="60" t="str">
        <f t="array" aca="1" ref="E23" ca="1">IF(
    VLOOKUP(
        $A23,
        _xlfn._xlws.FILTER(
            INDIRECT("'"&amp;E$62&amp;"'!A2:G1000"), (INDIRECT("'"&amp;E$62&amp;"'!B2:B1000")=$B23) * (INDIRECT("'"&amp;E$62&amp;"'!C2:C1000")=$C23)
        ),
        5,
        FALSE
    )="",
    "",
    VLOOKUP(
        $A23,
        _xlfn._xlws.FILTER(
            INDIRECT("'"&amp;E$62&amp;"'!A2:G1000"), (INDIRECT("'"&amp;E$62&amp;"'!B2:B1000")=$B23) * (INDIRECT("'"&amp;E$62&amp;"'!C2:C1000")=$C23)
        ),
        7,
        FALSE
    )
)</f>
        <v>Sim</v>
      </c>
      <c r="F23" s="60" t="str">
        <f t="array" aca="1" ref="F23" ca="1">IF(
    VLOOKUP(
        $A23,
        _xlfn._xlws.FILTER(
            INDIRECT("'"&amp;F$62&amp;"'!A2:G1000"), (INDIRECT("'"&amp;F$62&amp;"'!B2:B1000")=$B23) * (INDIRECT("'"&amp;F$62&amp;"'!C2:C1000")=$C23)
        ),
        5,
        FALSE
    )="",
    "",
    VLOOKUP(
        $A23,
        _xlfn._xlws.FILTER(
            INDIRECT("'"&amp;F$62&amp;"'!A2:G1000"), (INDIRECT("'"&amp;F$62&amp;"'!B2:B1000")=$B23) * (INDIRECT("'"&amp;F$62&amp;"'!C2:C1000")=$C23)
        ),
        7,
        FALSE
    )
)</f>
        <v>Sim</v>
      </c>
      <c r="G23" s="60" t="str">
        <f t="array" aca="1" ref="G23" ca="1">IF(
    VLOOKUP(
        $A23,
        _xlfn._xlws.FILTER(
            INDIRECT("'"&amp;G$62&amp;"'!A2:G1000"), (INDIRECT("'"&amp;G$62&amp;"'!B2:B1000")=$B23) * (INDIRECT("'"&amp;G$62&amp;"'!C2:C1000")=$C23)
        ),
        5,
        FALSE
    )="",
    "",
    VLOOKUP(
        $A23,
        _xlfn._xlws.FILTER(
            INDIRECT("'"&amp;G$62&amp;"'!A2:G1000"), (INDIRECT("'"&amp;G$62&amp;"'!B2:B1000")=$B23) * (INDIRECT("'"&amp;G$62&amp;"'!C2:C1000")=$C23)
        ),
        7,
        FALSE
    )
)</f>
        <v>Sim</v>
      </c>
      <c r="H23" s="60" t="str">
        <f t="array" aca="1" ref="H23" ca="1">IF(
    VLOOKUP(
        $A23,
        _xlfn._xlws.FILTER(
            INDIRECT("'"&amp;H$62&amp;"'!A2:G1000"), (INDIRECT("'"&amp;H$62&amp;"'!B2:B1000")=$B23) * (INDIRECT("'"&amp;H$62&amp;"'!C2:C1000")=$C23)
        ),
        5,
        FALSE
    )="",
    "",
    VLOOKUP(
        $A23,
        _xlfn._xlws.FILTER(
            INDIRECT("'"&amp;H$62&amp;"'!A2:G1000"), (INDIRECT("'"&amp;H$62&amp;"'!B2:B1000")=$B23) * (INDIRECT("'"&amp;H$62&amp;"'!C2:C1000")=$C23)
        ),
        7,
        FALSE
    )
)</f>
        <v>Sim</v>
      </c>
      <c r="I23" s="60" t="str">
        <f t="array" aca="1" ref="I23" ca="1">IF(
    VLOOKUP(
        $A23,
        _xlfn._xlws.FILTER(
            INDIRECT("'"&amp;I$62&amp;"'!A2:G1000"), (INDIRECT("'"&amp;I$62&amp;"'!B2:B1000")=$B23) * (INDIRECT("'"&amp;I$62&amp;"'!C2:C1000")=$C23)
        ),
        5,
        FALSE
    )="",
    "",
    VLOOKUP(
        $A23,
        _xlfn._xlws.FILTER(
            INDIRECT("'"&amp;I$62&amp;"'!A2:G1000"), (INDIRECT("'"&amp;I$62&amp;"'!B2:B1000")=$B23) * (INDIRECT("'"&amp;I$62&amp;"'!C2:C1000")=$C23)
        ),
        7,
        FALSE
    )
)</f>
        <v>Sim</v>
      </c>
      <c r="J23" s="60" t="str">
        <f t="array" aca="1" ref="J23" ca="1">IF(
    VLOOKUP(
        $A23,
        _xlfn._xlws.FILTER(
            INDIRECT("'"&amp;J$62&amp;"'!A2:G1000"), (INDIRECT("'"&amp;J$62&amp;"'!B2:B1000")=$B23) * (INDIRECT("'"&amp;J$62&amp;"'!C2:C1000")=$C23)
        ),
        5,
        FALSE
    )="",
    "",
    VLOOKUP(
        $A23,
        _xlfn._xlws.FILTER(
            INDIRECT("'"&amp;J$62&amp;"'!A2:G1000"), (INDIRECT("'"&amp;J$62&amp;"'!B2:B1000")=$B23) * (INDIRECT("'"&amp;J$62&amp;"'!C2:C1000")=$C23)
        ),
        7,
        FALSE
    )
)</f>
        <v>Sim</v>
      </c>
      <c r="K23" s="60" t="str">
        <f t="array" aca="1" ref="K23" ca="1">IF(
    VLOOKUP(
        $A23,
        _xlfn._xlws.FILTER(
            INDIRECT("'"&amp;K$62&amp;"'!A2:G1000"), (INDIRECT("'"&amp;K$62&amp;"'!B2:B1000")=$B23) * (INDIRECT("'"&amp;K$62&amp;"'!C2:C1000")=$C23)
        ),
        5,
        FALSE
    )="",
    "",
    VLOOKUP(
        $A23,
        _xlfn._xlws.FILTER(
            INDIRECT("'"&amp;K$62&amp;"'!A2:G1000"), (INDIRECT("'"&amp;K$62&amp;"'!B2:B1000")=$B23) * (INDIRECT("'"&amp;K$62&amp;"'!C2:C1000")=$C23)
        ),
        7,
        FALSE
    )
)</f>
        <v>Sim</v>
      </c>
      <c r="L23" s="60" t="str">
        <f t="array" aca="1" ref="L23" ca="1">IF(
    VLOOKUP(
        $A23,
        _xlfn._xlws.FILTER(
            INDIRECT("'"&amp;L$62&amp;"'!A2:G1000"), (INDIRECT("'"&amp;L$62&amp;"'!B2:B1000")=$B23) * (INDIRECT("'"&amp;L$62&amp;"'!C2:C1000")=$C23)
        ),
        5,
        FALSE
    )="",
    "",
    VLOOKUP(
        $A23,
        _xlfn._xlws.FILTER(
            INDIRECT("'"&amp;L$62&amp;"'!A2:G1000"), (INDIRECT("'"&amp;L$62&amp;"'!B2:B1000")=$B23) * (INDIRECT("'"&amp;L$62&amp;"'!C2:C1000")=$C23)
        ),
        7,
        FALSE
    )
)</f>
        <v>Sim</v>
      </c>
      <c r="M23" s="60" t="str">
        <f t="array" aca="1" ref="M23" ca="1">IF(
    VLOOKUP(
        $A23,
        _xlfn._xlws.FILTER(
            INDIRECT("'"&amp;M$62&amp;"'!A2:G1000"), (INDIRECT("'"&amp;M$62&amp;"'!B2:B1000")=$B23) * (INDIRECT("'"&amp;M$62&amp;"'!C2:C1000")=$C23)
        ),
        5,
        FALSE
    )="",
    "",
    VLOOKUP(
        $A23,
        _xlfn._xlws.FILTER(
            INDIRECT("'"&amp;M$62&amp;"'!A2:G1000"), (INDIRECT("'"&amp;M$62&amp;"'!B2:B1000")=$B23) * (INDIRECT("'"&amp;M$62&amp;"'!C2:C1000")=$C23)
        ),
        7,
        FALSE
    )
)</f>
        <v>Sim</v>
      </c>
      <c r="N23" s="60" t="str">
        <f t="array" aca="1" ref="N23" ca="1">IF(
    VLOOKUP(
        $A23,
        _xlfn._xlws.FILTER(
            INDIRECT("'"&amp;N$62&amp;"'!A2:G1000"), (INDIRECT("'"&amp;N$62&amp;"'!B2:B1000")=$B23) * (INDIRECT("'"&amp;N$62&amp;"'!C2:C1000")=$C23)
        ),
        5,
        FALSE
    )="",
    "",
    VLOOKUP(
        $A23,
        _xlfn._xlws.FILTER(
            INDIRECT("'"&amp;N$62&amp;"'!A2:G1000"), (INDIRECT("'"&amp;N$62&amp;"'!B2:B1000")=$B23) * (INDIRECT("'"&amp;N$62&amp;"'!C2:C1000")=$C23)
        ),
        7,
        FALSE
    )
)</f>
        <v>Sim</v>
      </c>
      <c r="O23" s="60" t="str">
        <f t="array" aca="1" ref="O23" ca="1">IF(
    VLOOKUP(
        $A23,
        _xlfn._xlws.FILTER(
            INDIRECT("'"&amp;O$62&amp;"'!A2:G1000"), (INDIRECT("'"&amp;O$62&amp;"'!B2:B1000")=$B23) * (INDIRECT("'"&amp;O$62&amp;"'!C2:C1000")=$C23)
        ),
        5,
        FALSE
    )="",
    "",
    VLOOKUP(
        $A23,
        _xlfn._xlws.FILTER(
            INDIRECT("'"&amp;O$62&amp;"'!A2:G1000"), (INDIRECT("'"&amp;O$62&amp;"'!B2:B1000")=$B23) * (INDIRECT("'"&amp;O$62&amp;"'!C2:C1000")=$C23)
        ),
        7,
        FALSE
    )
)</f>
        <v/>
      </c>
      <c r="P23" s="60" t="str">
        <f t="array" aca="1" ref="P23" ca="1">IF(
    VLOOKUP(
        $A23,
        _xlfn._xlws.FILTER(
            INDIRECT("'"&amp;P$62&amp;"'!A2:G1000"), (INDIRECT("'"&amp;P$62&amp;"'!B2:B1000")=$B23) * (INDIRECT("'"&amp;P$62&amp;"'!C2:C1000")=$C23)
        ),
        5,
        FALSE
    )="",
    "",
    VLOOKUP(
        $A23,
        _xlfn._xlws.FILTER(
            INDIRECT("'"&amp;P$62&amp;"'!A2:G1000"), (INDIRECT("'"&amp;P$62&amp;"'!B2:B1000")=$B23) * (INDIRECT("'"&amp;P$62&amp;"'!C2:C1000")=$C23)
        ),
        7,
        FALSE
    )
)</f>
        <v/>
      </c>
    </row>
    <row r="24" spans="1:16">
      <c r="A24" s="29" t="s">
        <v>37</v>
      </c>
      <c r="B24" s="60" t="s">
        <v>92</v>
      </c>
      <c r="C24" s="60" t="s">
        <v>75</v>
      </c>
      <c r="D24" s="60" t="str">
        <f t="array" aca="1" ref="D24" ca="1">IF(
    VLOOKUP(
        $A24,
        _xlfn._xlws.FILTER(
            INDIRECT("'"&amp;D$62&amp;"'!A2:G1000"), (INDIRECT("'"&amp;D$62&amp;"'!B2:B1000")=$B24) * (INDIRECT("'"&amp;D$62&amp;"'!C2:C1000")=$C24)
        ),
        5,
        FALSE
    )="",
    "",
    VLOOKUP(
        $A24,
        _xlfn._xlws.FILTER(
            INDIRECT("'"&amp;D$62&amp;"'!A2:G1000"), (INDIRECT("'"&amp;D$62&amp;"'!B2:B1000")=$B24) * (INDIRECT("'"&amp;D$62&amp;"'!C2:C1000")=$C24)
        ),
        7,
        FALSE
    )
)</f>
        <v>Sim</v>
      </c>
      <c r="E24" s="60" t="str">
        <f t="array" aca="1" ref="E24" ca="1">IF(
    VLOOKUP(
        $A24,
        _xlfn._xlws.FILTER(
            INDIRECT("'"&amp;E$62&amp;"'!A2:G1000"), (INDIRECT("'"&amp;E$62&amp;"'!B2:B1000")=$B24) * (INDIRECT("'"&amp;E$62&amp;"'!C2:C1000")=$C24)
        ),
        5,
        FALSE
    )="",
    "",
    VLOOKUP(
        $A24,
        _xlfn._xlws.FILTER(
            INDIRECT("'"&amp;E$62&amp;"'!A2:G1000"), (INDIRECT("'"&amp;E$62&amp;"'!B2:B1000")=$B24) * (INDIRECT("'"&amp;E$62&amp;"'!C2:C1000")=$C24)
        ),
        7,
        FALSE
    )
)</f>
        <v>Sim</v>
      </c>
      <c r="F24" s="60" t="str">
        <f t="array" aca="1" ref="F24" ca="1">IF(
    VLOOKUP(
        $A24,
        _xlfn._xlws.FILTER(
            INDIRECT("'"&amp;F$62&amp;"'!A2:G1000"), (INDIRECT("'"&amp;F$62&amp;"'!B2:B1000")=$B24) * (INDIRECT("'"&amp;F$62&amp;"'!C2:C1000")=$C24)
        ),
        5,
        FALSE
    )="",
    "",
    VLOOKUP(
        $A24,
        _xlfn._xlws.FILTER(
            INDIRECT("'"&amp;F$62&amp;"'!A2:G1000"), (INDIRECT("'"&amp;F$62&amp;"'!B2:B1000")=$B24) * (INDIRECT("'"&amp;F$62&amp;"'!C2:C1000")=$C24)
        ),
        7,
        FALSE
    )
)</f>
        <v>Sim</v>
      </c>
      <c r="G24" s="60" t="str">
        <f t="array" aca="1" ref="G24" ca="1">IF(
    VLOOKUP(
        $A24,
        _xlfn._xlws.FILTER(
            INDIRECT("'"&amp;G$62&amp;"'!A2:G1000"), (INDIRECT("'"&amp;G$62&amp;"'!B2:B1000")=$B24) * (INDIRECT("'"&amp;G$62&amp;"'!C2:C1000")=$C24)
        ),
        5,
        FALSE
    )="",
    "",
    VLOOKUP(
        $A24,
        _xlfn._xlws.FILTER(
            INDIRECT("'"&amp;G$62&amp;"'!A2:G1000"), (INDIRECT("'"&amp;G$62&amp;"'!B2:B1000")=$B24) * (INDIRECT("'"&amp;G$62&amp;"'!C2:C1000")=$C24)
        ),
        7,
        FALSE
    )
)</f>
        <v>Sim</v>
      </c>
      <c r="H24" s="60" t="str">
        <f t="array" aca="1" ref="H24" ca="1">IF(
    VLOOKUP(
        $A24,
        _xlfn._xlws.FILTER(
            INDIRECT("'"&amp;H$62&amp;"'!A2:G1000"), (INDIRECT("'"&amp;H$62&amp;"'!B2:B1000")=$B24) * (INDIRECT("'"&amp;H$62&amp;"'!C2:C1000")=$C24)
        ),
        5,
        FALSE
    )="",
    "",
    VLOOKUP(
        $A24,
        _xlfn._xlws.FILTER(
            INDIRECT("'"&amp;H$62&amp;"'!A2:G1000"), (INDIRECT("'"&amp;H$62&amp;"'!B2:B1000")=$B24) * (INDIRECT("'"&amp;H$62&amp;"'!C2:C1000")=$C24)
        ),
        7,
        FALSE
    )
)</f>
        <v>Sim</v>
      </c>
      <c r="I24" s="60" t="str">
        <f t="array" aca="1" ref="I24" ca="1">IF(
    VLOOKUP(
        $A24,
        _xlfn._xlws.FILTER(
            INDIRECT("'"&amp;I$62&amp;"'!A2:G1000"), (INDIRECT("'"&amp;I$62&amp;"'!B2:B1000")=$B24) * (INDIRECT("'"&amp;I$62&amp;"'!C2:C1000")=$C24)
        ),
        5,
        FALSE
    )="",
    "",
    VLOOKUP(
        $A24,
        _xlfn._xlws.FILTER(
            INDIRECT("'"&amp;I$62&amp;"'!A2:G1000"), (INDIRECT("'"&amp;I$62&amp;"'!B2:B1000")=$B24) * (INDIRECT("'"&amp;I$62&amp;"'!C2:C1000")=$C24)
        ),
        7,
        FALSE
    )
)</f>
        <v>Sim</v>
      </c>
      <c r="J24" s="60" t="str">
        <f t="array" aca="1" ref="J24" ca="1">IF(
    VLOOKUP(
        $A24,
        _xlfn._xlws.FILTER(
            INDIRECT("'"&amp;J$62&amp;"'!A2:G1000"), (INDIRECT("'"&amp;J$62&amp;"'!B2:B1000")=$B24) * (INDIRECT("'"&amp;J$62&amp;"'!C2:C1000")=$C24)
        ),
        5,
        FALSE
    )="",
    "",
    VLOOKUP(
        $A24,
        _xlfn._xlws.FILTER(
            INDIRECT("'"&amp;J$62&amp;"'!A2:G1000"), (INDIRECT("'"&amp;J$62&amp;"'!B2:B1000")=$B24) * (INDIRECT("'"&amp;J$62&amp;"'!C2:C1000")=$C24)
        ),
        7,
        FALSE
    )
)</f>
        <v>Sim</v>
      </c>
      <c r="K24" s="60" t="str">
        <f t="array" aca="1" ref="K24" ca="1">IF(
    VLOOKUP(
        $A24,
        _xlfn._xlws.FILTER(
            INDIRECT("'"&amp;K$62&amp;"'!A2:G1000"), (INDIRECT("'"&amp;K$62&amp;"'!B2:B1000")=$B24) * (INDIRECT("'"&amp;K$62&amp;"'!C2:C1000")=$C24)
        ),
        5,
        FALSE
    )="",
    "",
    VLOOKUP(
        $A24,
        _xlfn._xlws.FILTER(
            INDIRECT("'"&amp;K$62&amp;"'!A2:G1000"), (INDIRECT("'"&amp;K$62&amp;"'!B2:B1000")=$B24) * (INDIRECT("'"&amp;K$62&amp;"'!C2:C1000")=$C24)
        ),
        7,
        FALSE
    )
)</f>
        <v>Sim</v>
      </c>
      <c r="L24" s="60" t="str">
        <f t="array" aca="1" ref="L24" ca="1">IF(
    VLOOKUP(
        $A24,
        _xlfn._xlws.FILTER(
            INDIRECT("'"&amp;L$62&amp;"'!A2:G1000"), (INDIRECT("'"&amp;L$62&amp;"'!B2:B1000")=$B24) * (INDIRECT("'"&amp;L$62&amp;"'!C2:C1000")=$C24)
        ),
        5,
        FALSE
    )="",
    "",
    VLOOKUP(
        $A24,
        _xlfn._xlws.FILTER(
            INDIRECT("'"&amp;L$62&amp;"'!A2:G1000"), (INDIRECT("'"&amp;L$62&amp;"'!B2:B1000")=$B24) * (INDIRECT("'"&amp;L$62&amp;"'!C2:C1000")=$C24)
        ),
        7,
        FALSE
    )
)</f>
        <v>Sim</v>
      </c>
      <c r="M24" s="60" t="str">
        <f t="array" aca="1" ref="M24" ca="1">IF(
    VLOOKUP(
        $A24,
        _xlfn._xlws.FILTER(
            INDIRECT("'"&amp;M$62&amp;"'!A2:G1000"), (INDIRECT("'"&amp;M$62&amp;"'!B2:B1000")=$B24) * (INDIRECT("'"&amp;M$62&amp;"'!C2:C1000")=$C24)
        ),
        5,
        FALSE
    )="",
    "",
    VLOOKUP(
        $A24,
        _xlfn._xlws.FILTER(
            INDIRECT("'"&amp;M$62&amp;"'!A2:G1000"), (INDIRECT("'"&amp;M$62&amp;"'!B2:B1000")=$B24) * (INDIRECT("'"&amp;M$62&amp;"'!C2:C1000")=$C24)
        ),
        7,
        FALSE
    )
)</f>
        <v>Sim</v>
      </c>
      <c r="N24" s="60" t="str">
        <f t="array" aca="1" ref="N24" ca="1">IF(
    VLOOKUP(
        $A24,
        _xlfn._xlws.FILTER(
            INDIRECT("'"&amp;N$62&amp;"'!A2:G1000"), (INDIRECT("'"&amp;N$62&amp;"'!B2:B1000")=$B24) * (INDIRECT("'"&amp;N$62&amp;"'!C2:C1000")=$C24)
        ),
        5,
        FALSE
    )="",
    "",
    VLOOKUP(
        $A24,
        _xlfn._xlws.FILTER(
            INDIRECT("'"&amp;N$62&amp;"'!A2:G1000"), (INDIRECT("'"&amp;N$62&amp;"'!B2:B1000")=$B24) * (INDIRECT("'"&amp;N$62&amp;"'!C2:C1000")=$C24)
        ),
        7,
        FALSE
    )
)</f>
        <v>Sim</v>
      </c>
      <c r="O24" s="60" t="str">
        <f t="array" aca="1" ref="O24" ca="1">IF(
    VLOOKUP(
        $A24,
        _xlfn._xlws.FILTER(
            INDIRECT("'"&amp;O$62&amp;"'!A2:G1000"), (INDIRECT("'"&amp;O$62&amp;"'!B2:B1000")=$B24) * (INDIRECT("'"&amp;O$62&amp;"'!C2:C1000")=$C24)
        ),
        5,
        FALSE
    )="",
    "",
    VLOOKUP(
        $A24,
        _xlfn._xlws.FILTER(
            INDIRECT("'"&amp;O$62&amp;"'!A2:G1000"), (INDIRECT("'"&amp;O$62&amp;"'!B2:B1000")=$B24) * (INDIRECT("'"&amp;O$62&amp;"'!C2:C1000")=$C24)
        ),
        7,
        FALSE
    )
)</f>
        <v/>
      </c>
      <c r="P24" s="60" t="str">
        <f t="array" aca="1" ref="P24" ca="1">IF(
    VLOOKUP(
        $A24,
        _xlfn._xlws.FILTER(
            INDIRECT("'"&amp;P$62&amp;"'!A2:G1000"), (INDIRECT("'"&amp;P$62&amp;"'!B2:B1000")=$B24) * (INDIRECT("'"&amp;P$62&amp;"'!C2:C1000")=$C24)
        ),
        5,
        FALSE
    )="",
    "",
    VLOOKUP(
        $A24,
        _xlfn._xlws.FILTER(
            INDIRECT("'"&amp;P$62&amp;"'!A2:G1000"), (INDIRECT("'"&amp;P$62&amp;"'!B2:B1000")=$B24) * (INDIRECT("'"&amp;P$62&amp;"'!C2:C1000")=$C24)
        ),
        7,
        FALSE
    )
)</f>
        <v/>
      </c>
    </row>
    <row r="25" spans="1:16">
      <c r="A25" s="29" t="s">
        <v>37</v>
      </c>
      <c r="B25" s="60" t="s">
        <v>93</v>
      </c>
      <c r="C25" s="60" t="s">
        <v>75</v>
      </c>
      <c r="D25" s="60" t="str">
        <f t="array" aca="1" ref="D25" ca="1">IF(
    VLOOKUP(
        $A25,
        _xlfn._xlws.FILTER(
            INDIRECT("'"&amp;D$62&amp;"'!A2:G1000"), (INDIRECT("'"&amp;D$62&amp;"'!B2:B1000")=$B25) * (INDIRECT("'"&amp;D$62&amp;"'!C2:C1000")=$C25)
        ),
        5,
        FALSE
    )="",
    "",
    VLOOKUP(
        $A25,
        _xlfn._xlws.FILTER(
            INDIRECT("'"&amp;D$62&amp;"'!A2:G1000"), (INDIRECT("'"&amp;D$62&amp;"'!B2:B1000")=$B25) * (INDIRECT("'"&amp;D$62&amp;"'!C2:C1000")=$C25)
        ),
        7,
        FALSE
    )
)</f>
        <v>Sim</v>
      </c>
      <c r="E25" s="60" t="str">
        <f t="array" aca="1" ref="E25" ca="1">IF(
    VLOOKUP(
        $A25,
        _xlfn._xlws.FILTER(
            INDIRECT("'"&amp;E$62&amp;"'!A2:G1000"), (INDIRECT("'"&amp;E$62&amp;"'!B2:B1000")=$B25) * (INDIRECT("'"&amp;E$62&amp;"'!C2:C1000")=$C25)
        ),
        5,
        FALSE
    )="",
    "",
    VLOOKUP(
        $A25,
        _xlfn._xlws.FILTER(
            INDIRECT("'"&amp;E$62&amp;"'!A2:G1000"), (INDIRECT("'"&amp;E$62&amp;"'!B2:B1000")=$B25) * (INDIRECT("'"&amp;E$62&amp;"'!C2:C1000")=$C25)
        ),
        7,
        FALSE
    )
)</f>
        <v>Sim</v>
      </c>
      <c r="F25" s="60" t="str">
        <f t="array" aca="1" ref="F25" ca="1">IF(
    VLOOKUP(
        $A25,
        _xlfn._xlws.FILTER(
            INDIRECT("'"&amp;F$62&amp;"'!A2:G1000"), (INDIRECT("'"&amp;F$62&amp;"'!B2:B1000")=$B25) * (INDIRECT("'"&amp;F$62&amp;"'!C2:C1000")=$C25)
        ),
        5,
        FALSE
    )="",
    "",
    VLOOKUP(
        $A25,
        _xlfn._xlws.FILTER(
            INDIRECT("'"&amp;F$62&amp;"'!A2:G1000"), (INDIRECT("'"&amp;F$62&amp;"'!B2:B1000")=$B25) * (INDIRECT("'"&amp;F$62&amp;"'!C2:C1000")=$C25)
        ),
        7,
        FALSE
    )
)</f>
        <v>Sim</v>
      </c>
      <c r="G25" s="60" t="str">
        <f t="array" aca="1" ref="G25" ca="1">IF(
    VLOOKUP(
        $A25,
        _xlfn._xlws.FILTER(
            INDIRECT("'"&amp;G$62&amp;"'!A2:G1000"), (INDIRECT("'"&amp;G$62&amp;"'!B2:B1000")=$B25) * (INDIRECT("'"&amp;G$62&amp;"'!C2:C1000")=$C25)
        ),
        5,
        FALSE
    )="",
    "",
    VLOOKUP(
        $A25,
        _xlfn._xlws.FILTER(
            INDIRECT("'"&amp;G$62&amp;"'!A2:G1000"), (INDIRECT("'"&amp;G$62&amp;"'!B2:B1000")=$B25) * (INDIRECT("'"&amp;G$62&amp;"'!C2:C1000")=$C25)
        ),
        7,
        FALSE
    )
)</f>
        <v>Sim</v>
      </c>
      <c r="H25" s="60" t="str">
        <f t="array" aca="1" ref="H25" ca="1">IF(
    VLOOKUP(
        $A25,
        _xlfn._xlws.FILTER(
            INDIRECT("'"&amp;H$62&amp;"'!A2:G1000"), (INDIRECT("'"&amp;H$62&amp;"'!B2:B1000")=$B25) * (INDIRECT("'"&amp;H$62&amp;"'!C2:C1000")=$C25)
        ),
        5,
        FALSE
    )="",
    "",
    VLOOKUP(
        $A25,
        _xlfn._xlws.FILTER(
            INDIRECT("'"&amp;H$62&amp;"'!A2:G1000"), (INDIRECT("'"&amp;H$62&amp;"'!B2:B1000")=$B25) * (INDIRECT("'"&amp;H$62&amp;"'!C2:C1000")=$C25)
        ),
        7,
        FALSE
    )
)</f>
        <v>Sim</v>
      </c>
      <c r="I25" s="60" t="str">
        <f t="array" aca="1" ref="I25" ca="1">IF(
    VLOOKUP(
        $A25,
        _xlfn._xlws.FILTER(
            INDIRECT("'"&amp;I$62&amp;"'!A2:G1000"), (INDIRECT("'"&amp;I$62&amp;"'!B2:B1000")=$B25) * (INDIRECT("'"&amp;I$62&amp;"'!C2:C1000")=$C25)
        ),
        5,
        FALSE
    )="",
    "",
    VLOOKUP(
        $A25,
        _xlfn._xlws.FILTER(
            INDIRECT("'"&amp;I$62&amp;"'!A2:G1000"), (INDIRECT("'"&amp;I$62&amp;"'!B2:B1000")=$B25) * (INDIRECT("'"&amp;I$62&amp;"'!C2:C1000")=$C25)
        ),
        7,
        FALSE
    )
)</f>
        <v>Não</v>
      </c>
      <c r="J25" s="60" t="str">
        <f t="array" aca="1" ref="J25" ca="1">IF(
    VLOOKUP(
        $A25,
        _xlfn._xlws.FILTER(
            INDIRECT("'"&amp;J$62&amp;"'!A2:G1000"), (INDIRECT("'"&amp;J$62&amp;"'!B2:B1000")=$B25) * (INDIRECT("'"&amp;J$62&amp;"'!C2:C1000")=$C25)
        ),
        5,
        FALSE
    )="",
    "",
    VLOOKUP(
        $A25,
        _xlfn._xlws.FILTER(
            INDIRECT("'"&amp;J$62&amp;"'!A2:G1000"), (INDIRECT("'"&amp;J$62&amp;"'!B2:B1000")=$B25) * (INDIRECT("'"&amp;J$62&amp;"'!C2:C1000")=$C25)
        ),
        7,
        FALSE
    )
)</f>
        <v>Sim</v>
      </c>
      <c r="K25" s="60" t="str">
        <f t="array" aca="1" ref="K25" ca="1">IF(
    VLOOKUP(
        $A25,
        _xlfn._xlws.FILTER(
            INDIRECT("'"&amp;K$62&amp;"'!A2:G1000"), (INDIRECT("'"&amp;K$62&amp;"'!B2:B1000")=$B25) * (INDIRECT("'"&amp;K$62&amp;"'!C2:C1000")=$C25)
        ),
        5,
        FALSE
    )="",
    "",
    VLOOKUP(
        $A25,
        _xlfn._xlws.FILTER(
            INDIRECT("'"&amp;K$62&amp;"'!A2:G1000"), (INDIRECT("'"&amp;K$62&amp;"'!B2:B1000")=$B25) * (INDIRECT("'"&amp;K$62&amp;"'!C2:C1000")=$C25)
        ),
        7,
        FALSE
    )
)</f>
        <v>Sim</v>
      </c>
      <c r="L25" s="60" t="str">
        <f t="array" aca="1" ref="L25" ca="1">IF(
    VLOOKUP(
        $A25,
        _xlfn._xlws.FILTER(
            INDIRECT("'"&amp;L$62&amp;"'!A2:G1000"), (INDIRECT("'"&amp;L$62&amp;"'!B2:B1000")=$B25) * (INDIRECT("'"&amp;L$62&amp;"'!C2:C1000")=$C25)
        ),
        5,
        FALSE
    )="",
    "",
    VLOOKUP(
        $A25,
        _xlfn._xlws.FILTER(
            INDIRECT("'"&amp;L$62&amp;"'!A2:G1000"), (INDIRECT("'"&amp;L$62&amp;"'!B2:B1000")=$B25) * (INDIRECT("'"&amp;L$62&amp;"'!C2:C1000")=$C25)
        ),
        7,
        FALSE
    )
)</f>
        <v>Sim</v>
      </c>
      <c r="M25" s="60" t="str">
        <f t="array" aca="1" ref="M25" ca="1">IF(
    VLOOKUP(
        $A25,
        _xlfn._xlws.FILTER(
            INDIRECT("'"&amp;M$62&amp;"'!A2:G1000"), (INDIRECT("'"&amp;M$62&amp;"'!B2:B1000")=$B25) * (INDIRECT("'"&amp;M$62&amp;"'!C2:C1000")=$C25)
        ),
        5,
        FALSE
    )="",
    "",
    VLOOKUP(
        $A25,
        _xlfn._xlws.FILTER(
            INDIRECT("'"&amp;M$62&amp;"'!A2:G1000"), (INDIRECT("'"&amp;M$62&amp;"'!B2:B1000")=$B25) * (INDIRECT("'"&amp;M$62&amp;"'!C2:C1000")=$C25)
        ),
        7,
        FALSE
    )
)</f>
        <v>Sim</v>
      </c>
      <c r="N25" s="60" t="str">
        <f t="array" aca="1" ref="N25" ca="1">IF(
    VLOOKUP(
        $A25,
        _xlfn._xlws.FILTER(
            INDIRECT("'"&amp;N$62&amp;"'!A2:G1000"), (INDIRECT("'"&amp;N$62&amp;"'!B2:B1000")=$B25) * (INDIRECT("'"&amp;N$62&amp;"'!C2:C1000")=$C25)
        ),
        5,
        FALSE
    )="",
    "",
    VLOOKUP(
        $A25,
        _xlfn._xlws.FILTER(
            INDIRECT("'"&amp;N$62&amp;"'!A2:G1000"), (INDIRECT("'"&amp;N$62&amp;"'!B2:B1000")=$B25) * (INDIRECT("'"&amp;N$62&amp;"'!C2:C1000")=$C25)
        ),
        7,
        FALSE
    )
)</f>
        <v>Sim</v>
      </c>
      <c r="O25" s="60" t="str">
        <f t="array" aca="1" ref="O25" ca="1">IF(
    VLOOKUP(
        $A25,
        _xlfn._xlws.FILTER(
            INDIRECT("'"&amp;O$62&amp;"'!A2:G1000"), (INDIRECT("'"&amp;O$62&amp;"'!B2:B1000")=$B25) * (INDIRECT("'"&amp;O$62&amp;"'!C2:C1000")=$C25)
        ),
        5,
        FALSE
    )="",
    "",
    VLOOKUP(
        $A25,
        _xlfn._xlws.FILTER(
            INDIRECT("'"&amp;O$62&amp;"'!A2:G1000"), (INDIRECT("'"&amp;O$62&amp;"'!B2:B1000")=$B25) * (INDIRECT("'"&amp;O$62&amp;"'!C2:C1000")=$C25)
        ),
        7,
        FALSE
    )
)</f>
        <v/>
      </c>
      <c r="P25" s="60" t="str">
        <f t="array" aca="1" ref="P25" ca="1">IF(
    VLOOKUP(
        $A25,
        _xlfn._xlws.FILTER(
            INDIRECT("'"&amp;P$62&amp;"'!A2:G1000"), (INDIRECT("'"&amp;P$62&amp;"'!B2:B1000")=$B25) * (INDIRECT("'"&amp;P$62&amp;"'!C2:C1000")=$C25)
        ),
        5,
        FALSE
    )="",
    "",
    VLOOKUP(
        $A25,
        _xlfn._xlws.FILTER(
            INDIRECT("'"&amp;P$62&amp;"'!A2:G1000"), (INDIRECT("'"&amp;P$62&amp;"'!B2:B1000")=$B25) * (INDIRECT("'"&amp;P$62&amp;"'!C2:C1000")=$C25)
        ),
        7,
        FALSE
    )
)</f>
        <v/>
      </c>
    </row>
    <row r="27" spans="1:16" ht="15.75" customHeight="1">
      <c r="A27" s="77" t="s">
        <v>94</v>
      </c>
      <c r="B27" s="21" t="s">
        <v>72</v>
      </c>
      <c r="C27" s="21" t="s">
        <v>73</v>
      </c>
      <c r="D27" s="74" t="s">
        <v>1</v>
      </c>
      <c r="E27" s="74" t="s">
        <v>2</v>
      </c>
      <c r="F27" s="74" t="s">
        <v>3</v>
      </c>
      <c r="G27" s="74" t="s">
        <v>4</v>
      </c>
      <c r="H27" s="74" t="s">
        <v>5</v>
      </c>
      <c r="I27" s="74" t="s">
        <v>6</v>
      </c>
      <c r="J27" s="74" t="s">
        <v>7</v>
      </c>
      <c r="K27" s="74" t="s">
        <v>8</v>
      </c>
      <c r="L27" s="74" t="s">
        <v>9</v>
      </c>
      <c r="M27" s="74" t="s">
        <v>9</v>
      </c>
      <c r="N27" s="74" t="s">
        <v>10</v>
      </c>
      <c r="O27" s="74" t="s">
        <v>11</v>
      </c>
      <c r="P27" s="74" t="s">
        <v>12</v>
      </c>
    </row>
    <row r="28" spans="1:16">
      <c r="A28" s="31" t="s">
        <v>39</v>
      </c>
      <c r="B28" s="60" t="s">
        <v>95</v>
      </c>
      <c r="C28" s="60" t="s">
        <v>75</v>
      </c>
      <c r="D28" s="60" t="str">
        <f t="array" aca="1" ref="D28" ca="1">IF(
    VLOOKUP(
        $A28,
        _xlfn._xlws.FILTER(
            INDIRECT("'"&amp;D$62&amp;"'!A2:G1000"), (INDIRECT("'"&amp;D$62&amp;"'!B2:B1000")=$B28) * (INDIRECT("'"&amp;D$62&amp;"'!C2:C1000")=$C28)
        ),
        5,
        FALSE
    )="",
    "",
    VLOOKUP(
        $A28,
        _xlfn._xlws.FILTER(
            INDIRECT("'"&amp;D$62&amp;"'!A2:G1000"), (INDIRECT("'"&amp;D$62&amp;"'!B2:B1000")=$B28) * (INDIRECT("'"&amp;D$62&amp;"'!C2:C1000")=$C28)
        ),
        7,
        FALSE
    )
)</f>
        <v>Sim</v>
      </c>
      <c r="E28" s="60" t="str">
        <f t="array" aca="1" ref="E28" ca="1">IF(
    VLOOKUP(
        $A28,
        _xlfn._xlws.FILTER(
            INDIRECT("'"&amp;E$62&amp;"'!A2:G1000"), (INDIRECT("'"&amp;E$62&amp;"'!B2:B1000")=$B28) * (INDIRECT("'"&amp;E$62&amp;"'!C2:C1000")=$C28)
        ),
        5,
        FALSE
    )="",
    "",
    VLOOKUP(
        $A28,
        _xlfn._xlws.FILTER(
            INDIRECT("'"&amp;E$62&amp;"'!A2:G1000"), (INDIRECT("'"&amp;E$62&amp;"'!B2:B1000")=$B28) * (INDIRECT("'"&amp;E$62&amp;"'!C2:C1000")=$C28)
        ),
        7,
        FALSE
    )
)</f>
        <v>Sim</v>
      </c>
      <c r="F28" s="60" t="str">
        <f t="array" aca="1" ref="F28" ca="1">IF(
    VLOOKUP(
        $A28,
        _xlfn._xlws.FILTER(
            INDIRECT("'"&amp;F$62&amp;"'!A2:G1000"), (INDIRECT("'"&amp;F$62&amp;"'!B2:B1000")=$B28) * (INDIRECT("'"&amp;F$62&amp;"'!C2:C1000")=$C28)
        ),
        5,
        FALSE
    )="",
    "",
    VLOOKUP(
        $A28,
        _xlfn._xlws.FILTER(
            INDIRECT("'"&amp;F$62&amp;"'!A2:G1000"), (INDIRECT("'"&amp;F$62&amp;"'!B2:B1000")=$B28) * (INDIRECT("'"&amp;F$62&amp;"'!C2:C1000")=$C28)
        ),
        7,
        FALSE
    )
)</f>
        <v>Sim</v>
      </c>
      <c r="G28" s="60" t="str">
        <f t="array" aca="1" ref="G28" ca="1">IF(
    VLOOKUP(
        $A28,
        _xlfn._xlws.FILTER(
            INDIRECT("'"&amp;G$62&amp;"'!A2:G1000"), (INDIRECT("'"&amp;G$62&amp;"'!B2:B1000")=$B28) * (INDIRECT("'"&amp;G$62&amp;"'!C2:C1000")=$C28)
        ),
        5,
        FALSE
    )="",
    "",
    VLOOKUP(
        $A28,
        _xlfn._xlws.FILTER(
            INDIRECT("'"&amp;G$62&amp;"'!A2:G1000"), (INDIRECT("'"&amp;G$62&amp;"'!B2:B1000")=$B28) * (INDIRECT("'"&amp;G$62&amp;"'!C2:C1000")=$C28)
        ),
        7,
        FALSE
    )
)</f>
        <v>Sim</v>
      </c>
      <c r="H28" s="60" t="str">
        <f t="array" aca="1" ref="H28" ca="1">IF(
    VLOOKUP(
        $A28,
        _xlfn._xlws.FILTER(
            INDIRECT("'"&amp;H$62&amp;"'!A2:G1000"), (INDIRECT("'"&amp;H$62&amp;"'!B2:B1000")=$B28) * (INDIRECT("'"&amp;H$62&amp;"'!C2:C1000")=$C28)
        ),
        5,
        FALSE
    )="",
    "",
    VLOOKUP(
        $A28,
        _xlfn._xlws.FILTER(
            INDIRECT("'"&amp;H$62&amp;"'!A2:G1000"), (INDIRECT("'"&amp;H$62&amp;"'!B2:B1000")=$B28) * (INDIRECT("'"&amp;H$62&amp;"'!C2:C1000")=$C28)
        ),
        7,
        FALSE
    )
)</f>
        <v>Sim</v>
      </c>
      <c r="I28" s="60" t="str">
        <f t="array" aca="1" ref="I28" ca="1">IF(
    VLOOKUP(
        $A28,
        _xlfn._xlws.FILTER(
            INDIRECT("'"&amp;I$62&amp;"'!A2:G1000"), (INDIRECT("'"&amp;I$62&amp;"'!B2:B1000")=$B28) * (INDIRECT("'"&amp;I$62&amp;"'!C2:C1000")=$C28)
        ),
        5,
        FALSE
    )="",
    "",
    VLOOKUP(
        $A28,
        _xlfn._xlws.FILTER(
            INDIRECT("'"&amp;I$62&amp;"'!A2:G1000"), (INDIRECT("'"&amp;I$62&amp;"'!B2:B1000")=$B28) * (INDIRECT("'"&amp;I$62&amp;"'!C2:C1000")=$C28)
        ),
        7,
        FALSE
    )
)</f>
        <v>Sim</v>
      </c>
      <c r="J28" s="60" t="str">
        <f t="array" aca="1" ref="J28" ca="1">IF(
    VLOOKUP(
        $A28,
        _xlfn._xlws.FILTER(
            INDIRECT("'"&amp;J$62&amp;"'!A2:G1000"), (INDIRECT("'"&amp;J$62&amp;"'!B2:B1000")=$B28) * (INDIRECT("'"&amp;J$62&amp;"'!C2:C1000")=$C28)
        ),
        5,
        FALSE
    )="",
    "",
    VLOOKUP(
        $A28,
        _xlfn._xlws.FILTER(
            INDIRECT("'"&amp;J$62&amp;"'!A2:G1000"), (INDIRECT("'"&amp;J$62&amp;"'!B2:B1000")=$B28) * (INDIRECT("'"&amp;J$62&amp;"'!C2:C1000")=$C28)
        ),
        7,
        FALSE
    )
)</f>
        <v>Sim</v>
      </c>
      <c r="K28" s="60" t="str">
        <f t="array" aca="1" ref="K28" ca="1">IF(
    VLOOKUP(
        $A28,
        _xlfn._xlws.FILTER(
            INDIRECT("'"&amp;K$62&amp;"'!A2:G1000"), (INDIRECT("'"&amp;K$62&amp;"'!B2:B1000")=$B28) * (INDIRECT("'"&amp;K$62&amp;"'!C2:C1000")=$C28)
        ),
        5,
        FALSE
    )="",
    "",
    VLOOKUP(
        $A28,
        _xlfn._xlws.FILTER(
            INDIRECT("'"&amp;K$62&amp;"'!A2:G1000"), (INDIRECT("'"&amp;K$62&amp;"'!B2:B1000")=$B28) * (INDIRECT("'"&amp;K$62&amp;"'!C2:C1000")=$C28)
        ),
        7,
        FALSE
    )
)</f>
        <v>Não</v>
      </c>
      <c r="L28" s="60" t="str">
        <f t="array" aca="1" ref="L28" ca="1">IF(
    VLOOKUP(
        $A28,
        _xlfn._xlws.FILTER(
            INDIRECT("'"&amp;L$62&amp;"'!A2:G1000"), (INDIRECT("'"&amp;L$62&amp;"'!B2:B1000")=$B28) * (INDIRECT("'"&amp;L$62&amp;"'!C2:C1000")=$C28)
        ),
        5,
        FALSE
    )="",
    "",
    VLOOKUP(
        $A28,
        _xlfn._xlws.FILTER(
            INDIRECT("'"&amp;L$62&amp;"'!A2:G1000"), (INDIRECT("'"&amp;L$62&amp;"'!B2:B1000")=$B28) * (INDIRECT("'"&amp;L$62&amp;"'!C2:C1000")=$C28)
        ),
        7,
        FALSE
    )
)</f>
        <v>Não</v>
      </c>
      <c r="M28" s="60" t="str">
        <f t="array" aca="1" ref="M28" ca="1">IF(
    VLOOKUP(
        $A28,
        _xlfn._xlws.FILTER(
            INDIRECT("'"&amp;M$62&amp;"'!A2:G1000"), (INDIRECT("'"&amp;M$62&amp;"'!B2:B1000")=$B28) * (INDIRECT("'"&amp;M$62&amp;"'!C2:C1000")=$C28)
        ),
        5,
        FALSE
    )="",
    "",
    VLOOKUP(
        $A28,
        _xlfn._xlws.FILTER(
            INDIRECT("'"&amp;M$62&amp;"'!A2:G1000"), (INDIRECT("'"&amp;M$62&amp;"'!B2:B1000")=$B28) * (INDIRECT("'"&amp;M$62&amp;"'!C2:C1000")=$C28)
        ),
        7,
        FALSE
    )
)</f>
        <v>Não</v>
      </c>
      <c r="N28" s="60" t="str">
        <f t="array" aca="1" ref="N28" ca="1">IF(
    VLOOKUP(
        $A28,
        _xlfn._xlws.FILTER(
            INDIRECT("'"&amp;N$62&amp;"'!A2:G1000"), (INDIRECT("'"&amp;N$62&amp;"'!B2:B1000")=$B28) * (INDIRECT("'"&amp;N$62&amp;"'!C2:C1000")=$C28)
        ),
        5,
        FALSE
    )="",
    "",
    VLOOKUP(
        $A28,
        _xlfn._xlws.FILTER(
            INDIRECT("'"&amp;N$62&amp;"'!A2:G1000"), (INDIRECT("'"&amp;N$62&amp;"'!B2:B1000")=$B28) * (INDIRECT("'"&amp;N$62&amp;"'!C2:C1000")=$C28)
        ),
        7,
        FALSE
    )
)</f>
        <v>Não</v>
      </c>
      <c r="O28" s="60" t="str">
        <f t="array" aca="1" ref="O28" ca="1">IF(
    VLOOKUP(
        $A28,
        _xlfn._xlws.FILTER(
            INDIRECT("'"&amp;O$62&amp;"'!A2:G1000"), (INDIRECT("'"&amp;O$62&amp;"'!B2:B1000")=$B28) * (INDIRECT("'"&amp;O$62&amp;"'!C2:C1000")=$C28)
        ),
        5,
        FALSE
    )="",
    "",
    VLOOKUP(
        $A28,
        _xlfn._xlws.FILTER(
            INDIRECT("'"&amp;O$62&amp;"'!A2:G1000"), (INDIRECT("'"&amp;O$62&amp;"'!B2:B1000")=$B28) * (INDIRECT("'"&amp;O$62&amp;"'!C2:C1000")=$C28)
        ),
        7,
        FALSE
    )
)</f>
        <v/>
      </c>
      <c r="P28" s="60" t="str">
        <f t="array" aca="1" ref="P28" ca="1">IF(
    VLOOKUP(
        $A28,
        _xlfn._xlws.FILTER(
            INDIRECT("'"&amp;P$62&amp;"'!A2:G1000"), (INDIRECT("'"&amp;P$62&amp;"'!B2:B1000")=$B28) * (INDIRECT("'"&amp;P$62&amp;"'!C2:C1000")=$C28)
        ),
        5,
        FALSE
    )="",
    "",
    VLOOKUP(
        $A28,
        _xlfn._xlws.FILTER(
            INDIRECT("'"&amp;P$62&amp;"'!A2:G1000"), (INDIRECT("'"&amp;P$62&amp;"'!B2:B1000")=$B28) * (INDIRECT("'"&amp;P$62&amp;"'!C2:C1000")=$C28)
        ),
        7,
        FALSE
    )
)</f>
        <v/>
      </c>
    </row>
    <row r="29" spans="1:16">
      <c r="A29" s="31" t="s">
        <v>39</v>
      </c>
      <c r="B29" s="60" t="s">
        <v>96</v>
      </c>
      <c r="C29" s="60" t="s">
        <v>75</v>
      </c>
      <c r="D29" s="60" t="str">
        <f t="array" aca="1" ref="D29" ca="1">IF(
    VLOOKUP(
        $A29,
        _xlfn._xlws.FILTER(
            INDIRECT("'"&amp;D$62&amp;"'!A2:G1000"), (INDIRECT("'"&amp;D$62&amp;"'!B2:B1000")=$B29) * (INDIRECT("'"&amp;D$62&amp;"'!C2:C1000")=$C29)
        ),
        5,
        FALSE
    )="",
    "",
    VLOOKUP(
        $A29,
        _xlfn._xlws.FILTER(
            INDIRECT("'"&amp;D$62&amp;"'!A2:G1000"), (INDIRECT("'"&amp;D$62&amp;"'!B2:B1000")=$B29) * (INDIRECT("'"&amp;D$62&amp;"'!C2:C1000")=$C29)
        ),
        7,
        FALSE
    )
)</f>
        <v>Sim</v>
      </c>
      <c r="E29" s="60" t="str">
        <f t="array" aca="1" ref="E29" ca="1">IF(
    VLOOKUP(
        $A29,
        _xlfn._xlws.FILTER(
            INDIRECT("'"&amp;E$62&amp;"'!A2:G1000"), (INDIRECT("'"&amp;E$62&amp;"'!B2:B1000")=$B29) * (INDIRECT("'"&amp;E$62&amp;"'!C2:C1000")=$C29)
        ),
        5,
        FALSE
    )="",
    "",
    VLOOKUP(
        $A29,
        _xlfn._xlws.FILTER(
            INDIRECT("'"&amp;E$62&amp;"'!A2:G1000"), (INDIRECT("'"&amp;E$62&amp;"'!B2:B1000")=$B29) * (INDIRECT("'"&amp;E$62&amp;"'!C2:C1000")=$C29)
        ),
        7,
        FALSE
    )
)</f>
        <v>Não</v>
      </c>
      <c r="F29" s="60" t="str">
        <f t="array" aca="1" ref="F29" ca="1">IF(
    VLOOKUP(
        $A29,
        _xlfn._xlws.FILTER(
            INDIRECT("'"&amp;F$62&amp;"'!A2:G1000"), (INDIRECT("'"&amp;F$62&amp;"'!B2:B1000")=$B29) * (INDIRECT("'"&amp;F$62&amp;"'!C2:C1000")=$C29)
        ),
        5,
        FALSE
    )="",
    "",
    VLOOKUP(
        $A29,
        _xlfn._xlws.FILTER(
            INDIRECT("'"&amp;F$62&amp;"'!A2:G1000"), (INDIRECT("'"&amp;F$62&amp;"'!B2:B1000")=$B29) * (INDIRECT("'"&amp;F$62&amp;"'!C2:C1000")=$C29)
        ),
        7,
        FALSE
    )
)</f>
        <v>Sim</v>
      </c>
      <c r="G29" s="60" t="str">
        <f t="array" aca="1" ref="G29" ca="1">IF(
    VLOOKUP(
        $A29,
        _xlfn._xlws.FILTER(
            INDIRECT("'"&amp;G$62&amp;"'!A2:G1000"), (INDIRECT("'"&amp;G$62&amp;"'!B2:B1000")=$B29) * (INDIRECT("'"&amp;G$62&amp;"'!C2:C1000")=$C29)
        ),
        5,
        FALSE
    )="",
    "",
    VLOOKUP(
        $A29,
        _xlfn._xlws.FILTER(
            INDIRECT("'"&amp;G$62&amp;"'!A2:G1000"), (INDIRECT("'"&amp;G$62&amp;"'!B2:B1000")=$B29) * (INDIRECT("'"&amp;G$62&amp;"'!C2:C1000")=$C29)
        ),
        7,
        FALSE
    )
)</f>
        <v>Sim</v>
      </c>
      <c r="H29" s="60" t="str">
        <f t="array" aca="1" ref="H29" ca="1">IF(
    VLOOKUP(
        $A29,
        _xlfn._xlws.FILTER(
            INDIRECT("'"&amp;H$62&amp;"'!A2:G1000"), (INDIRECT("'"&amp;H$62&amp;"'!B2:B1000")=$B29) * (INDIRECT("'"&amp;H$62&amp;"'!C2:C1000")=$C29)
        ),
        5,
        FALSE
    )="",
    "",
    VLOOKUP(
        $A29,
        _xlfn._xlws.FILTER(
            INDIRECT("'"&amp;H$62&amp;"'!A2:G1000"), (INDIRECT("'"&amp;H$62&amp;"'!B2:B1000")=$B29) * (INDIRECT("'"&amp;H$62&amp;"'!C2:C1000")=$C29)
        ),
        7,
        FALSE
    )
)</f>
        <v>Sim</v>
      </c>
      <c r="I29" s="60" t="str">
        <f t="array" aca="1" ref="I29" ca="1">IF(
    VLOOKUP(
        $A29,
        _xlfn._xlws.FILTER(
            INDIRECT("'"&amp;I$62&amp;"'!A2:G1000"), (INDIRECT("'"&amp;I$62&amp;"'!B2:B1000")=$B29) * (INDIRECT("'"&amp;I$62&amp;"'!C2:C1000")=$C29)
        ),
        5,
        FALSE
    )="",
    "",
    VLOOKUP(
        $A29,
        _xlfn._xlws.FILTER(
            INDIRECT("'"&amp;I$62&amp;"'!A2:G1000"), (INDIRECT("'"&amp;I$62&amp;"'!B2:B1000")=$B29) * (INDIRECT("'"&amp;I$62&amp;"'!C2:C1000")=$C29)
        ),
        7,
        FALSE
    )
)</f>
        <v>Sim</v>
      </c>
      <c r="J29" s="60" t="str">
        <f t="array" aca="1" ref="J29" ca="1">IF(
    VLOOKUP(
        $A29,
        _xlfn._xlws.FILTER(
            INDIRECT("'"&amp;J$62&amp;"'!A2:G1000"), (INDIRECT("'"&amp;J$62&amp;"'!B2:B1000")=$B29) * (INDIRECT("'"&amp;J$62&amp;"'!C2:C1000")=$C29)
        ),
        5,
        FALSE
    )="",
    "",
    VLOOKUP(
        $A29,
        _xlfn._xlws.FILTER(
            INDIRECT("'"&amp;J$62&amp;"'!A2:G1000"), (INDIRECT("'"&amp;J$62&amp;"'!B2:B1000")=$B29) * (INDIRECT("'"&amp;J$62&amp;"'!C2:C1000")=$C29)
        ),
        7,
        FALSE
    )
)</f>
        <v>Sim</v>
      </c>
      <c r="K29" s="60" t="str">
        <f t="array" aca="1" ref="K29" ca="1">IF(
    VLOOKUP(
        $A29,
        _xlfn._xlws.FILTER(
            INDIRECT("'"&amp;K$62&amp;"'!A2:G1000"), (INDIRECT("'"&amp;K$62&amp;"'!B2:B1000")=$B29) * (INDIRECT("'"&amp;K$62&amp;"'!C2:C1000")=$C29)
        ),
        5,
        FALSE
    )="",
    "",
    VLOOKUP(
        $A29,
        _xlfn._xlws.FILTER(
            INDIRECT("'"&amp;K$62&amp;"'!A2:G1000"), (INDIRECT("'"&amp;K$62&amp;"'!B2:B1000")=$B29) * (INDIRECT("'"&amp;K$62&amp;"'!C2:C1000")=$C29)
        ),
        7,
        FALSE
    )
)</f>
        <v>Sim</v>
      </c>
      <c r="L29" s="60" t="str">
        <f t="array" aca="1" ref="L29" ca="1">IF(
    VLOOKUP(
        $A29,
        _xlfn._xlws.FILTER(
            INDIRECT("'"&amp;L$62&amp;"'!A2:G1000"), (INDIRECT("'"&amp;L$62&amp;"'!B2:B1000")=$B29) * (INDIRECT("'"&amp;L$62&amp;"'!C2:C1000")=$C29)
        ),
        5,
        FALSE
    )="",
    "",
    VLOOKUP(
        $A29,
        _xlfn._xlws.FILTER(
            INDIRECT("'"&amp;L$62&amp;"'!A2:G1000"), (INDIRECT("'"&amp;L$62&amp;"'!B2:B1000")=$B29) * (INDIRECT("'"&amp;L$62&amp;"'!C2:C1000")=$C29)
        ),
        7,
        FALSE
    )
)</f>
        <v>Não</v>
      </c>
      <c r="M29" s="60" t="str">
        <f t="array" aca="1" ref="M29" ca="1">IF(
    VLOOKUP(
        $A29,
        _xlfn._xlws.FILTER(
            INDIRECT("'"&amp;M$62&amp;"'!A2:G1000"), (INDIRECT("'"&amp;M$62&amp;"'!B2:B1000")=$B29) * (INDIRECT("'"&amp;M$62&amp;"'!C2:C1000")=$C29)
        ),
        5,
        FALSE
    )="",
    "",
    VLOOKUP(
        $A29,
        _xlfn._xlws.FILTER(
            INDIRECT("'"&amp;M$62&amp;"'!A2:G1000"), (INDIRECT("'"&amp;M$62&amp;"'!B2:B1000")=$B29) * (INDIRECT("'"&amp;M$62&amp;"'!C2:C1000")=$C29)
        ),
        7,
        FALSE
    )
)</f>
        <v>Não</v>
      </c>
      <c r="N29" s="60" t="str">
        <f t="array" aca="1" ref="N29" ca="1">IF(
    VLOOKUP(
        $A29,
        _xlfn._xlws.FILTER(
            INDIRECT("'"&amp;N$62&amp;"'!A2:G1000"), (INDIRECT("'"&amp;N$62&amp;"'!B2:B1000")=$B29) * (INDIRECT("'"&amp;N$62&amp;"'!C2:C1000")=$C29)
        ),
        5,
        FALSE
    )="",
    "",
    VLOOKUP(
        $A29,
        _xlfn._xlws.FILTER(
            INDIRECT("'"&amp;N$62&amp;"'!A2:G1000"), (INDIRECT("'"&amp;N$62&amp;"'!B2:B1000")=$B29) * (INDIRECT("'"&amp;N$62&amp;"'!C2:C1000")=$C29)
        ),
        7,
        FALSE
    )
)</f>
        <v>Não</v>
      </c>
      <c r="O29" s="60" t="str">
        <f t="array" aca="1" ref="O29" ca="1">IF(
    VLOOKUP(
        $A29,
        _xlfn._xlws.FILTER(
            INDIRECT("'"&amp;O$62&amp;"'!A2:G1000"), (INDIRECT("'"&amp;O$62&amp;"'!B2:B1000")=$B29) * (INDIRECT("'"&amp;O$62&amp;"'!C2:C1000")=$C29)
        ),
        5,
        FALSE
    )="",
    "",
    VLOOKUP(
        $A29,
        _xlfn._xlws.FILTER(
            INDIRECT("'"&amp;O$62&amp;"'!A2:G1000"), (INDIRECT("'"&amp;O$62&amp;"'!B2:B1000")=$B29) * (INDIRECT("'"&amp;O$62&amp;"'!C2:C1000")=$C29)
        ),
        7,
        FALSE
    )
)</f>
        <v/>
      </c>
      <c r="P29" s="60" t="str">
        <f t="array" aca="1" ref="P29" ca="1">IF(
    VLOOKUP(
        $A29,
        _xlfn._xlws.FILTER(
            INDIRECT("'"&amp;P$62&amp;"'!A2:G1000"), (INDIRECT("'"&amp;P$62&amp;"'!B2:B1000")=$B29) * (INDIRECT("'"&amp;P$62&amp;"'!C2:C1000")=$C29)
        ),
        5,
        FALSE
    )="",
    "",
    VLOOKUP(
        $A29,
        _xlfn._xlws.FILTER(
            INDIRECT("'"&amp;P$62&amp;"'!A2:G1000"), (INDIRECT("'"&amp;P$62&amp;"'!B2:B1000")=$B29) * (INDIRECT("'"&amp;P$62&amp;"'!C2:C1000")=$C29)
        ),
        7,
        FALSE
    )
)</f>
        <v/>
      </c>
    </row>
    <row r="30" spans="1:16">
      <c r="A30" s="31" t="s">
        <v>39</v>
      </c>
      <c r="B30" s="60" t="s">
        <v>97</v>
      </c>
      <c r="C30" s="60" t="s">
        <v>75</v>
      </c>
      <c r="D30" s="60" t="str">
        <f t="array" aca="1" ref="D30" ca="1">IF(
    VLOOKUP(
        $A30,
        _xlfn._xlws.FILTER(
            INDIRECT("'"&amp;D$62&amp;"'!A2:G1000"), (INDIRECT("'"&amp;D$62&amp;"'!B2:B1000")=$B30) * (INDIRECT("'"&amp;D$62&amp;"'!C2:C1000")=$C30)
        ),
        5,
        FALSE
    )="",
    "",
    VLOOKUP(
        $A30,
        _xlfn._xlws.FILTER(
            INDIRECT("'"&amp;D$62&amp;"'!A2:G1000"), (INDIRECT("'"&amp;D$62&amp;"'!B2:B1000")=$B30) * (INDIRECT("'"&amp;D$62&amp;"'!C2:C1000")=$C30)
        ),
        7,
        FALSE
    )
)</f>
        <v>Sim</v>
      </c>
      <c r="E30" s="60" t="str">
        <f t="array" aca="1" ref="E30" ca="1">IF(
    VLOOKUP(
        $A30,
        _xlfn._xlws.FILTER(
            INDIRECT("'"&amp;E$62&amp;"'!A2:G1000"), (INDIRECT("'"&amp;E$62&amp;"'!B2:B1000")=$B30) * (INDIRECT("'"&amp;E$62&amp;"'!C2:C1000")=$C30)
        ),
        5,
        FALSE
    )="",
    "",
    VLOOKUP(
        $A30,
        _xlfn._xlws.FILTER(
            INDIRECT("'"&amp;E$62&amp;"'!A2:G1000"), (INDIRECT("'"&amp;E$62&amp;"'!B2:B1000")=$B30) * (INDIRECT("'"&amp;E$62&amp;"'!C2:C1000")=$C30)
        ),
        7,
        FALSE
    )
)</f>
        <v>Sim</v>
      </c>
      <c r="F30" s="60" t="str">
        <f t="array" aca="1" ref="F30" ca="1">IF(
    VLOOKUP(
        $A30,
        _xlfn._xlws.FILTER(
            INDIRECT("'"&amp;F$62&amp;"'!A2:G1000"), (INDIRECT("'"&amp;F$62&amp;"'!B2:B1000")=$B30) * (INDIRECT("'"&amp;F$62&amp;"'!C2:C1000")=$C30)
        ),
        5,
        FALSE
    )="",
    "",
    VLOOKUP(
        $A30,
        _xlfn._xlws.FILTER(
            INDIRECT("'"&amp;F$62&amp;"'!A2:G1000"), (INDIRECT("'"&amp;F$62&amp;"'!B2:B1000")=$B30) * (INDIRECT("'"&amp;F$62&amp;"'!C2:C1000")=$C30)
        ),
        7,
        FALSE
    )
)</f>
        <v>Sim</v>
      </c>
      <c r="G30" s="60" t="str">
        <f t="array" aca="1" ref="G30" ca="1">IF(
    VLOOKUP(
        $A30,
        _xlfn._xlws.FILTER(
            INDIRECT("'"&amp;G$62&amp;"'!A2:G1000"), (INDIRECT("'"&amp;G$62&amp;"'!B2:B1000")=$B30) * (INDIRECT("'"&amp;G$62&amp;"'!C2:C1000")=$C30)
        ),
        5,
        FALSE
    )="",
    "",
    VLOOKUP(
        $A30,
        _xlfn._xlws.FILTER(
            INDIRECT("'"&amp;G$62&amp;"'!A2:G1000"), (INDIRECT("'"&amp;G$62&amp;"'!B2:B1000")=$B30) * (INDIRECT("'"&amp;G$62&amp;"'!C2:C1000")=$C30)
        ),
        7,
        FALSE
    )
)</f>
        <v>Não</v>
      </c>
      <c r="H30" s="60" t="str">
        <f t="array" aca="1" ref="H30" ca="1">IF(
    VLOOKUP(
        $A30,
        _xlfn._xlws.FILTER(
            INDIRECT("'"&amp;H$62&amp;"'!A2:G1000"), (INDIRECT("'"&amp;H$62&amp;"'!B2:B1000")=$B30) * (INDIRECT("'"&amp;H$62&amp;"'!C2:C1000")=$C30)
        ),
        5,
        FALSE
    )="",
    "",
    VLOOKUP(
        $A30,
        _xlfn._xlws.FILTER(
            INDIRECT("'"&amp;H$62&amp;"'!A2:G1000"), (INDIRECT("'"&amp;H$62&amp;"'!B2:B1000")=$B30) * (INDIRECT("'"&amp;H$62&amp;"'!C2:C1000")=$C30)
        ),
        7,
        FALSE
    )
)</f>
        <v>Sim</v>
      </c>
      <c r="I30" s="60" t="str">
        <f t="array" aca="1" ref="I30" ca="1">IF(
    VLOOKUP(
        $A30,
        _xlfn._xlws.FILTER(
            INDIRECT("'"&amp;I$62&amp;"'!A2:G1000"), (INDIRECT("'"&amp;I$62&amp;"'!B2:B1000")=$B30) * (INDIRECT("'"&amp;I$62&amp;"'!C2:C1000")=$C30)
        ),
        5,
        FALSE
    )="",
    "",
    VLOOKUP(
        $A30,
        _xlfn._xlws.FILTER(
            INDIRECT("'"&amp;I$62&amp;"'!A2:G1000"), (INDIRECT("'"&amp;I$62&amp;"'!B2:B1000")=$B30) * (INDIRECT("'"&amp;I$62&amp;"'!C2:C1000")=$C30)
        ),
        7,
        FALSE
    )
)</f>
        <v>Não</v>
      </c>
      <c r="J30" s="60" t="str">
        <f t="array" aca="1" ref="J30" ca="1">IF(
    VLOOKUP(
        $A30,
        _xlfn._xlws.FILTER(
            INDIRECT("'"&amp;J$62&amp;"'!A2:G1000"), (INDIRECT("'"&amp;J$62&amp;"'!B2:B1000")=$B30) * (INDIRECT("'"&amp;J$62&amp;"'!C2:C1000")=$C30)
        ),
        5,
        FALSE
    )="",
    "",
    VLOOKUP(
        $A30,
        _xlfn._xlws.FILTER(
            INDIRECT("'"&amp;J$62&amp;"'!A2:G1000"), (INDIRECT("'"&amp;J$62&amp;"'!B2:B1000")=$B30) * (INDIRECT("'"&amp;J$62&amp;"'!C2:C1000")=$C30)
        ),
        7,
        FALSE
    )
)</f>
        <v>Sim</v>
      </c>
      <c r="K30" s="60" t="str">
        <f t="array" aca="1" ref="K30" ca="1">IF(
    VLOOKUP(
        $A30,
        _xlfn._xlws.FILTER(
            INDIRECT("'"&amp;K$62&amp;"'!A2:G1000"), (INDIRECT("'"&amp;K$62&amp;"'!B2:B1000")=$B30) * (INDIRECT("'"&amp;K$62&amp;"'!C2:C1000")=$C30)
        ),
        5,
        FALSE
    )="",
    "",
    VLOOKUP(
        $A30,
        _xlfn._xlws.FILTER(
            INDIRECT("'"&amp;K$62&amp;"'!A2:G1000"), (INDIRECT("'"&amp;K$62&amp;"'!B2:B1000")=$B30) * (INDIRECT("'"&amp;K$62&amp;"'!C2:C1000")=$C30)
        ),
        7,
        FALSE
    )
)</f>
        <v>Sim</v>
      </c>
      <c r="L30" s="60" t="str">
        <f t="array" aca="1" ref="L30" ca="1">IF(
    VLOOKUP(
        $A30,
        _xlfn._xlws.FILTER(
            INDIRECT("'"&amp;L$62&amp;"'!A2:G1000"), (INDIRECT("'"&amp;L$62&amp;"'!B2:B1000")=$B30) * (INDIRECT("'"&amp;L$62&amp;"'!C2:C1000")=$C30)
        ),
        5,
        FALSE
    )="",
    "",
    VLOOKUP(
        $A30,
        _xlfn._xlws.FILTER(
            INDIRECT("'"&amp;L$62&amp;"'!A2:G1000"), (INDIRECT("'"&amp;L$62&amp;"'!B2:B1000")=$B30) * (INDIRECT("'"&amp;L$62&amp;"'!C2:C1000")=$C30)
        ),
        7,
        FALSE
    )
)</f>
        <v>Sim</v>
      </c>
      <c r="M30" s="60" t="str">
        <f t="array" aca="1" ref="M30" ca="1">IF(
    VLOOKUP(
        $A30,
        _xlfn._xlws.FILTER(
            INDIRECT("'"&amp;M$62&amp;"'!A2:G1000"), (INDIRECT("'"&amp;M$62&amp;"'!B2:B1000")=$B30) * (INDIRECT("'"&amp;M$62&amp;"'!C2:C1000")=$C30)
        ),
        5,
        FALSE
    )="",
    "",
    VLOOKUP(
        $A30,
        _xlfn._xlws.FILTER(
            INDIRECT("'"&amp;M$62&amp;"'!A2:G1000"), (INDIRECT("'"&amp;M$62&amp;"'!B2:B1000")=$B30) * (INDIRECT("'"&amp;M$62&amp;"'!C2:C1000")=$C30)
        ),
        7,
        FALSE
    )
)</f>
        <v>Sim</v>
      </c>
      <c r="N30" s="60" t="str">
        <f t="array" aca="1" ref="N30" ca="1">IF(
    VLOOKUP(
        $A30,
        _xlfn._xlws.FILTER(
            INDIRECT("'"&amp;N$62&amp;"'!A2:G1000"), (INDIRECT("'"&amp;N$62&amp;"'!B2:B1000")=$B30) * (INDIRECT("'"&amp;N$62&amp;"'!C2:C1000")=$C30)
        ),
        5,
        FALSE
    )="",
    "",
    VLOOKUP(
        $A30,
        _xlfn._xlws.FILTER(
            INDIRECT("'"&amp;N$62&amp;"'!A2:G1000"), (INDIRECT("'"&amp;N$62&amp;"'!B2:B1000")=$B30) * (INDIRECT("'"&amp;N$62&amp;"'!C2:C1000")=$C30)
        ),
        7,
        FALSE
    )
)</f>
        <v>Não</v>
      </c>
      <c r="O30" s="60" t="str">
        <f t="array" aca="1" ref="O30" ca="1">IF(
    VLOOKUP(
        $A30,
        _xlfn._xlws.FILTER(
            INDIRECT("'"&amp;O$62&amp;"'!A2:G1000"), (INDIRECT("'"&amp;O$62&amp;"'!B2:B1000")=$B30) * (INDIRECT("'"&amp;O$62&amp;"'!C2:C1000")=$C30)
        ),
        5,
        FALSE
    )="",
    "",
    VLOOKUP(
        $A30,
        _xlfn._xlws.FILTER(
            INDIRECT("'"&amp;O$62&amp;"'!A2:G1000"), (INDIRECT("'"&amp;O$62&amp;"'!B2:B1000")=$B30) * (INDIRECT("'"&amp;O$62&amp;"'!C2:C1000")=$C30)
        ),
        7,
        FALSE
    )
)</f>
        <v/>
      </c>
      <c r="P30" s="60" t="str">
        <f t="array" aca="1" ref="P30" ca="1">IF(
    VLOOKUP(
        $A30,
        _xlfn._xlws.FILTER(
            INDIRECT("'"&amp;P$62&amp;"'!A2:G1000"), (INDIRECT("'"&amp;P$62&amp;"'!B2:B1000")=$B30) * (INDIRECT("'"&amp;P$62&amp;"'!C2:C1000")=$C30)
        ),
        5,
        FALSE
    )="",
    "",
    VLOOKUP(
        $A30,
        _xlfn._xlws.FILTER(
            INDIRECT("'"&amp;P$62&amp;"'!A2:G1000"), (INDIRECT("'"&amp;P$62&amp;"'!B2:B1000")=$B30) * (INDIRECT("'"&amp;P$62&amp;"'!C2:C1000")=$C30)
        ),
        7,
        FALSE
    )
)</f>
        <v/>
      </c>
    </row>
    <row r="32" spans="1:16" ht="15.75" customHeight="1">
      <c r="A32" s="78"/>
      <c r="B32" s="21" t="s">
        <v>72</v>
      </c>
      <c r="C32" s="21" t="s">
        <v>73</v>
      </c>
      <c r="D32" s="74" t="s">
        <v>1</v>
      </c>
      <c r="E32" s="74" t="s">
        <v>2</v>
      </c>
      <c r="F32" s="74" t="s">
        <v>3</v>
      </c>
      <c r="G32" s="74" t="s">
        <v>4</v>
      </c>
      <c r="H32" s="74" t="s">
        <v>5</v>
      </c>
      <c r="I32" s="74" t="s">
        <v>6</v>
      </c>
      <c r="J32" s="74" t="s">
        <v>7</v>
      </c>
      <c r="K32" s="74" t="s">
        <v>8</v>
      </c>
      <c r="L32" s="74" t="s">
        <v>9</v>
      </c>
      <c r="M32" s="74" t="s">
        <v>9</v>
      </c>
      <c r="N32" s="74" t="s">
        <v>10</v>
      </c>
      <c r="O32" s="74" t="s">
        <v>11</v>
      </c>
      <c r="P32" s="74" t="s">
        <v>12</v>
      </c>
    </row>
    <row r="33" spans="1:16">
      <c r="A33" s="34" t="s">
        <v>43</v>
      </c>
      <c r="B33" s="60" t="s">
        <v>98</v>
      </c>
      <c r="C33" s="60" t="s">
        <v>75</v>
      </c>
      <c r="D33" s="60" t="str">
        <f t="array" aca="1" ref="D33" ca="1">IF(
    VLOOKUP(
        $A33,
        _xlfn._xlws.FILTER(
            INDIRECT("'"&amp;D$62&amp;"'!A2:G1000"), (INDIRECT("'"&amp;D$62&amp;"'!B2:B1000")=$B33) * (INDIRECT("'"&amp;D$62&amp;"'!C2:C1000")=$C33)
        ),
        5,
        FALSE
    )="",
    "",
    VLOOKUP(
        $A33,
        _xlfn._xlws.FILTER(
            INDIRECT("'"&amp;D$62&amp;"'!A2:G1000"), (INDIRECT("'"&amp;D$62&amp;"'!B2:B1000")=$B33) * (INDIRECT("'"&amp;D$62&amp;"'!C2:C1000")=$C33)
        ),
        7,
        FALSE
    )
)</f>
        <v>Sim</v>
      </c>
      <c r="E33" s="60" t="str">
        <f t="array" aca="1" ref="E33" ca="1">IF(
    VLOOKUP(
        $A33,
        _xlfn._xlws.FILTER(
            INDIRECT("'"&amp;E$62&amp;"'!A2:G1000"), (INDIRECT("'"&amp;E$62&amp;"'!B2:B1000")=$B33) * (INDIRECT("'"&amp;E$62&amp;"'!C2:C1000")=$C33)
        ),
        5,
        FALSE
    )="",
    "",
    VLOOKUP(
        $A33,
        _xlfn._xlws.FILTER(
            INDIRECT("'"&amp;E$62&amp;"'!A2:G1000"), (INDIRECT("'"&amp;E$62&amp;"'!B2:B1000")=$B33) * (INDIRECT("'"&amp;E$62&amp;"'!C2:C1000")=$C33)
        ),
        7,
        FALSE
    )
)</f>
        <v>Sim</v>
      </c>
      <c r="F33" s="60" t="str">
        <f t="array" aca="1" ref="F33" ca="1">IF(
    VLOOKUP(
        $A33,
        _xlfn._xlws.FILTER(
            INDIRECT("'"&amp;F$62&amp;"'!A2:G1000"), (INDIRECT("'"&amp;F$62&amp;"'!B2:B1000")=$B33) * (INDIRECT("'"&amp;F$62&amp;"'!C2:C1000")=$C33)
        ),
        5,
        FALSE
    )="",
    "",
    VLOOKUP(
        $A33,
        _xlfn._xlws.FILTER(
            INDIRECT("'"&amp;F$62&amp;"'!A2:G1000"), (INDIRECT("'"&amp;F$62&amp;"'!B2:B1000")=$B33) * (INDIRECT("'"&amp;F$62&amp;"'!C2:C1000")=$C33)
        ),
        7,
        FALSE
    )
)</f>
        <v>Sim</v>
      </c>
      <c r="G33" s="60" t="str">
        <f t="array" aca="1" ref="G33" ca="1">IF(
    VLOOKUP(
        $A33,
        _xlfn._xlws.FILTER(
            INDIRECT("'"&amp;G$62&amp;"'!A2:G1000"), (INDIRECT("'"&amp;G$62&amp;"'!B2:B1000")=$B33) * (INDIRECT("'"&amp;G$62&amp;"'!C2:C1000")=$C33)
        ),
        5,
        FALSE
    )="",
    "",
    VLOOKUP(
        $A33,
        _xlfn._xlws.FILTER(
            INDIRECT("'"&amp;G$62&amp;"'!A2:G1000"), (INDIRECT("'"&amp;G$62&amp;"'!B2:B1000")=$B33) * (INDIRECT("'"&amp;G$62&amp;"'!C2:C1000")=$C33)
        ),
        7,
        FALSE
    )
)</f>
        <v>Sim</v>
      </c>
      <c r="H33" s="60" t="str">
        <f t="array" aca="1" ref="H33" ca="1">IF(
    VLOOKUP(
        $A33,
        _xlfn._xlws.FILTER(
            INDIRECT("'"&amp;H$62&amp;"'!A2:G1000"), (INDIRECT("'"&amp;H$62&amp;"'!B2:B1000")=$B33) * (INDIRECT("'"&amp;H$62&amp;"'!C2:C1000")=$C33)
        ),
        5,
        FALSE
    )="",
    "",
    VLOOKUP(
        $A33,
        _xlfn._xlws.FILTER(
            INDIRECT("'"&amp;H$62&amp;"'!A2:G1000"), (INDIRECT("'"&amp;H$62&amp;"'!B2:B1000")=$B33) * (INDIRECT("'"&amp;H$62&amp;"'!C2:C1000")=$C33)
        ),
        7,
        FALSE
    )
)</f>
        <v>Sim</v>
      </c>
      <c r="I33" s="60" t="str">
        <f t="array" aca="1" ref="I33" ca="1">IF(
    VLOOKUP(
        $A33,
        _xlfn._xlws.FILTER(
            INDIRECT("'"&amp;I$62&amp;"'!A2:G1000"), (INDIRECT("'"&amp;I$62&amp;"'!B2:B1000")=$B33) * (INDIRECT("'"&amp;I$62&amp;"'!C2:C1000")=$C33)
        ),
        5,
        FALSE
    )="",
    "",
    VLOOKUP(
        $A33,
        _xlfn._xlws.FILTER(
            INDIRECT("'"&amp;I$62&amp;"'!A2:G1000"), (INDIRECT("'"&amp;I$62&amp;"'!B2:B1000")=$B33) * (INDIRECT("'"&amp;I$62&amp;"'!C2:C1000")=$C33)
        ),
        7,
        FALSE
    )
)</f>
        <v>Sim</v>
      </c>
      <c r="J33" s="60" t="str">
        <f t="array" aca="1" ref="J33" ca="1">IF(
    VLOOKUP(
        $A33,
        _xlfn._xlws.FILTER(
            INDIRECT("'"&amp;J$62&amp;"'!A2:G1000"), (INDIRECT("'"&amp;J$62&amp;"'!B2:B1000")=$B33) * (INDIRECT("'"&amp;J$62&amp;"'!C2:C1000")=$C33)
        ),
        5,
        FALSE
    )="",
    "",
    VLOOKUP(
        $A33,
        _xlfn._xlws.FILTER(
            INDIRECT("'"&amp;J$62&amp;"'!A2:G1000"), (INDIRECT("'"&amp;J$62&amp;"'!B2:B1000")=$B33) * (INDIRECT("'"&amp;J$62&amp;"'!C2:C1000")=$C33)
        ),
        7,
        FALSE
    )
)</f>
        <v>Sim</v>
      </c>
      <c r="K33" s="60" t="str">
        <f t="array" aca="1" ref="K33" ca="1">IF(
    VLOOKUP(
        $A33,
        _xlfn._xlws.FILTER(
            INDIRECT("'"&amp;K$62&amp;"'!A2:G1000"), (INDIRECT("'"&amp;K$62&amp;"'!B2:B1000")=$B33) * (INDIRECT("'"&amp;K$62&amp;"'!C2:C1000")=$C33)
        ),
        5,
        FALSE
    )="",
    "",
    VLOOKUP(
        $A33,
        _xlfn._xlws.FILTER(
            INDIRECT("'"&amp;K$62&amp;"'!A2:G1000"), (INDIRECT("'"&amp;K$62&amp;"'!B2:B1000")=$B33) * (INDIRECT("'"&amp;K$62&amp;"'!C2:C1000")=$C33)
        ),
        7,
        FALSE
    )
)</f>
        <v>Sim</v>
      </c>
      <c r="L33" s="60" t="str">
        <f t="array" aca="1" ref="L33" ca="1">IF(
    VLOOKUP(
        $A33,
        _xlfn._xlws.FILTER(
            INDIRECT("'"&amp;L$62&amp;"'!A2:G1000"), (INDIRECT("'"&amp;L$62&amp;"'!B2:B1000")=$B33) * (INDIRECT("'"&amp;L$62&amp;"'!C2:C1000")=$C33)
        ),
        5,
        FALSE
    )="",
    "",
    VLOOKUP(
        $A33,
        _xlfn._xlws.FILTER(
            INDIRECT("'"&amp;L$62&amp;"'!A2:G1000"), (INDIRECT("'"&amp;L$62&amp;"'!B2:B1000")=$B33) * (INDIRECT("'"&amp;L$62&amp;"'!C2:C1000")=$C33)
        ),
        7,
        FALSE
    )
)</f>
        <v>Não</v>
      </c>
      <c r="M33" s="60" t="str">
        <f t="array" aca="1" ref="M33" ca="1">IF(
    VLOOKUP(
        $A33,
        _xlfn._xlws.FILTER(
            INDIRECT("'"&amp;M$62&amp;"'!A2:G1000"), (INDIRECT("'"&amp;M$62&amp;"'!B2:B1000")=$B33) * (INDIRECT("'"&amp;M$62&amp;"'!C2:C1000")=$C33)
        ),
        5,
        FALSE
    )="",
    "",
    VLOOKUP(
        $A33,
        _xlfn._xlws.FILTER(
            INDIRECT("'"&amp;M$62&amp;"'!A2:G1000"), (INDIRECT("'"&amp;M$62&amp;"'!B2:B1000")=$B33) * (INDIRECT("'"&amp;M$62&amp;"'!C2:C1000")=$C33)
        ),
        7,
        FALSE
    )
)</f>
        <v>Não</v>
      </c>
      <c r="N33" s="60" t="str">
        <f t="array" aca="1" ref="N33" ca="1">IF(
    VLOOKUP(
        $A33,
        _xlfn._xlws.FILTER(
            INDIRECT("'"&amp;N$62&amp;"'!A2:G1000"), (INDIRECT("'"&amp;N$62&amp;"'!B2:B1000")=$B33) * (INDIRECT("'"&amp;N$62&amp;"'!C2:C1000")=$C33)
        ),
        5,
        FALSE
    )="",
    "",
    VLOOKUP(
        $A33,
        _xlfn._xlws.FILTER(
            INDIRECT("'"&amp;N$62&amp;"'!A2:G1000"), (INDIRECT("'"&amp;N$62&amp;"'!B2:B1000")=$B33) * (INDIRECT("'"&amp;N$62&amp;"'!C2:C1000")=$C33)
        ),
        7,
        FALSE
    )
)</f>
        <v>Não</v>
      </c>
      <c r="O33" s="60" t="str">
        <f t="array" aca="1" ref="O33" ca="1">IF(
    VLOOKUP(
        $A33,
        _xlfn._xlws.FILTER(
            INDIRECT("'"&amp;O$62&amp;"'!A2:G1000"), (INDIRECT("'"&amp;O$62&amp;"'!B2:B1000")=$B33) * (INDIRECT("'"&amp;O$62&amp;"'!C2:C1000")=$C33)
        ),
        5,
        FALSE
    )="",
    "",
    VLOOKUP(
        $A33,
        _xlfn._xlws.FILTER(
            INDIRECT("'"&amp;O$62&amp;"'!A2:G1000"), (INDIRECT("'"&amp;O$62&amp;"'!B2:B1000")=$B33) * (INDIRECT("'"&amp;O$62&amp;"'!C2:C1000")=$C33)
        ),
        7,
        FALSE
    )
)</f>
        <v/>
      </c>
      <c r="P33" s="60" t="str">
        <f t="array" aca="1" ref="P33" ca="1">IF(
    VLOOKUP(
        $A33,
        _xlfn._xlws.FILTER(
            INDIRECT("'"&amp;P$62&amp;"'!A2:G1000"), (INDIRECT("'"&amp;P$62&amp;"'!B2:B1000")=$B33) * (INDIRECT("'"&amp;P$62&amp;"'!C2:C1000")=$C33)
        ),
        5,
        FALSE
    )="",
    "",
    VLOOKUP(
        $A33,
        _xlfn._xlws.FILTER(
            INDIRECT("'"&amp;P$62&amp;"'!A2:G1000"), (INDIRECT("'"&amp;P$62&amp;"'!B2:B1000")=$B33) * (INDIRECT("'"&amp;P$62&amp;"'!C2:C1000")=$C33)
        ),
        7,
        FALSE
    )
)</f>
        <v/>
      </c>
    </row>
    <row r="34" spans="1:16">
      <c r="A34" s="34" t="s">
        <v>43</v>
      </c>
      <c r="B34" s="60" t="s">
        <v>99</v>
      </c>
      <c r="C34" s="60" t="s">
        <v>75</v>
      </c>
      <c r="D34" s="60" t="str">
        <f t="array" aca="1" ref="D34" ca="1">IF(
    VLOOKUP(
        $A34,
        _xlfn._xlws.FILTER(
            INDIRECT("'"&amp;D$62&amp;"'!A2:G1000"), (INDIRECT("'"&amp;D$62&amp;"'!B2:B1000")=$B34) * (INDIRECT("'"&amp;D$62&amp;"'!C2:C1000")=$C34)
        ),
        5,
        FALSE
    )="",
    "",
    VLOOKUP(
        $A34,
        _xlfn._xlws.FILTER(
            INDIRECT("'"&amp;D$62&amp;"'!A2:G1000"), (INDIRECT("'"&amp;D$62&amp;"'!B2:B1000")=$B34) * (INDIRECT("'"&amp;D$62&amp;"'!C2:C1000")=$C34)
        ),
        7,
        FALSE
    )
)</f>
        <v>Não</v>
      </c>
      <c r="E34" s="60" t="str">
        <f t="array" aca="1" ref="E34" ca="1">IF(
    VLOOKUP(
        $A34,
        _xlfn._xlws.FILTER(
            INDIRECT("'"&amp;E$62&amp;"'!A2:G1000"), (INDIRECT("'"&amp;E$62&amp;"'!B2:B1000")=$B34) * (INDIRECT("'"&amp;E$62&amp;"'!C2:C1000")=$C34)
        ),
        5,
        FALSE
    )="",
    "",
    VLOOKUP(
        $A34,
        _xlfn._xlws.FILTER(
            INDIRECT("'"&amp;E$62&amp;"'!A2:G1000"), (INDIRECT("'"&amp;E$62&amp;"'!B2:B1000")=$B34) * (INDIRECT("'"&amp;E$62&amp;"'!C2:C1000")=$C34)
        ),
        7,
        FALSE
    )
)</f>
        <v>Não</v>
      </c>
      <c r="F34" s="60" t="str">
        <f t="array" aca="1" ref="F34" ca="1">IF(
    VLOOKUP(
        $A34,
        _xlfn._xlws.FILTER(
            INDIRECT("'"&amp;F$62&amp;"'!A2:G1000"), (INDIRECT("'"&amp;F$62&amp;"'!B2:B1000")=$B34) * (INDIRECT("'"&amp;F$62&amp;"'!C2:C1000")=$C34)
        ),
        5,
        FALSE
    )="",
    "",
    VLOOKUP(
        $A34,
        _xlfn._xlws.FILTER(
            INDIRECT("'"&amp;F$62&amp;"'!A2:G1000"), (INDIRECT("'"&amp;F$62&amp;"'!B2:B1000")=$B34) * (INDIRECT("'"&amp;F$62&amp;"'!C2:C1000")=$C34)
        ),
        7,
        FALSE
    )
)</f>
        <v>Sim</v>
      </c>
      <c r="G34" s="60" t="str">
        <f t="array" aca="1" ref="G34" ca="1">IF(
    VLOOKUP(
        $A34,
        _xlfn._xlws.FILTER(
            INDIRECT("'"&amp;G$62&amp;"'!A2:G1000"), (INDIRECT("'"&amp;G$62&amp;"'!B2:B1000")=$B34) * (INDIRECT("'"&amp;G$62&amp;"'!C2:C1000")=$C34)
        ),
        5,
        FALSE
    )="",
    "",
    VLOOKUP(
        $A34,
        _xlfn._xlws.FILTER(
            INDIRECT("'"&amp;G$62&amp;"'!A2:G1000"), (INDIRECT("'"&amp;G$62&amp;"'!B2:B1000")=$B34) * (INDIRECT("'"&amp;G$62&amp;"'!C2:C1000")=$C34)
        ),
        7,
        FALSE
    )
)</f>
        <v>Sim</v>
      </c>
      <c r="H34" s="60" t="str">
        <f t="array" aca="1" ref="H34" ca="1">IF(
    VLOOKUP(
        $A34,
        _xlfn._xlws.FILTER(
            INDIRECT("'"&amp;H$62&amp;"'!A2:G1000"), (INDIRECT("'"&amp;H$62&amp;"'!B2:B1000")=$B34) * (INDIRECT("'"&amp;H$62&amp;"'!C2:C1000")=$C34)
        ),
        5,
        FALSE
    )="",
    "",
    VLOOKUP(
        $A34,
        _xlfn._xlws.FILTER(
            INDIRECT("'"&amp;H$62&amp;"'!A2:G1000"), (INDIRECT("'"&amp;H$62&amp;"'!B2:B1000")=$B34) * (INDIRECT("'"&amp;H$62&amp;"'!C2:C1000")=$C34)
        ),
        7,
        FALSE
    )
)</f>
        <v>Sim</v>
      </c>
      <c r="I34" s="60" t="str">
        <f t="array" aca="1" ref="I34" ca="1">IF(
    VLOOKUP(
        $A34,
        _xlfn._xlws.FILTER(
            INDIRECT("'"&amp;I$62&amp;"'!A2:G1000"), (INDIRECT("'"&amp;I$62&amp;"'!B2:B1000")=$B34) * (INDIRECT("'"&amp;I$62&amp;"'!C2:C1000")=$C34)
        ),
        5,
        FALSE
    )="",
    "",
    VLOOKUP(
        $A34,
        _xlfn._xlws.FILTER(
            INDIRECT("'"&amp;I$62&amp;"'!A2:G1000"), (INDIRECT("'"&amp;I$62&amp;"'!B2:B1000")=$B34) * (INDIRECT("'"&amp;I$62&amp;"'!C2:C1000")=$C34)
        ),
        7,
        FALSE
    )
)</f>
        <v>Sim</v>
      </c>
      <c r="J34" s="60" t="str">
        <f t="array" aca="1" ref="J34" ca="1">IF(
    VLOOKUP(
        $A34,
        _xlfn._xlws.FILTER(
            INDIRECT("'"&amp;J$62&amp;"'!A2:G1000"), (INDIRECT("'"&amp;J$62&amp;"'!B2:B1000")=$B34) * (INDIRECT("'"&amp;J$62&amp;"'!C2:C1000")=$C34)
        ),
        5,
        FALSE
    )="",
    "",
    VLOOKUP(
        $A34,
        _xlfn._xlws.FILTER(
            INDIRECT("'"&amp;J$62&amp;"'!A2:G1000"), (INDIRECT("'"&amp;J$62&amp;"'!B2:B1000")=$B34) * (INDIRECT("'"&amp;J$62&amp;"'!C2:C1000")=$C34)
        ),
        7,
        FALSE
    )
)</f>
        <v>Sim</v>
      </c>
      <c r="K34" s="60" t="str">
        <f t="array" aca="1" ref="K34" ca="1">IF(
    VLOOKUP(
        $A34,
        _xlfn._xlws.FILTER(
            INDIRECT("'"&amp;K$62&amp;"'!A2:G1000"), (INDIRECT("'"&amp;K$62&amp;"'!B2:B1000")=$B34) * (INDIRECT("'"&amp;K$62&amp;"'!C2:C1000")=$C34)
        ),
        5,
        FALSE
    )="",
    "",
    VLOOKUP(
        $A34,
        _xlfn._xlws.FILTER(
            INDIRECT("'"&amp;K$62&amp;"'!A2:G1000"), (INDIRECT("'"&amp;K$62&amp;"'!B2:B1000")=$B34) * (INDIRECT("'"&amp;K$62&amp;"'!C2:C1000")=$C34)
        ),
        7,
        FALSE
    )
)</f>
        <v>Não</v>
      </c>
      <c r="L34" s="60" t="str">
        <f t="array" aca="1" ref="L34" ca="1">IF(
    VLOOKUP(
        $A34,
        _xlfn._xlws.FILTER(
            INDIRECT("'"&amp;L$62&amp;"'!A2:G1000"), (INDIRECT("'"&amp;L$62&amp;"'!B2:B1000")=$B34) * (INDIRECT("'"&amp;L$62&amp;"'!C2:C1000")=$C34)
        ),
        5,
        FALSE
    )="",
    "",
    VLOOKUP(
        $A34,
        _xlfn._xlws.FILTER(
            INDIRECT("'"&amp;L$62&amp;"'!A2:G1000"), (INDIRECT("'"&amp;L$62&amp;"'!B2:B1000")=$B34) * (INDIRECT("'"&amp;L$62&amp;"'!C2:C1000")=$C34)
        ),
        7,
        FALSE
    )
)</f>
        <v>Não</v>
      </c>
      <c r="M34" s="60" t="str">
        <f t="array" aca="1" ref="M34" ca="1">IF(
    VLOOKUP(
        $A34,
        _xlfn._xlws.FILTER(
            INDIRECT("'"&amp;M$62&amp;"'!A2:G1000"), (INDIRECT("'"&amp;M$62&amp;"'!B2:B1000")=$B34) * (INDIRECT("'"&amp;M$62&amp;"'!C2:C1000")=$C34)
        ),
        5,
        FALSE
    )="",
    "",
    VLOOKUP(
        $A34,
        _xlfn._xlws.FILTER(
            INDIRECT("'"&amp;M$62&amp;"'!A2:G1000"), (INDIRECT("'"&amp;M$62&amp;"'!B2:B1000")=$B34) * (INDIRECT("'"&amp;M$62&amp;"'!C2:C1000")=$C34)
        ),
        7,
        FALSE
    )
)</f>
        <v>Não</v>
      </c>
      <c r="N34" s="60" t="str">
        <f t="array" aca="1" ref="N34" ca="1">IF(
    VLOOKUP(
        $A34,
        _xlfn._xlws.FILTER(
            INDIRECT("'"&amp;N$62&amp;"'!A2:G1000"), (INDIRECT("'"&amp;N$62&amp;"'!B2:B1000")=$B34) * (INDIRECT("'"&amp;N$62&amp;"'!C2:C1000")=$C34)
        ),
        5,
        FALSE
    )="",
    "",
    VLOOKUP(
        $A34,
        _xlfn._xlws.FILTER(
            INDIRECT("'"&amp;N$62&amp;"'!A2:G1000"), (INDIRECT("'"&amp;N$62&amp;"'!B2:B1000")=$B34) * (INDIRECT("'"&amp;N$62&amp;"'!C2:C1000")=$C34)
        ),
        7,
        FALSE
    )
)</f>
        <v>Não</v>
      </c>
      <c r="O34" s="60" t="str">
        <f t="array" aca="1" ref="O34" ca="1">IF(
    VLOOKUP(
        $A34,
        _xlfn._xlws.FILTER(
            INDIRECT("'"&amp;O$62&amp;"'!A2:G1000"), (INDIRECT("'"&amp;O$62&amp;"'!B2:B1000")=$B34) * (INDIRECT("'"&amp;O$62&amp;"'!C2:C1000")=$C34)
        ),
        5,
        FALSE
    )="",
    "",
    VLOOKUP(
        $A34,
        _xlfn._xlws.FILTER(
            INDIRECT("'"&amp;O$62&amp;"'!A2:G1000"), (INDIRECT("'"&amp;O$62&amp;"'!B2:B1000")=$B34) * (INDIRECT("'"&amp;O$62&amp;"'!C2:C1000")=$C34)
        ),
        7,
        FALSE
    )
)</f>
        <v/>
      </c>
      <c r="P34" s="60" t="str">
        <f t="array" aca="1" ref="P34" ca="1">IF(
    VLOOKUP(
        $A34,
        _xlfn._xlws.FILTER(
            INDIRECT("'"&amp;P$62&amp;"'!A2:G1000"), (INDIRECT("'"&amp;P$62&amp;"'!B2:B1000")=$B34) * (INDIRECT("'"&amp;P$62&amp;"'!C2:C1000")=$C34)
        ),
        5,
        FALSE
    )="",
    "",
    VLOOKUP(
        $A34,
        _xlfn._xlws.FILTER(
            INDIRECT("'"&amp;P$62&amp;"'!A2:G1000"), (INDIRECT("'"&amp;P$62&amp;"'!B2:B1000")=$B34) * (INDIRECT("'"&amp;P$62&amp;"'!C2:C1000")=$C34)
        ),
        7,
        FALSE
    )
)</f>
        <v/>
      </c>
    </row>
    <row r="35" spans="1:16">
      <c r="A35" s="34" t="s">
        <v>43</v>
      </c>
      <c r="B35" s="60" t="s">
        <v>100</v>
      </c>
      <c r="C35" s="60" t="s">
        <v>75</v>
      </c>
      <c r="D35" s="60" t="str">
        <f t="array" aca="1" ref="D35" ca="1">IF(
    VLOOKUP(
        $A35,
        _xlfn._xlws.FILTER(
            INDIRECT("'"&amp;D$62&amp;"'!A2:G1000"), (INDIRECT("'"&amp;D$62&amp;"'!B2:B1000")=$B35) * (INDIRECT("'"&amp;D$62&amp;"'!C2:C1000")=$C35)
        ),
        5,
        FALSE
    )="",
    "",
    VLOOKUP(
        $A35,
        _xlfn._xlws.FILTER(
            INDIRECT("'"&amp;D$62&amp;"'!A2:G1000"), (INDIRECT("'"&amp;D$62&amp;"'!B2:B1000")=$B35) * (INDIRECT("'"&amp;D$62&amp;"'!C2:C1000")=$C35)
        ),
        7,
        FALSE
    )
)</f>
        <v>Sim</v>
      </c>
      <c r="E35" s="60" t="str">
        <f t="array" aca="1" ref="E35" ca="1">IF(
    VLOOKUP(
        $A35,
        _xlfn._xlws.FILTER(
            INDIRECT("'"&amp;E$62&amp;"'!A2:G1000"), (INDIRECT("'"&amp;E$62&amp;"'!B2:B1000")=$B35) * (INDIRECT("'"&amp;E$62&amp;"'!C2:C1000")=$C35)
        ),
        5,
        FALSE
    )="",
    "",
    VLOOKUP(
        $A35,
        _xlfn._xlws.FILTER(
            INDIRECT("'"&amp;E$62&amp;"'!A2:G1000"), (INDIRECT("'"&amp;E$62&amp;"'!B2:B1000")=$B35) * (INDIRECT("'"&amp;E$62&amp;"'!C2:C1000")=$C35)
        ),
        7,
        FALSE
    )
)</f>
        <v>Não</v>
      </c>
      <c r="F35" s="60" t="str">
        <f t="array" aca="1" ref="F35" ca="1">IF(
    VLOOKUP(
        $A35,
        _xlfn._xlws.FILTER(
            INDIRECT("'"&amp;F$62&amp;"'!A2:G1000"), (INDIRECT("'"&amp;F$62&amp;"'!B2:B1000")=$B35) * (INDIRECT("'"&amp;F$62&amp;"'!C2:C1000")=$C35)
        ),
        5,
        FALSE
    )="",
    "",
    VLOOKUP(
        $A35,
        _xlfn._xlws.FILTER(
            INDIRECT("'"&amp;F$62&amp;"'!A2:G1000"), (INDIRECT("'"&amp;F$62&amp;"'!B2:B1000")=$B35) * (INDIRECT("'"&amp;F$62&amp;"'!C2:C1000")=$C35)
        ),
        7,
        FALSE
    )
)</f>
        <v>Sim</v>
      </c>
      <c r="G35" s="60" t="str">
        <f t="array" aca="1" ref="G35" ca="1">IF(
    VLOOKUP(
        $A35,
        _xlfn._xlws.FILTER(
            INDIRECT("'"&amp;G$62&amp;"'!A2:G1000"), (INDIRECT("'"&amp;G$62&amp;"'!B2:B1000")=$B35) * (INDIRECT("'"&amp;G$62&amp;"'!C2:C1000")=$C35)
        ),
        5,
        FALSE
    )="",
    "",
    VLOOKUP(
        $A35,
        _xlfn._xlws.FILTER(
            INDIRECT("'"&amp;G$62&amp;"'!A2:G1000"), (INDIRECT("'"&amp;G$62&amp;"'!B2:B1000")=$B35) * (INDIRECT("'"&amp;G$62&amp;"'!C2:C1000")=$C35)
        ),
        7,
        FALSE
    )
)</f>
        <v>Sim</v>
      </c>
      <c r="H35" s="60" t="str">
        <f t="array" aca="1" ref="H35" ca="1">IF(
    VLOOKUP(
        $A35,
        _xlfn._xlws.FILTER(
            INDIRECT("'"&amp;H$62&amp;"'!A2:G1000"), (INDIRECT("'"&amp;H$62&amp;"'!B2:B1000")=$B35) * (INDIRECT("'"&amp;H$62&amp;"'!C2:C1000")=$C35)
        ),
        5,
        FALSE
    )="",
    "",
    VLOOKUP(
        $A35,
        _xlfn._xlws.FILTER(
            INDIRECT("'"&amp;H$62&amp;"'!A2:G1000"), (INDIRECT("'"&amp;H$62&amp;"'!B2:B1000")=$B35) * (INDIRECT("'"&amp;H$62&amp;"'!C2:C1000")=$C35)
        ),
        7,
        FALSE
    )
)</f>
        <v>Sim</v>
      </c>
      <c r="I35" s="60" t="str">
        <f t="array" aca="1" ref="I35" ca="1">IF(
    VLOOKUP(
        $A35,
        _xlfn._xlws.FILTER(
            INDIRECT("'"&amp;I$62&amp;"'!A2:G1000"), (INDIRECT("'"&amp;I$62&amp;"'!B2:B1000")=$B35) * (INDIRECT("'"&amp;I$62&amp;"'!C2:C1000")=$C35)
        ),
        5,
        FALSE
    )="",
    "",
    VLOOKUP(
        $A35,
        _xlfn._xlws.FILTER(
            INDIRECT("'"&amp;I$62&amp;"'!A2:G1000"), (INDIRECT("'"&amp;I$62&amp;"'!B2:B1000")=$B35) * (INDIRECT("'"&amp;I$62&amp;"'!C2:C1000")=$C35)
        ),
        7,
        FALSE
    )
)</f>
        <v>Sim</v>
      </c>
      <c r="J35" s="60" t="str">
        <f t="array" aca="1" ref="J35" ca="1">IF(
    VLOOKUP(
        $A35,
        _xlfn._xlws.FILTER(
            INDIRECT("'"&amp;J$62&amp;"'!A2:G1000"), (INDIRECT("'"&amp;J$62&amp;"'!B2:B1000")=$B35) * (INDIRECT("'"&amp;J$62&amp;"'!C2:C1000")=$C35)
        ),
        5,
        FALSE
    )="",
    "",
    VLOOKUP(
        $A35,
        _xlfn._xlws.FILTER(
            INDIRECT("'"&amp;J$62&amp;"'!A2:G1000"), (INDIRECT("'"&amp;J$62&amp;"'!B2:B1000")=$B35) * (INDIRECT("'"&amp;J$62&amp;"'!C2:C1000")=$C35)
        ),
        7,
        FALSE
    )
)</f>
        <v>Sim</v>
      </c>
      <c r="K35" s="60" t="str">
        <f t="array" aca="1" ref="K35" ca="1">IF(
    VLOOKUP(
        $A35,
        _xlfn._xlws.FILTER(
            INDIRECT("'"&amp;K$62&amp;"'!A2:G1000"), (INDIRECT("'"&amp;K$62&amp;"'!B2:B1000")=$B35) * (INDIRECT("'"&amp;K$62&amp;"'!C2:C1000")=$C35)
        ),
        5,
        FALSE
    )="",
    "",
    VLOOKUP(
        $A35,
        _xlfn._xlws.FILTER(
            INDIRECT("'"&amp;K$62&amp;"'!A2:G1000"), (INDIRECT("'"&amp;K$62&amp;"'!B2:B1000")=$B35) * (INDIRECT("'"&amp;K$62&amp;"'!C2:C1000")=$C35)
        ),
        7,
        FALSE
    )
)</f>
        <v>Sim</v>
      </c>
      <c r="L35" s="60" t="str">
        <f t="array" aca="1" ref="L35" ca="1">IF(
    VLOOKUP(
        $A35,
        _xlfn._xlws.FILTER(
            INDIRECT("'"&amp;L$62&amp;"'!A2:G1000"), (INDIRECT("'"&amp;L$62&amp;"'!B2:B1000")=$B35) * (INDIRECT("'"&amp;L$62&amp;"'!C2:C1000")=$C35)
        ),
        5,
        FALSE
    )="",
    "",
    VLOOKUP(
        $A35,
        _xlfn._xlws.FILTER(
            INDIRECT("'"&amp;L$62&amp;"'!A2:G1000"), (INDIRECT("'"&amp;L$62&amp;"'!B2:B1000")=$B35) * (INDIRECT("'"&amp;L$62&amp;"'!C2:C1000")=$C35)
        ),
        7,
        FALSE
    )
)</f>
        <v>Não</v>
      </c>
      <c r="M35" s="60" t="str">
        <f t="array" aca="1" ref="M35" ca="1">IF(
    VLOOKUP(
        $A35,
        _xlfn._xlws.FILTER(
            INDIRECT("'"&amp;M$62&amp;"'!A2:G1000"), (INDIRECT("'"&amp;M$62&amp;"'!B2:B1000")=$B35) * (INDIRECT("'"&amp;M$62&amp;"'!C2:C1000")=$C35)
        ),
        5,
        FALSE
    )="",
    "",
    VLOOKUP(
        $A35,
        _xlfn._xlws.FILTER(
            INDIRECT("'"&amp;M$62&amp;"'!A2:G1000"), (INDIRECT("'"&amp;M$62&amp;"'!B2:B1000")=$B35) * (INDIRECT("'"&amp;M$62&amp;"'!C2:C1000")=$C35)
        ),
        7,
        FALSE
    )
)</f>
        <v>Não</v>
      </c>
      <c r="N35" s="60" t="str">
        <f t="array" aca="1" ref="N35" ca="1">IF(
    VLOOKUP(
        $A35,
        _xlfn._xlws.FILTER(
            INDIRECT("'"&amp;N$62&amp;"'!A2:G1000"), (INDIRECT("'"&amp;N$62&amp;"'!B2:B1000")=$B35) * (INDIRECT("'"&amp;N$62&amp;"'!C2:C1000")=$C35)
        ),
        5,
        FALSE
    )="",
    "",
    VLOOKUP(
        $A35,
        _xlfn._xlws.FILTER(
            INDIRECT("'"&amp;N$62&amp;"'!A2:G1000"), (INDIRECT("'"&amp;N$62&amp;"'!B2:B1000")=$B35) * (INDIRECT("'"&amp;N$62&amp;"'!C2:C1000")=$C35)
        ),
        7,
        FALSE
    )
)</f>
        <v>Não</v>
      </c>
      <c r="O35" s="60" t="str">
        <f t="array" aca="1" ref="O35" ca="1">IF(
    VLOOKUP(
        $A35,
        _xlfn._xlws.FILTER(
            INDIRECT("'"&amp;O$62&amp;"'!A2:G1000"), (INDIRECT("'"&amp;O$62&amp;"'!B2:B1000")=$B35) * (INDIRECT("'"&amp;O$62&amp;"'!C2:C1000")=$C35)
        ),
        5,
        FALSE
    )="",
    "",
    VLOOKUP(
        $A35,
        _xlfn._xlws.FILTER(
            INDIRECT("'"&amp;O$62&amp;"'!A2:G1000"), (INDIRECT("'"&amp;O$62&amp;"'!B2:B1000")=$B35) * (INDIRECT("'"&amp;O$62&amp;"'!C2:C1000")=$C35)
        ),
        7,
        FALSE
    )
)</f>
        <v/>
      </c>
      <c r="P35" s="60" t="str">
        <f t="array" aca="1" ref="P35" ca="1">IF(
    VLOOKUP(
        $A35,
        _xlfn._xlws.FILTER(
            INDIRECT("'"&amp;P$62&amp;"'!A2:G1000"), (INDIRECT("'"&amp;P$62&amp;"'!B2:B1000")=$B35) * (INDIRECT("'"&amp;P$62&amp;"'!C2:C1000")=$C35)
        ),
        5,
        FALSE
    )="",
    "",
    VLOOKUP(
        $A35,
        _xlfn._xlws.FILTER(
            INDIRECT("'"&amp;P$62&amp;"'!A2:G1000"), (INDIRECT("'"&amp;P$62&amp;"'!B2:B1000")=$B35) * (INDIRECT("'"&amp;P$62&amp;"'!C2:C1000")=$C35)
        ),
        7,
        FALSE
    )
)</f>
        <v/>
      </c>
    </row>
    <row r="36" spans="1:16">
      <c r="A36" s="34" t="s">
        <v>43</v>
      </c>
      <c r="B36" s="60" t="s">
        <v>101</v>
      </c>
      <c r="C36" s="60" t="s">
        <v>75</v>
      </c>
      <c r="D36" s="60" t="str">
        <f t="array" aca="1" ref="D36" ca="1">IF(
    VLOOKUP(
        $A36,
        _xlfn._xlws.FILTER(
            INDIRECT("'"&amp;D$62&amp;"'!A2:G1000"), (INDIRECT("'"&amp;D$62&amp;"'!B2:B1000")=$B36) * (INDIRECT("'"&amp;D$62&amp;"'!C2:C1000")=$C36)
        ),
        5,
        FALSE
    )="",
    "",
    VLOOKUP(
        $A36,
        _xlfn._xlws.FILTER(
            INDIRECT("'"&amp;D$62&amp;"'!A2:G1000"), (INDIRECT("'"&amp;D$62&amp;"'!B2:B1000")=$B36) * (INDIRECT("'"&amp;D$62&amp;"'!C2:C1000")=$C36)
        ),
        7,
        FALSE
    )
)</f>
        <v>Não</v>
      </c>
      <c r="E36" s="60" t="str">
        <f t="array" aca="1" ref="E36" ca="1">IF(
    VLOOKUP(
        $A36,
        _xlfn._xlws.FILTER(
            INDIRECT("'"&amp;E$62&amp;"'!A2:G1000"), (INDIRECT("'"&amp;E$62&amp;"'!B2:B1000")=$B36) * (INDIRECT("'"&amp;E$62&amp;"'!C2:C1000")=$C36)
        ),
        5,
        FALSE
    )="",
    "",
    VLOOKUP(
        $A36,
        _xlfn._xlws.FILTER(
            INDIRECT("'"&amp;E$62&amp;"'!A2:G1000"), (INDIRECT("'"&amp;E$62&amp;"'!B2:B1000")=$B36) * (INDIRECT("'"&amp;E$62&amp;"'!C2:C1000")=$C36)
        ),
        7,
        FALSE
    )
)</f>
        <v>Sim</v>
      </c>
      <c r="F36" s="60" t="str">
        <f t="array" aca="1" ref="F36" ca="1">IF(
    VLOOKUP(
        $A36,
        _xlfn._xlws.FILTER(
            INDIRECT("'"&amp;F$62&amp;"'!A2:G1000"), (INDIRECT("'"&amp;F$62&amp;"'!B2:B1000")=$B36) * (INDIRECT("'"&amp;F$62&amp;"'!C2:C1000")=$C36)
        ),
        5,
        FALSE
    )="",
    "",
    VLOOKUP(
        $A36,
        _xlfn._xlws.FILTER(
            INDIRECT("'"&amp;F$62&amp;"'!A2:G1000"), (INDIRECT("'"&amp;F$62&amp;"'!B2:B1000")=$B36) * (INDIRECT("'"&amp;F$62&amp;"'!C2:C1000")=$C36)
        ),
        7,
        FALSE
    )
)</f>
        <v>Sim</v>
      </c>
      <c r="G36" s="60" t="str">
        <f t="array" aca="1" ref="G36" ca="1">IF(
    VLOOKUP(
        $A36,
        _xlfn._xlws.FILTER(
            INDIRECT("'"&amp;G$62&amp;"'!A2:G1000"), (INDIRECT("'"&amp;G$62&amp;"'!B2:B1000")=$B36) * (INDIRECT("'"&amp;G$62&amp;"'!C2:C1000")=$C36)
        ),
        5,
        FALSE
    )="",
    "",
    VLOOKUP(
        $A36,
        _xlfn._xlws.FILTER(
            INDIRECT("'"&amp;G$62&amp;"'!A2:G1000"), (INDIRECT("'"&amp;G$62&amp;"'!B2:B1000")=$B36) * (INDIRECT("'"&amp;G$62&amp;"'!C2:C1000")=$C36)
        ),
        7,
        FALSE
    )
)</f>
        <v>Sim</v>
      </c>
      <c r="H36" s="60" t="str">
        <f t="array" aca="1" ref="H36" ca="1">IF(
    VLOOKUP(
        $A36,
        _xlfn._xlws.FILTER(
            INDIRECT("'"&amp;H$62&amp;"'!A2:G1000"), (INDIRECT("'"&amp;H$62&amp;"'!B2:B1000")=$B36) * (INDIRECT("'"&amp;H$62&amp;"'!C2:C1000")=$C36)
        ),
        5,
        FALSE
    )="",
    "",
    VLOOKUP(
        $A36,
        _xlfn._xlws.FILTER(
            INDIRECT("'"&amp;H$62&amp;"'!A2:G1000"), (INDIRECT("'"&amp;H$62&amp;"'!B2:B1000")=$B36) * (INDIRECT("'"&amp;H$62&amp;"'!C2:C1000")=$C36)
        ),
        7,
        FALSE
    )
)</f>
        <v>Sim</v>
      </c>
      <c r="I36" s="60" t="str">
        <f t="array" aca="1" ref="I36" ca="1">IF(
    VLOOKUP(
        $A36,
        _xlfn._xlws.FILTER(
            INDIRECT("'"&amp;I$62&amp;"'!A2:G1000"), (INDIRECT("'"&amp;I$62&amp;"'!B2:B1000")=$B36) * (INDIRECT("'"&amp;I$62&amp;"'!C2:C1000")=$C36)
        ),
        5,
        FALSE
    )="",
    "",
    VLOOKUP(
        $A36,
        _xlfn._xlws.FILTER(
            INDIRECT("'"&amp;I$62&amp;"'!A2:G1000"), (INDIRECT("'"&amp;I$62&amp;"'!B2:B1000")=$B36) * (INDIRECT("'"&amp;I$62&amp;"'!C2:C1000")=$C36)
        ),
        7,
        FALSE
    )
)</f>
        <v>Sim</v>
      </c>
      <c r="J36" s="60" t="str">
        <f t="array" aca="1" ref="J36" ca="1">IF(
    VLOOKUP(
        $A36,
        _xlfn._xlws.FILTER(
            INDIRECT("'"&amp;J$62&amp;"'!A2:G1000"), (INDIRECT("'"&amp;J$62&amp;"'!B2:B1000")=$B36) * (INDIRECT("'"&amp;J$62&amp;"'!C2:C1000")=$C36)
        ),
        5,
        FALSE
    )="",
    "",
    VLOOKUP(
        $A36,
        _xlfn._xlws.FILTER(
            INDIRECT("'"&amp;J$62&amp;"'!A2:G1000"), (INDIRECT("'"&amp;J$62&amp;"'!B2:B1000")=$B36) * (INDIRECT("'"&amp;J$62&amp;"'!C2:C1000")=$C36)
        ),
        7,
        FALSE
    )
)</f>
        <v>Sim</v>
      </c>
      <c r="K36" s="60" t="str">
        <f t="array" aca="1" ref="K36" ca="1">IF(
    VLOOKUP(
        $A36,
        _xlfn._xlws.FILTER(
            INDIRECT("'"&amp;K$62&amp;"'!A2:G1000"), (INDIRECT("'"&amp;K$62&amp;"'!B2:B1000")=$B36) * (INDIRECT("'"&amp;K$62&amp;"'!C2:C1000")=$C36)
        ),
        5,
        FALSE
    )="",
    "",
    VLOOKUP(
        $A36,
        _xlfn._xlws.FILTER(
            INDIRECT("'"&amp;K$62&amp;"'!A2:G1000"), (INDIRECT("'"&amp;K$62&amp;"'!B2:B1000")=$B36) * (INDIRECT("'"&amp;K$62&amp;"'!C2:C1000")=$C36)
        ),
        7,
        FALSE
    )
)</f>
        <v>Sim</v>
      </c>
      <c r="L36" s="60" t="str">
        <f t="array" aca="1" ref="L36" ca="1">IF(
    VLOOKUP(
        $A36,
        _xlfn._xlws.FILTER(
            INDIRECT("'"&amp;L$62&amp;"'!A2:G1000"), (INDIRECT("'"&amp;L$62&amp;"'!B2:B1000")=$B36) * (INDIRECT("'"&amp;L$62&amp;"'!C2:C1000")=$C36)
        ),
        5,
        FALSE
    )="",
    "",
    VLOOKUP(
        $A36,
        _xlfn._xlws.FILTER(
            INDIRECT("'"&amp;L$62&amp;"'!A2:G1000"), (INDIRECT("'"&amp;L$62&amp;"'!B2:B1000")=$B36) * (INDIRECT("'"&amp;L$62&amp;"'!C2:C1000")=$C36)
        ),
        7,
        FALSE
    )
)</f>
        <v>Não</v>
      </c>
      <c r="M36" s="60" t="str">
        <f t="array" aca="1" ref="M36" ca="1">IF(
    VLOOKUP(
        $A36,
        _xlfn._xlws.FILTER(
            INDIRECT("'"&amp;M$62&amp;"'!A2:G1000"), (INDIRECT("'"&amp;M$62&amp;"'!B2:B1000")=$B36) * (INDIRECT("'"&amp;M$62&amp;"'!C2:C1000")=$C36)
        ),
        5,
        FALSE
    )="",
    "",
    VLOOKUP(
        $A36,
        _xlfn._xlws.FILTER(
            INDIRECT("'"&amp;M$62&amp;"'!A2:G1000"), (INDIRECT("'"&amp;M$62&amp;"'!B2:B1000")=$B36) * (INDIRECT("'"&amp;M$62&amp;"'!C2:C1000")=$C36)
        ),
        7,
        FALSE
    )
)</f>
        <v>Não</v>
      </c>
      <c r="N36" s="60" t="str">
        <f t="array" aca="1" ref="N36" ca="1">IF(
    VLOOKUP(
        $A36,
        _xlfn._xlws.FILTER(
            INDIRECT("'"&amp;N$62&amp;"'!A2:G1000"), (INDIRECT("'"&amp;N$62&amp;"'!B2:B1000")=$B36) * (INDIRECT("'"&amp;N$62&amp;"'!C2:C1000")=$C36)
        ),
        5,
        FALSE
    )="",
    "",
    VLOOKUP(
        $A36,
        _xlfn._xlws.FILTER(
            INDIRECT("'"&amp;N$62&amp;"'!A2:G1000"), (INDIRECT("'"&amp;N$62&amp;"'!B2:B1000")=$B36) * (INDIRECT("'"&amp;N$62&amp;"'!C2:C1000")=$C36)
        ),
        7,
        FALSE
    )
)</f>
        <v>Não</v>
      </c>
      <c r="O36" s="60" t="str">
        <f t="array" aca="1" ref="O36" ca="1">IF(
    VLOOKUP(
        $A36,
        _xlfn._xlws.FILTER(
            INDIRECT("'"&amp;O$62&amp;"'!A2:G1000"), (INDIRECT("'"&amp;O$62&amp;"'!B2:B1000")=$B36) * (INDIRECT("'"&amp;O$62&amp;"'!C2:C1000")=$C36)
        ),
        5,
        FALSE
    )="",
    "",
    VLOOKUP(
        $A36,
        _xlfn._xlws.FILTER(
            INDIRECT("'"&amp;O$62&amp;"'!A2:G1000"), (INDIRECT("'"&amp;O$62&amp;"'!B2:B1000")=$B36) * (INDIRECT("'"&amp;O$62&amp;"'!C2:C1000")=$C36)
        ),
        7,
        FALSE
    )
)</f>
        <v/>
      </c>
      <c r="P36" s="60" t="str">
        <f t="array" aca="1" ref="P36" ca="1">IF(
    VLOOKUP(
        $A36,
        _xlfn._xlws.FILTER(
            INDIRECT("'"&amp;P$62&amp;"'!A2:G1000"), (INDIRECT("'"&amp;P$62&amp;"'!B2:B1000")=$B36) * (INDIRECT("'"&amp;P$62&amp;"'!C2:C1000")=$C36)
        ),
        5,
        FALSE
    )="",
    "",
    VLOOKUP(
        $A36,
        _xlfn._xlws.FILTER(
            INDIRECT("'"&amp;P$62&amp;"'!A2:G1000"), (INDIRECT("'"&amp;P$62&amp;"'!B2:B1000")=$B36) * (INDIRECT("'"&amp;P$62&amp;"'!C2:C1000")=$C36)
        ),
        7,
        FALSE
    )
)</f>
        <v/>
      </c>
    </row>
    <row r="37" spans="1:16">
      <c r="A37" s="34" t="s">
        <v>43</v>
      </c>
      <c r="B37" s="60" t="s">
        <v>102</v>
      </c>
      <c r="C37" s="60" t="s">
        <v>75</v>
      </c>
      <c r="D37" s="60" t="str">
        <f t="array" aca="1" ref="D37" ca="1">IF(
    VLOOKUP(
        $A37,
        _xlfn._xlws.FILTER(
            INDIRECT("'"&amp;D$62&amp;"'!A2:G1000"), (INDIRECT("'"&amp;D$62&amp;"'!B2:B1000")=$B37) * (INDIRECT("'"&amp;D$62&amp;"'!C2:C1000")=$C37)
        ),
        5,
        FALSE
    )="",
    "",
    VLOOKUP(
        $A37,
        _xlfn._xlws.FILTER(
            INDIRECT("'"&amp;D$62&amp;"'!A2:G1000"), (INDIRECT("'"&amp;D$62&amp;"'!B2:B1000")=$B37) * (INDIRECT("'"&amp;D$62&amp;"'!C2:C1000")=$C37)
        ),
        7,
        FALSE
    )
)</f>
        <v>Sim</v>
      </c>
      <c r="E37" s="60" t="str">
        <f t="array" aca="1" ref="E37" ca="1">IF(
    VLOOKUP(
        $A37,
        _xlfn._xlws.FILTER(
            INDIRECT("'"&amp;E$62&amp;"'!A2:G1000"), (INDIRECT("'"&amp;E$62&amp;"'!B2:B1000")=$B37) * (INDIRECT("'"&amp;E$62&amp;"'!C2:C1000")=$C37)
        ),
        5,
        FALSE
    )="",
    "",
    VLOOKUP(
        $A37,
        _xlfn._xlws.FILTER(
            INDIRECT("'"&amp;E$62&amp;"'!A2:G1000"), (INDIRECT("'"&amp;E$62&amp;"'!B2:B1000")=$B37) * (INDIRECT("'"&amp;E$62&amp;"'!C2:C1000")=$C37)
        ),
        7,
        FALSE
    )
)</f>
        <v>Sim</v>
      </c>
      <c r="F37" s="60" t="str">
        <f t="array" aca="1" ref="F37" ca="1">IF(
    VLOOKUP(
        $A37,
        _xlfn._xlws.FILTER(
            INDIRECT("'"&amp;F$62&amp;"'!A2:G1000"), (INDIRECT("'"&amp;F$62&amp;"'!B2:B1000")=$B37) * (INDIRECT("'"&amp;F$62&amp;"'!C2:C1000")=$C37)
        ),
        5,
        FALSE
    )="",
    "",
    VLOOKUP(
        $A37,
        _xlfn._xlws.FILTER(
            INDIRECT("'"&amp;F$62&amp;"'!A2:G1000"), (INDIRECT("'"&amp;F$62&amp;"'!B2:B1000")=$B37) * (INDIRECT("'"&amp;F$62&amp;"'!C2:C1000")=$C37)
        ),
        7,
        FALSE
    )
)</f>
        <v>Sim</v>
      </c>
      <c r="G37" s="60" t="str">
        <f t="array" aca="1" ref="G37" ca="1">IF(
    VLOOKUP(
        $A37,
        _xlfn._xlws.FILTER(
            INDIRECT("'"&amp;G$62&amp;"'!A2:G1000"), (INDIRECT("'"&amp;G$62&amp;"'!B2:B1000")=$B37) * (INDIRECT("'"&amp;G$62&amp;"'!C2:C1000")=$C37)
        ),
        5,
        FALSE
    )="",
    "",
    VLOOKUP(
        $A37,
        _xlfn._xlws.FILTER(
            INDIRECT("'"&amp;G$62&amp;"'!A2:G1000"), (INDIRECT("'"&amp;G$62&amp;"'!B2:B1000")=$B37) * (INDIRECT("'"&amp;G$62&amp;"'!C2:C1000")=$C37)
        ),
        7,
        FALSE
    )
)</f>
        <v>Não</v>
      </c>
      <c r="H37" s="60" t="str">
        <f t="array" aca="1" ref="H37" ca="1">IF(
    VLOOKUP(
        $A37,
        _xlfn._xlws.FILTER(
            INDIRECT("'"&amp;H$62&amp;"'!A2:G1000"), (INDIRECT("'"&amp;H$62&amp;"'!B2:B1000")=$B37) * (INDIRECT("'"&amp;H$62&amp;"'!C2:C1000")=$C37)
        ),
        5,
        FALSE
    )="",
    "",
    VLOOKUP(
        $A37,
        _xlfn._xlws.FILTER(
            INDIRECT("'"&amp;H$62&amp;"'!A2:G1000"), (INDIRECT("'"&amp;H$62&amp;"'!B2:B1000")=$B37) * (INDIRECT("'"&amp;H$62&amp;"'!C2:C1000")=$C37)
        ),
        7,
        FALSE
    )
)</f>
        <v>Não</v>
      </c>
      <c r="I37" s="60" t="str">
        <f t="array" aca="1" ref="I37" ca="1">IF(
    VLOOKUP(
        $A37,
        _xlfn._xlws.FILTER(
            INDIRECT("'"&amp;I$62&amp;"'!A2:G1000"), (INDIRECT("'"&amp;I$62&amp;"'!B2:B1000")=$B37) * (INDIRECT("'"&amp;I$62&amp;"'!C2:C1000")=$C37)
        ),
        5,
        FALSE
    )="",
    "",
    VLOOKUP(
        $A37,
        _xlfn._xlws.FILTER(
            INDIRECT("'"&amp;I$62&amp;"'!A2:G1000"), (INDIRECT("'"&amp;I$62&amp;"'!B2:B1000")=$B37) * (INDIRECT("'"&amp;I$62&amp;"'!C2:C1000")=$C37)
        ),
        7,
        FALSE
    )
)</f>
        <v>Sim</v>
      </c>
      <c r="J37" s="60" t="str">
        <f t="array" aca="1" ref="J37" ca="1">IF(
    VLOOKUP(
        $A37,
        _xlfn._xlws.FILTER(
            INDIRECT("'"&amp;J$62&amp;"'!A2:G1000"), (INDIRECT("'"&amp;J$62&amp;"'!B2:B1000")=$B37) * (INDIRECT("'"&amp;J$62&amp;"'!C2:C1000")=$C37)
        ),
        5,
        FALSE
    )="",
    "",
    VLOOKUP(
        $A37,
        _xlfn._xlws.FILTER(
            INDIRECT("'"&amp;J$62&amp;"'!A2:G1000"), (INDIRECT("'"&amp;J$62&amp;"'!B2:B1000")=$B37) * (INDIRECT("'"&amp;J$62&amp;"'!C2:C1000")=$C37)
        ),
        7,
        FALSE
    )
)</f>
        <v>Sim</v>
      </c>
      <c r="K37" s="60" t="str">
        <f t="array" aca="1" ref="K37" ca="1">IF(
    VLOOKUP(
        $A37,
        _xlfn._xlws.FILTER(
            INDIRECT("'"&amp;K$62&amp;"'!A2:G1000"), (INDIRECT("'"&amp;K$62&amp;"'!B2:B1000")=$B37) * (INDIRECT("'"&amp;K$62&amp;"'!C2:C1000")=$C37)
        ),
        5,
        FALSE
    )="",
    "",
    VLOOKUP(
        $A37,
        _xlfn._xlws.FILTER(
            INDIRECT("'"&amp;K$62&amp;"'!A2:G1000"), (INDIRECT("'"&amp;K$62&amp;"'!B2:B1000")=$B37) * (INDIRECT("'"&amp;K$62&amp;"'!C2:C1000")=$C37)
        ),
        7,
        FALSE
    )
)</f>
        <v>Não</v>
      </c>
      <c r="L37" s="60" t="str">
        <f t="array" aca="1" ref="L37" ca="1">IF(
    VLOOKUP(
        $A37,
        _xlfn._xlws.FILTER(
            INDIRECT("'"&amp;L$62&amp;"'!A2:G1000"), (INDIRECT("'"&amp;L$62&amp;"'!B2:B1000")=$B37) * (INDIRECT("'"&amp;L$62&amp;"'!C2:C1000")=$C37)
        ),
        5,
        FALSE
    )="",
    "",
    VLOOKUP(
        $A37,
        _xlfn._xlws.FILTER(
            INDIRECT("'"&amp;L$62&amp;"'!A2:G1000"), (INDIRECT("'"&amp;L$62&amp;"'!B2:B1000")=$B37) * (INDIRECT("'"&amp;L$62&amp;"'!C2:C1000")=$C37)
        ),
        7,
        FALSE
    )
)</f>
        <v>Não</v>
      </c>
      <c r="M37" s="60" t="str">
        <f t="array" aca="1" ref="M37" ca="1">IF(
    VLOOKUP(
        $A37,
        _xlfn._xlws.FILTER(
            INDIRECT("'"&amp;M$62&amp;"'!A2:G1000"), (INDIRECT("'"&amp;M$62&amp;"'!B2:B1000")=$B37) * (INDIRECT("'"&amp;M$62&amp;"'!C2:C1000")=$C37)
        ),
        5,
        FALSE
    )="",
    "",
    VLOOKUP(
        $A37,
        _xlfn._xlws.FILTER(
            INDIRECT("'"&amp;M$62&amp;"'!A2:G1000"), (INDIRECT("'"&amp;M$62&amp;"'!B2:B1000")=$B37) * (INDIRECT("'"&amp;M$62&amp;"'!C2:C1000")=$C37)
        ),
        7,
        FALSE
    )
)</f>
        <v>Não</v>
      </c>
      <c r="N37" s="60" t="str">
        <f t="array" aca="1" ref="N37" ca="1">IF(
    VLOOKUP(
        $A37,
        _xlfn._xlws.FILTER(
            INDIRECT("'"&amp;N$62&amp;"'!A2:G1000"), (INDIRECT("'"&amp;N$62&amp;"'!B2:B1000")=$B37) * (INDIRECT("'"&amp;N$62&amp;"'!C2:C1000")=$C37)
        ),
        5,
        FALSE
    )="",
    "",
    VLOOKUP(
        $A37,
        _xlfn._xlws.FILTER(
            INDIRECT("'"&amp;N$62&amp;"'!A2:G1000"), (INDIRECT("'"&amp;N$62&amp;"'!B2:B1000")=$B37) * (INDIRECT("'"&amp;N$62&amp;"'!C2:C1000")=$C37)
        ),
        7,
        FALSE
    )
)</f>
        <v>Não</v>
      </c>
      <c r="O37" s="60" t="str">
        <f t="array" aca="1" ref="O37" ca="1">IF(
    VLOOKUP(
        $A37,
        _xlfn._xlws.FILTER(
            INDIRECT("'"&amp;O$62&amp;"'!A2:G1000"), (INDIRECT("'"&amp;O$62&amp;"'!B2:B1000")=$B37) * (INDIRECT("'"&amp;O$62&amp;"'!C2:C1000")=$C37)
        ),
        5,
        FALSE
    )="",
    "",
    VLOOKUP(
        $A37,
        _xlfn._xlws.FILTER(
            INDIRECT("'"&amp;O$62&amp;"'!A2:G1000"), (INDIRECT("'"&amp;O$62&amp;"'!B2:B1000")=$B37) * (INDIRECT("'"&amp;O$62&amp;"'!C2:C1000")=$C37)
        ),
        7,
        FALSE
    )
)</f>
        <v/>
      </c>
      <c r="P37" s="60" t="str">
        <f t="array" aca="1" ref="P37" ca="1">IF(
    VLOOKUP(
        $A37,
        _xlfn._xlws.FILTER(
            INDIRECT("'"&amp;P$62&amp;"'!A2:G1000"), (INDIRECT("'"&amp;P$62&amp;"'!B2:B1000")=$B37) * (INDIRECT("'"&amp;P$62&amp;"'!C2:C1000")=$C37)
        ),
        5,
        FALSE
    )="",
    "",
    VLOOKUP(
        $A37,
        _xlfn._xlws.FILTER(
            INDIRECT("'"&amp;P$62&amp;"'!A2:G1000"), (INDIRECT("'"&amp;P$62&amp;"'!B2:B1000")=$B37) * (INDIRECT("'"&amp;P$62&amp;"'!C2:C1000")=$C37)
        ),
        7,
        FALSE
    )
)</f>
        <v/>
      </c>
    </row>
    <row r="38" spans="1:16">
      <c r="A38" s="34" t="s">
        <v>43</v>
      </c>
      <c r="B38" s="60" t="s">
        <v>103</v>
      </c>
      <c r="C38" s="60" t="s">
        <v>75</v>
      </c>
      <c r="D38" s="60" t="str">
        <f t="array" aca="1" ref="D38" ca="1">IF(
    VLOOKUP(
        $A38,
        _xlfn._xlws.FILTER(
            INDIRECT("'"&amp;D$62&amp;"'!A2:G1000"), (INDIRECT("'"&amp;D$62&amp;"'!B2:B1000")=$B38) * (INDIRECT("'"&amp;D$62&amp;"'!C2:C1000")=$C38)
        ),
        5,
        FALSE
    )="",
    "",
    VLOOKUP(
        $A38,
        _xlfn._xlws.FILTER(
            INDIRECT("'"&amp;D$62&amp;"'!A2:G1000"), (INDIRECT("'"&amp;D$62&amp;"'!B2:B1000")=$B38) * (INDIRECT("'"&amp;D$62&amp;"'!C2:C1000")=$C38)
        ),
        7,
        FALSE
    )
)</f>
        <v>Sim</v>
      </c>
      <c r="E38" s="60" t="str">
        <f t="array" aca="1" ref="E38" ca="1">IF(
    VLOOKUP(
        $A38,
        _xlfn._xlws.FILTER(
            INDIRECT("'"&amp;E$62&amp;"'!A2:G1000"), (INDIRECT("'"&amp;E$62&amp;"'!B2:B1000")=$B38) * (INDIRECT("'"&amp;E$62&amp;"'!C2:C1000")=$C38)
        ),
        5,
        FALSE
    )="",
    "",
    VLOOKUP(
        $A38,
        _xlfn._xlws.FILTER(
            INDIRECT("'"&amp;E$62&amp;"'!A2:G1000"), (INDIRECT("'"&amp;E$62&amp;"'!B2:B1000")=$B38) * (INDIRECT("'"&amp;E$62&amp;"'!C2:C1000")=$C38)
        ),
        7,
        FALSE
    )
)</f>
        <v>Não</v>
      </c>
      <c r="F38" s="60" t="str">
        <f t="array" aca="1" ref="F38" ca="1">IF(
    VLOOKUP(
        $A38,
        _xlfn._xlws.FILTER(
            INDIRECT("'"&amp;F$62&amp;"'!A2:G1000"), (INDIRECT("'"&amp;F$62&amp;"'!B2:B1000")=$B38) * (INDIRECT("'"&amp;F$62&amp;"'!C2:C1000")=$C38)
        ),
        5,
        FALSE
    )="",
    "",
    VLOOKUP(
        $A38,
        _xlfn._xlws.FILTER(
            INDIRECT("'"&amp;F$62&amp;"'!A2:G1000"), (INDIRECT("'"&amp;F$62&amp;"'!B2:B1000")=$B38) * (INDIRECT("'"&amp;F$62&amp;"'!C2:C1000")=$C38)
        ),
        7,
        FALSE
    )
)</f>
        <v>Sim</v>
      </c>
      <c r="G38" s="60" t="str">
        <f t="array" aca="1" ref="G38" ca="1">IF(
    VLOOKUP(
        $A38,
        _xlfn._xlws.FILTER(
            INDIRECT("'"&amp;G$62&amp;"'!A2:G1000"), (INDIRECT("'"&amp;G$62&amp;"'!B2:B1000")=$B38) * (INDIRECT("'"&amp;G$62&amp;"'!C2:C1000")=$C38)
        ),
        5,
        FALSE
    )="",
    "",
    VLOOKUP(
        $A38,
        _xlfn._xlws.FILTER(
            INDIRECT("'"&amp;G$62&amp;"'!A2:G1000"), (INDIRECT("'"&amp;G$62&amp;"'!B2:B1000")=$B38) * (INDIRECT("'"&amp;G$62&amp;"'!C2:C1000")=$C38)
        ),
        7,
        FALSE
    )
)</f>
        <v>Sim</v>
      </c>
      <c r="H38" s="60" t="str">
        <f t="array" aca="1" ref="H38" ca="1">IF(
    VLOOKUP(
        $A38,
        _xlfn._xlws.FILTER(
            INDIRECT("'"&amp;H$62&amp;"'!A2:G1000"), (INDIRECT("'"&amp;H$62&amp;"'!B2:B1000")=$B38) * (INDIRECT("'"&amp;H$62&amp;"'!C2:C1000")=$C38)
        ),
        5,
        FALSE
    )="",
    "",
    VLOOKUP(
        $A38,
        _xlfn._xlws.FILTER(
            INDIRECT("'"&amp;H$62&amp;"'!A2:G1000"), (INDIRECT("'"&amp;H$62&amp;"'!B2:B1000")=$B38) * (INDIRECT("'"&amp;H$62&amp;"'!C2:C1000")=$C38)
        ),
        7,
        FALSE
    )
)</f>
        <v>Sim</v>
      </c>
      <c r="I38" s="60" t="str">
        <f t="array" aca="1" ref="I38" ca="1">IF(
    VLOOKUP(
        $A38,
        _xlfn._xlws.FILTER(
            INDIRECT("'"&amp;I$62&amp;"'!A2:G1000"), (INDIRECT("'"&amp;I$62&amp;"'!B2:B1000")=$B38) * (INDIRECT("'"&amp;I$62&amp;"'!C2:C1000")=$C38)
        ),
        5,
        FALSE
    )="",
    "",
    VLOOKUP(
        $A38,
        _xlfn._xlws.FILTER(
            INDIRECT("'"&amp;I$62&amp;"'!A2:G1000"), (INDIRECT("'"&amp;I$62&amp;"'!B2:B1000")=$B38) * (INDIRECT("'"&amp;I$62&amp;"'!C2:C1000")=$C38)
        ),
        7,
        FALSE
    )
)</f>
        <v>Sim</v>
      </c>
      <c r="J38" s="60" t="str">
        <f t="array" aca="1" ref="J38" ca="1">IF(
    VLOOKUP(
        $A38,
        _xlfn._xlws.FILTER(
            INDIRECT("'"&amp;J$62&amp;"'!A2:G1000"), (INDIRECT("'"&amp;J$62&amp;"'!B2:B1000")=$B38) * (INDIRECT("'"&amp;J$62&amp;"'!C2:C1000")=$C38)
        ),
        5,
        FALSE
    )="",
    "",
    VLOOKUP(
        $A38,
        _xlfn._xlws.FILTER(
            INDIRECT("'"&amp;J$62&amp;"'!A2:G1000"), (INDIRECT("'"&amp;J$62&amp;"'!B2:B1000")=$B38) * (INDIRECT("'"&amp;J$62&amp;"'!C2:C1000")=$C38)
        ),
        7,
        FALSE
    )
)</f>
        <v>Sim</v>
      </c>
      <c r="K38" s="60" t="str">
        <f t="array" aca="1" ref="K38" ca="1">IF(
    VLOOKUP(
        $A38,
        _xlfn._xlws.FILTER(
            INDIRECT("'"&amp;K$62&amp;"'!A2:G1000"), (INDIRECT("'"&amp;K$62&amp;"'!B2:B1000")=$B38) * (INDIRECT("'"&amp;K$62&amp;"'!C2:C1000")=$C38)
        ),
        5,
        FALSE
    )="",
    "",
    VLOOKUP(
        $A38,
        _xlfn._xlws.FILTER(
            INDIRECT("'"&amp;K$62&amp;"'!A2:G1000"), (INDIRECT("'"&amp;K$62&amp;"'!B2:B1000")=$B38) * (INDIRECT("'"&amp;K$62&amp;"'!C2:C1000")=$C38)
        ),
        7,
        FALSE
    )
)</f>
        <v>Sim</v>
      </c>
      <c r="L38" s="60" t="str">
        <f t="array" aca="1" ref="L38" ca="1">IF(
    VLOOKUP(
        $A38,
        _xlfn._xlws.FILTER(
            INDIRECT("'"&amp;L$62&amp;"'!A2:G1000"), (INDIRECT("'"&amp;L$62&amp;"'!B2:B1000")=$B38) * (INDIRECT("'"&amp;L$62&amp;"'!C2:C1000")=$C38)
        ),
        5,
        FALSE
    )="",
    "",
    VLOOKUP(
        $A38,
        _xlfn._xlws.FILTER(
            INDIRECT("'"&amp;L$62&amp;"'!A2:G1000"), (INDIRECT("'"&amp;L$62&amp;"'!B2:B1000")=$B38) * (INDIRECT("'"&amp;L$62&amp;"'!C2:C1000")=$C38)
        ),
        7,
        FALSE
    )
)</f>
        <v>Não</v>
      </c>
      <c r="M38" s="60" t="str">
        <f t="array" aca="1" ref="M38" ca="1">IF(
    VLOOKUP(
        $A38,
        _xlfn._xlws.FILTER(
            INDIRECT("'"&amp;M$62&amp;"'!A2:G1000"), (INDIRECT("'"&amp;M$62&amp;"'!B2:B1000")=$B38) * (INDIRECT("'"&amp;M$62&amp;"'!C2:C1000")=$C38)
        ),
        5,
        FALSE
    )="",
    "",
    VLOOKUP(
        $A38,
        _xlfn._xlws.FILTER(
            INDIRECT("'"&amp;M$62&amp;"'!A2:G1000"), (INDIRECT("'"&amp;M$62&amp;"'!B2:B1000")=$B38) * (INDIRECT("'"&amp;M$62&amp;"'!C2:C1000")=$C38)
        ),
        7,
        FALSE
    )
)</f>
        <v>Não</v>
      </c>
      <c r="N38" s="60" t="str">
        <f t="array" aca="1" ref="N38" ca="1">IF(
    VLOOKUP(
        $A38,
        _xlfn._xlws.FILTER(
            INDIRECT("'"&amp;N$62&amp;"'!A2:G1000"), (INDIRECT("'"&amp;N$62&amp;"'!B2:B1000")=$B38) * (INDIRECT("'"&amp;N$62&amp;"'!C2:C1000")=$C38)
        ),
        5,
        FALSE
    )="",
    "",
    VLOOKUP(
        $A38,
        _xlfn._xlws.FILTER(
            INDIRECT("'"&amp;N$62&amp;"'!A2:G1000"), (INDIRECT("'"&amp;N$62&amp;"'!B2:B1000")=$B38) * (INDIRECT("'"&amp;N$62&amp;"'!C2:C1000")=$C38)
        ),
        7,
        FALSE
    )
)</f>
        <v>Não</v>
      </c>
      <c r="O38" s="60" t="str">
        <f t="array" aca="1" ref="O38" ca="1">IF(
    VLOOKUP(
        $A38,
        _xlfn._xlws.FILTER(
            INDIRECT("'"&amp;O$62&amp;"'!A2:G1000"), (INDIRECT("'"&amp;O$62&amp;"'!B2:B1000")=$B38) * (INDIRECT("'"&amp;O$62&amp;"'!C2:C1000")=$C38)
        ),
        5,
        FALSE
    )="",
    "",
    VLOOKUP(
        $A38,
        _xlfn._xlws.FILTER(
            INDIRECT("'"&amp;O$62&amp;"'!A2:G1000"), (INDIRECT("'"&amp;O$62&amp;"'!B2:B1000")=$B38) * (INDIRECT("'"&amp;O$62&amp;"'!C2:C1000")=$C38)
        ),
        7,
        FALSE
    )
)</f>
        <v/>
      </c>
      <c r="P38" s="60" t="str">
        <f t="array" aca="1" ref="P38" ca="1">IF(
    VLOOKUP(
        $A38,
        _xlfn._xlws.FILTER(
            INDIRECT("'"&amp;P$62&amp;"'!A2:G1000"), (INDIRECT("'"&amp;P$62&amp;"'!B2:B1000")=$B38) * (INDIRECT("'"&amp;P$62&amp;"'!C2:C1000")=$C38)
        ),
        5,
        FALSE
    )="",
    "",
    VLOOKUP(
        $A38,
        _xlfn._xlws.FILTER(
            INDIRECT("'"&amp;P$62&amp;"'!A2:G1000"), (INDIRECT("'"&amp;P$62&amp;"'!B2:B1000")=$B38) * (INDIRECT("'"&amp;P$62&amp;"'!C2:C1000")=$C38)
        ),
        7,
        FALSE
    )
)</f>
        <v/>
      </c>
    </row>
    <row r="39" spans="1:16">
      <c r="A39" s="34" t="s">
        <v>43</v>
      </c>
      <c r="B39" s="60" t="s">
        <v>104</v>
      </c>
      <c r="C39" s="60" t="s">
        <v>75</v>
      </c>
      <c r="D39" s="60" t="str">
        <f t="array" aca="1" ref="D39" ca="1">IF(
    VLOOKUP(
        $A39,
        _xlfn._xlws.FILTER(
            INDIRECT("'"&amp;D$62&amp;"'!A2:G1000"), (INDIRECT("'"&amp;D$62&amp;"'!B2:B1000")=$B39) * (INDIRECT("'"&amp;D$62&amp;"'!C2:C1000")=$C39)
        ),
        5,
        FALSE
    )="",
    "",
    VLOOKUP(
        $A39,
        _xlfn._xlws.FILTER(
            INDIRECT("'"&amp;D$62&amp;"'!A2:G1000"), (INDIRECT("'"&amp;D$62&amp;"'!B2:B1000")=$B39) * (INDIRECT("'"&amp;D$62&amp;"'!C2:C1000")=$C39)
        ),
        7,
        FALSE
    )
)</f>
        <v>Sim</v>
      </c>
      <c r="E39" s="60" t="str">
        <f t="array" aca="1" ref="E39" ca="1">IF(
    VLOOKUP(
        $A39,
        _xlfn._xlws.FILTER(
            INDIRECT("'"&amp;E$62&amp;"'!A2:G1000"), (INDIRECT("'"&amp;E$62&amp;"'!B2:B1000")=$B39) * (INDIRECT("'"&amp;E$62&amp;"'!C2:C1000")=$C39)
        ),
        5,
        FALSE
    )="",
    "",
    VLOOKUP(
        $A39,
        _xlfn._xlws.FILTER(
            INDIRECT("'"&amp;E$62&amp;"'!A2:G1000"), (INDIRECT("'"&amp;E$62&amp;"'!B2:B1000")=$B39) * (INDIRECT("'"&amp;E$62&amp;"'!C2:C1000")=$C39)
        ),
        7,
        FALSE
    )
)</f>
        <v>Não</v>
      </c>
      <c r="F39" s="60" t="str">
        <f t="array" aca="1" ref="F39" ca="1">IF(
    VLOOKUP(
        $A39,
        _xlfn._xlws.FILTER(
            INDIRECT("'"&amp;F$62&amp;"'!A2:G1000"), (INDIRECT("'"&amp;F$62&amp;"'!B2:B1000")=$B39) * (INDIRECT("'"&amp;F$62&amp;"'!C2:C1000")=$C39)
        ),
        5,
        FALSE
    )="",
    "",
    VLOOKUP(
        $A39,
        _xlfn._xlws.FILTER(
            INDIRECT("'"&amp;F$62&amp;"'!A2:G1000"), (INDIRECT("'"&amp;F$62&amp;"'!B2:B1000")=$B39) * (INDIRECT("'"&amp;F$62&amp;"'!C2:C1000")=$C39)
        ),
        7,
        FALSE
    )
)</f>
        <v>Sim</v>
      </c>
      <c r="G39" s="60" t="str">
        <f t="array" aca="1" ref="G39" ca="1">IF(
    VLOOKUP(
        $A39,
        _xlfn._xlws.FILTER(
            INDIRECT("'"&amp;G$62&amp;"'!A2:G1000"), (INDIRECT("'"&amp;G$62&amp;"'!B2:B1000")=$B39) * (INDIRECT("'"&amp;G$62&amp;"'!C2:C1000")=$C39)
        ),
        5,
        FALSE
    )="",
    "",
    VLOOKUP(
        $A39,
        _xlfn._xlws.FILTER(
            INDIRECT("'"&amp;G$62&amp;"'!A2:G1000"), (INDIRECT("'"&amp;G$62&amp;"'!B2:B1000")=$B39) * (INDIRECT("'"&amp;G$62&amp;"'!C2:C1000")=$C39)
        ),
        7,
        FALSE
    )
)</f>
        <v>Sim</v>
      </c>
      <c r="H39" s="60" t="str">
        <f t="array" aca="1" ref="H39" ca="1">IF(
    VLOOKUP(
        $A39,
        _xlfn._xlws.FILTER(
            INDIRECT("'"&amp;H$62&amp;"'!A2:G1000"), (INDIRECT("'"&amp;H$62&amp;"'!B2:B1000")=$B39) * (INDIRECT("'"&amp;H$62&amp;"'!C2:C1000")=$C39)
        ),
        5,
        FALSE
    )="",
    "",
    VLOOKUP(
        $A39,
        _xlfn._xlws.FILTER(
            INDIRECT("'"&amp;H$62&amp;"'!A2:G1000"), (INDIRECT("'"&amp;H$62&amp;"'!B2:B1000")=$B39) * (INDIRECT("'"&amp;H$62&amp;"'!C2:C1000")=$C39)
        ),
        7,
        FALSE
    )
)</f>
        <v>Sim</v>
      </c>
      <c r="I39" s="60" t="str">
        <f t="array" aca="1" ref="I39" ca="1">IF(
    VLOOKUP(
        $A39,
        _xlfn._xlws.FILTER(
            INDIRECT("'"&amp;I$62&amp;"'!A2:G1000"), (INDIRECT("'"&amp;I$62&amp;"'!B2:B1000")=$B39) * (INDIRECT("'"&amp;I$62&amp;"'!C2:C1000")=$C39)
        ),
        5,
        FALSE
    )="",
    "",
    VLOOKUP(
        $A39,
        _xlfn._xlws.FILTER(
            INDIRECT("'"&amp;I$62&amp;"'!A2:G1000"), (INDIRECT("'"&amp;I$62&amp;"'!B2:B1000")=$B39) * (INDIRECT("'"&amp;I$62&amp;"'!C2:C1000")=$C39)
        ),
        7,
        FALSE
    )
)</f>
        <v>Sim</v>
      </c>
      <c r="J39" s="60" t="str">
        <f t="array" aca="1" ref="J39" ca="1">IF(
    VLOOKUP(
        $A39,
        _xlfn._xlws.FILTER(
            INDIRECT("'"&amp;J$62&amp;"'!A2:G1000"), (INDIRECT("'"&amp;J$62&amp;"'!B2:B1000")=$B39) * (INDIRECT("'"&amp;J$62&amp;"'!C2:C1000")=$C39)
        ),
        5,
        FALSE
    )="",
    "",
    VLOOKUP(
        $A39,
        _xlfn._xlws.FILTER(
            INDIRECT("'"&amp;J$62&amp;"'!A2:G1000"), (INDIRECT("'"&amp;J$62&amp;"'!B2:B1000")=$B39) * (INDIRECT("'"&amp;J$62&amp;"'!C2:C1000")=$C39)
        ),
        7,
        FALSE
    )
)</f>
        <v>Sim</v>
      </c>
      <c r="K39" s="60" t="str">
        <f t="array" aca="1" ref="K39" ca="1">IF(
    VLOOKUP(
        $A39,
        _xlfn._xlws.FILTER(
            INDIRECT("'"&amp;K$62&amp;"'!A2:G1000"), (INDIRECT("'"&amp;K$62&amp;"'!B2:B1000")=$B39) * (INDIRECT("'"&amp;K$62&amp;"'!C2:C1000")=$C39)
        ),
        5,
        FALSE
    )="",
    "",
    VLOOKUP(
        $A39,
        _xlfn._xlws.FILTER(
            INDIRECT("'"&amp;K$62&amp;"'!A2:G1000"), (INDIRECT("'"&amp;K$62&amp;"'!B2:B1000")=$B39) * (INDIRECT("'"&amp;K$62&amp;"'!C2:C1000")=$C39)
        ),
        7,
        FALSE
    )
)</f>
        <v>Sim</v>
      </c>
      <c r="L39" s="60" t="str">
        <f t="array" aca="1" ref="L39" ca="1">IF(
    VLOOKUP(
        $A39,
        _xlfn._xlws.FILTER(
            INDIRECT("'"&amp;L$62&amp;"'!A2:G1000"), (INDIRECT("'"&amp;L$62&amp;"'!B2:B1000")=$B39) * (INDIRECT("'"&amp;L$62&amp;"'!C2:C1000")=$C39)
        ),
        5,
        FALSE
    )="",
    "",
    VLOOKUP(
        $A39,
        _xlfn._xlws.FILTER(
            INDIRECT("'"&amp;L$62&amp;"'!A2:G1000"), (INDIRECT("'"&amp;L$62&amp;"'!B2:B1000")=$B39) * (INDIRECT("'"&amp;L$62&amp;"'!C2:C1000")=$C39)
        ),
        7,
        FALSE
    )
)</f>
        <v>Não</v>
      </c>
      <c r="M39" s="60" t="str">
        <f t="array" aca="1" ref="M39" ca="1">IF(
    VLOOKUP(
        $A39,
        _xlfn._xlws.FILTER(
            INDIRECT("'"&amp;M$62&amp;"'!A2:G1000"), (INDIRECT("'"&amp;M$62&amp;"'!B2:B1000")=$B39) * (INDIRECT("'"&amp;M$62&amp;"'!C2:C1000")=$C39)
        ),
        5,
        FALSE
    )="",
    "",
    VLOOKUP(
        $A39,
        _xlfn._xlws.FILTER(
            INDIRECT("'"&amp;M$62&amp;"'!A2:G1000"), (INDIRECT("'"&amp;M$62&amp;"'!B2:B1000")=$B39) * (INDIRECT("'"&amp;M$62&amp;"'!C2:C1000")=$C39)
        ),
        7,
        FALSE
    )
)</f>
        <v>Não</v>
      </c>
      <c r="N39" s="60" t="str">
        <f t="array" aca="1" ref="N39" ca="1">IF(
    VLOOKUP(
        $A39,
        _xlfn._xlws.FILTER(
            INDIRECT("'"&amp;N$62&amp;"'!A2:G1000"), (INDIRECT("'"&amp;N$62&amp;"'!B2:B1000")=$B39) * (INDIRECT("'"&amp;N$62&amp;"'!C2:C1000")=$C39)
        ),
        5,
        FALSE
    )="",
    "",
    VLOOKUP(
        $A39,
        _xlfn._xlws.FILTER(
            INDIRECT("'"&amp;N$62&amp;"'!A2:G1000"), (INDIRECT("'"&amp;N$62&amp;"'!B2:B1000")=$B39) * (INDIRECT("'"&amp;N$62&amp;"'!C2:C1000")=$C39)
        ),
        7,
        FALSE
    )
)</f>
        <v>Não</v>
      </c>
      <c r="O39" s="60" t="str">
        <f t="array" aca="1" ref="O39" ca="1">IF(
    VLOOKUP(
        $A39,
        _xlfn._xlws.FILTER(
            INDIRECT("'"&amp;O$62&amp;"'!A2:G1000"), (INDIRECT("'"&amp;O$62&amp;"'!B2:B1000")=$B39) * (INDIRECT("'"&amp;O$62&amp;"'!C2:C1000")=$C39)
        ),
        5,
        FALSE
    )="",
    "",
    VLOOKUP(
        $A39,
        _xlfn._xlws.FILTER(
            INDIRECT("'"&amp;O$62&amp;"'!A2:G1000"), (INDIRECT("'"&amp;O$62&amp;"'!B2:B1000")=$B39) * (INDIRECT("'"&amp;O$62&amp;"'!C2:C1000")=$C39)
        ),
        7,
        FALSE
    )
)</f>
        <v/>
      </c>
      <c r="P39" s="60" t="str">
        <f t="array" aca="1" ref="P39" ca="1">IF(
    VLOOKUP(
        $A39,
        _xlfn._xlws.FILTER(
            INDIRECT("'"&amp;P$62&amp;"'!A2:G1000"), (INDIRECT("'"&amp;P$62&amp;"'!B2:B1000")=$B39) * (INDIRECT("'"&amp;P$62&amp;"'!C2:C1000")=$C39)
        ),
        5,
        FALSE
    )="",
    "",
    VLOOKUP(
        $A39,
        _xlfn._xlws.FILTER(
            INDIRECT("'"&amp;P$62&amp;"'!A2:G1000"), (INDIRECT("'"&amp;P$62&amp;"'!B2:B1000")=$B39) * (INDIRECT("'"&amp;P$62&amp;"'!C2:C1000")=$C39)
        ),
        7,
        FALSE
    )
)</f>
        <v/>
      </c>
    </row>
    <row r="40" spans="1:16">
      <c r="A40" s="34" t="s">
        <v>43</v>
      </c>
      <c r="B40" s="60" t="s">
        <v>105</v>
      </c>
      <c r="C40" s="60" t="s">
        <v>75</v>
      </c>
      <c r="D40" s="60" t="str">
        <f t="array" aca="1" ref="D40" ca="1">IF(
    VLOOKUP(
        $A40,
        _xlfn._xlws.FILTER(
            INDIRECT("'"&amp;D$62&amp;"'!A2:G1000"), (INDIRECT("'"&amp;D$62&amp;"'!B2:B1000")=$B40) * (INDIRECT("'"&amp;D$62&amp;"'!C2:C1000")=$C40)
        ),
        5,
        FALSE
    )="",
    "",
    VLOOKUP(
        $A40,
        _xlfn._xlws.FILTER(
            INDIRECT("'"&amp;D$62&amp;"'!A2:G1000"), (INDIRECT("'"&amp;D$62&amp;"'!B2:B1000")=$B40) * (INDIRECT("'"&amp;D$62&amp;"'!C2:C1000")=$C40)
        ),
        7,
        FALSE
    )
)</f>
        <v>Sim</v>
      </c>
      <c r="E40" s="60" t="str">
        <f t="array" aca="1" ref="E40" ca="1">IF(
    VLOOKUP(
        $A40,
        _xlfn._xlws.FILTER(
            INDIRECT("'"&amp;E$62&amp;"'!A2:G1000"), (INDIRECT("'"&amp;E$62&amp;"'!B2:B1000")=$B40) * (INDIRECT("'"&amp;E$62&amp;"'!C2:C1000")=$C40)
        ),
        5,
        FALSE
    )="",
    "",
    VLOOKUP(
        $A40,
        _xlfn._xlws.FILTER(
            INDIRECT("'"&amp;E$62&amp;"'!A2:G1000"), (INDIRECT("'"&amp;E$62&amp;"'!B2:B1000")=$B40) * (INDIRECT("'"&amp;E$62&amp;"'!C2:C1000")=$C40)
        ),
        7,
        FALSE
    )
)</f>
        <v>Sim</v>
      </c>
      <c r="F40" s="60" t="str">
        <f t="array" aca="1" ref="F40" ca="1">IF(
    VLOOKUP(
        $A40,
        _xlfn._xlws.FILTER(
            INDIRECT("'"&amp;F$62&amp;"'!A2:G1000"), (INDIRECT("'"&amp;F$62&amp;"'!B2:B1000")=$B40) * (INDIRECT("'"&amp;F$62&amp;"'!C2:C1000")=$C40)
        ),
        5,
        FALSE
    )="",
    "",
    VLOOKUP(
        $A40,
        _xlfn._xlws.FILTER(
            INDIRECT("'"&amp;F$62&amp;"'!A2:G1000"), (INDIRECT("'"&amp;F$62&amp;"'!B2:B1000")=$B40) * (INDIRECT("'"&amp;F$62&amp;"'!C2:C1000")=$C40)
        ),
        7,
        FALSE
    )
)</f>
        <v>Sim</v>
      </c>
      <c r="G40" s="60" t="str">
        <f t="array" aca="1" ref="G40" ca="1">IF(
    VLOOKUP(
        $A40,
        _xlfn._xlws.FILTER(
            INDIRECT("'"&amp;G$62&amp;"'!A2:G1000"), (INDIRECT("'"&amp;G$62&amp;"'!B2:B1000")=$B40) * (INDIRECT("'"&amp;G$62&amp;"'!C2:C1000")=$C40)
        ),
        5,
        FALSE
    )="",
    "",
    VLOOKUP(
        $A40,
        _xlfn._xlws.FILTER(
            INDIRECT("'"&amp;G$62&amp;"'!A2:G1000"), (INDIRECT("'"&amp;G$62&amp;"'!B2:B1000")=$B40) * (INDIRECT("'"&amp;G$62&amp;"'!C2:C1000")=$C40)
        ),
        7,
        FALSE
    )
)</f>
        <v>Sim</v>
      </c>
      <c r="H40" s="60" t="str">
        <f t="array" aca="1" ref="H40" ca="1">IF(
    VLOOKUP(
        $A40,
        _xlfn._xlws.FILTER(
            INDIRECT("'"&amp;H$62&amp;"'!A2:G1000"), (INDIRECT("'"&amp;H$62&amp;"'!B2:B1000")=$B40) * (INDIRECT("'"&amp;H$62&amp;"'!C2:C1000")=$C40)
        ),
        5,
        FALSE
    )="",
    "",
    VLOOKUP(
        $A40,
        _xlfn._xlws.FILTER(
            INDIRECT("'"&amp;H$62&amp;"'!A2:G1000"), (INDIRECT("'"&amp;H$62&amp;"'!B2:B1000")=$B40) * (INDIRECT("'"&amp;H$62&amp;"'!C2:C1000")=$C40)
        ),
        7,
        FALSE
    )
)</f>
        <v>Sim</v>
      </c>
      <c r="I40" s="60" t="str">
        <f t="array" aca="1" ref="I40" ca="1">IF(
    VLOOKUP(
        $A40,
        _xlfn._xlws.FILTER(
            INDIRECT("'"&amp;I$62&amp;"'!A2:G1000"), (INDIRECT("'"&amp;I$62&amp;"'!B2:B1000")=$B40) * (INDIRECT("'"&amp;I$62&amp;"'!C2:C1000")=$C40)
        ),
        5,
        FALSE
    )="",
    "",
    VLOOKUP(
        $A40,
        _xlfn._xlws.FILTER(
            INDIRECT("'"&amp;I$62&amp;"'!A2:G1000"), (INDIRECT("'"&amp;I$62&amp;"'!B2:B1000")=$B40) * (INDIRECT("'"&amp;I$62&amp;"'!C2:C1000")=$C40)
        ),
        7,
        FALSE
    )
)</f>
        <v>Sim</v>
      </c>
      <c r="J40" s="60" t="str">
        <f t="array" aca="1" ref="J40" ca="1">IF(
    VLOOKUP(
        $A40,
        _xlfn._xlws.FILTER(
            INDIRECT("'"&amp;J$62&amp;"'!A2:G1000"), (INDIRECT("'"&amp;J$62&amp;"'!B2:B1000")=$B40) * (INDIRECT("'"&amp;J$62&amp;"'!C2:C1000")=$C40)
        ),
        5,
        FALSE
    )="",
    "",
    VLOOKUP(
        $A40,
        _xlfn._xlws.FILTER(
            INDIRECT("'"&amp;J$62&amp;"'!A2:G1000"), (INDIRECT("'"&amp;J$62&amp;"'!B2:B1000")=$B40) * (INDIRECT("'"&amp;J$62&amp;"'!C2:C1000")=$C40)
        ),
        7,
        FALSE
    )
)</f>
        <v>Não</v>
      </c>
      <c r="K40" s="60" t="str">
        <f t="array" aca="1" ref="K40" ca="1">IF(
    VLOOKUP(
        $A40,
        _xlfn._xlws.FILTER(
            INDIRECT("'"&amp;K$62&amp;"'!A2:G1000"), (INDIRECT("'"&amp;K$62&amp;"'!B2:B1000")=$B40) * (INDIRECT("'"&amp;K$62&amp;"'!C2:C1000")=$C40)
        ),
        5,
        FALSE
    )="",
    "",
    VLOOKUP(
        $A40,
        _xlfn._xlws.FILTER(
            INDIRECT("'"&amp;K$62&amp;"'!A2:G1000"), (INDIRECT("'"&amp;K$62&amp;"'!B2:B1000")=$B40) * (INDIRECT("'"&amp;K$62&amp;"'!C2:C1000")=$C40)
        ),
        7,
        FALSE
    )
)</f>
        <v>Não</v>
      </c>
      <c r="L40" s="60" t="str">
        <f t="array" aca="1" ref="L40" ca="1">IF(
    VLOOKUP(
        $A40,
        _xlfn._xlws.FILTER(
            INDIRECT("'"&amp;L$62&amp;"'!A2:G1000"), (INDIRECT("'"&amp;L$62&amp;"'!B2:B1000")=$B40) * (INDIRECT("'"&amp;L$62&amp;"'!C2:C1000")=$C40)
        ),
        5,
        FALSE
    )="",
    "",
    VLOOKUP(
        $A40,
        _xlfn._xlws.FILTER(
            INDIRECT("'"&amp;L$62&amp;"'!A2:G1000"), (INDIRECT("'"&amp;L$62&amp;"'!B2:B1000")=$B40) * (INDIRECT("'"&amp;L$62&amp;"'!C2:C1000")=$C40)
        ),
        7,
        FALSE
    )
)</f>
        <v>Não</v>
      </c>
      <c r="M40" s="60" t="str">
        <f t="array" aca="1" ref="M40" ca="1">IF(
    VLOOKUP(
        $A40,
        _xlfn._xlws.FILTER(
            INDIRECT("'"&amp;M$62&amp;"'!A2:G1000"), (INDIRECT("'"&amp;M$62&amp;"'!B2:B1000")=$B40) * (INDIRECT("'"&amp;M$62&amp;"'!C2:C1000")=$C40)
        ),
        5,
        FALSE
    )="",
    "",
    VLOOKUP(
        $A40,
        _xlfn._xlws.FILTER(
            INDIRECT("'"&amp;M$62&amp;"'!A2:G1000"), (INDIRECT("'"&amp;M$62&amp;"'!B2:B1000")=$B40) * (INDIRECT("'"&amp;M$62&amp;"'!C2:C1000")=$C40)
        ),
        7,
        FALSE
    )
)</f>
        <v>Não</v>
      </c>
      <c r="N40" s="60" t="str">
        <f t="array" aca="1" ref="N40" ca="1">IF(
    VLOOKUP(
        $A40,
        _xlfn._xlws.FILTER(
            INDIRECT("'"&amp;N$62&amp;"'!A2:G1000"), (INDIRECT("'"&amp;N$62&amp;"'!B2:B1000")=$B40) * (INDIRECT("'"&amp;N$62&amp;"'!C2:C1000")=$C40)
        ),
        5,
        FALSE
    )="",
    "",
    VLOOKUP(
        $A40,
        _xlfn._xlws.FILTER(
            INDIRECT("'"&amp;N$62&amp;"'!A2:G1000"), (INDIRECT("'"&amp;N$62&amp;"'!B2:B1000")=$B40) * (INDIRECT("'"&amp;N$62&amp;"'!C2:C1000")=$C40)
        ),
        7,
        FALSE
    )
)</f>
        <v>Não</v>
      </c>
      <c r="O40" s="60" t="str">
        <f t="array" aca="1" ref="O40" ca="1">IF(
    VLOOKUP(
        $A40,
        _xlfn._xlws.FILTER(
            INDIRECT("'"&amp;O$62&amp;"'!A2:G1000"), (INDIRECT("'"&amp;O$62&amp;"'!B2:B1000")=$B40) * (INDIRECT("'"&amp;O$62&amp;"'!C2:C1000")=$C40)
        ),
        5,
        FALSE
    )="",
    "",
    VLOOKUP(
        $A40,
        _xlfn._xlws.FILTER(
            INDIRECT("'"&amp;O$62&amp;"'!A2:G1000"), (INDIRECT("'"&amp;O$62&amp;"'!B2:B1000")=$B40) * (INDIRECT("'"&amp;O$62&amp;"'!C2:C1000")=$C40)
        ),
        7,
        FALSE
    )
)</f>
        <v>Não</v>
      </c>
      <c r="P40" s="60" t="str">
        <f t="array" aca="1" ref="P40" ca="1">IF(
    VLOOKUP(
        $A40,
        _xlfn._xlws.FILTER(
            INDIRECT("'"&amp;P$62&amp;"'!A2:G1000"), (INDIRECT("'"&amp;P$62&amp;"'!B2:B1000")=$B40) * (INDIRECT("'"&amp;P$62&amp;"'!C2:C1000")=$C40)
        ),
        5,
        FALSE
    )="",
    "",
    VLOOKUP(
        $A40,
        _xlfn._xlws.FILTER(
            INDIRECT("'"&amp;P$62&amp;"'!A2:G1000"), (INDIRECT("'"&amp;P$62&amp;"'!B2:B1000")=$B40) * (INDIRECT("'"&amp;P$62&amp;"'!C2:C1000")=$C40)
        ),
        7,
        FALSE
    )
)</f>
        <v>Não</v>
      </c>
    </row>
    <row r="42" spans="1:16" ht="15.75" customHeight="1">
      <c r="A42" s="79" t="s">
        <v>106</v>
      </c>
      <c r="B42" s="21" t="s">
        <v>72</v>
      </c>
      <c r="C42" s="21" t="s">
        <v>73</v>
      </c>
      <c r="D42" s="74" t="s">
        <v>1</v>
      </c>
      <c r="E42" s="74" t="s">
        <v>2</v>
      </c>
      <c r="F42" s="74" t="s">
        <v>3</v>
      </c>
      <c r="G42" s="74" t="s">
        <v>4</v>
      </c>
      <c r="H42" s="74" t="s">
        <v>5</v>
      </c>
      <c r="I42" s="74" t="s">
        <v>6</v>
      </c>
      <c r="J42" s="74" t="s">
        <v>7</v>
      </c>
      <c r="K42" s="74" t="s">
        <v>8</v>
      </c>
      <c r="L42" s="74" t="s">
        <v>9</v>
      </c>
      <c r="M42" s="74" t="s">
        <v>9</v>
      </c>
      <c r="N42" s="74" t="s">
        <v>10</v>
      </c>
      <c r="O42" s="74" t="s">
        <v>11</v>
      </c>
      <c r="P42" s="74" t="s">
        <v>12</v>
      </c>
    </row>
    <row r="43" spans="1:16">
      <c r="A43" s="30" t="s">
        <v>26</v>
      </c>
      <c r="B43" s="60" t="s">
        <v>107</v>
      </c>
      <c r="C43" s="60" t="s">
        <v>75</v>
      </c>
      <c r="D43" s="60" t="str">
        <f t="array" aca="1" ref="D43" ca="1">IF(
    VLOOKUP(
        $A43,
        _xlfn._xlws.FILTER(
            INDIRECT("'"&amp;D$62&amp;"'!A2:G1000"), (INDIRECT("'"&amp;D$62&amp;"'!B2:B1000")=$B43) * (INDIRECT("'"&amp;D$62&amp;"'!C2:C1000")=$C43)
        ),
        5,
        FALSE
    )="",
    "",
    VLOOKUP(
        $A43,
        _xlfn._xlws.FILTER(
            INDIRECT("'"&amp;D$62&amp;"'!A2:G1000"), (INDIRECT("'"&amp;D$62&amp;"'!B2:B1000")=$B43) * (INDIRECT("'"&amp;D$62&amp;"'!C2:C1000")=$C43)
        ),
        7,
        FALSE
    )
)</f>
        <v>Sim</v>
      </c>
      <c r="E43" s="60" t="str">
        <f t="array" aca="1" ref="E43" ca="1">IF(
    VLOOKUP(
        $A43,
        _xlfn._xlws.FILTER(
            INDIRECT("'"&amp;E$62&amp;"'!A2:G1000"), (INDIRECT("'"&amp;E$62&amp;"'!B2:B1000")=$B43) * (INDIRECT("'"&amp;E$62&amp;"'!C2:C1000")=$C43)
        ),
        5,
        FALSE
    )="",
    "",
    VLOOKUP(
        $A43,
        _xlfn._xlws.FILTER(
            INDIRECT("'"&amp;E$62&amp;"'!A2:G1000"), (INDIRECT("'"&amp;E$62&amp;"'!B2:B1000")=$B43) * (INDIRECT("'"&amp;E$62&amp;"'!C2:C1000")=$C43)
        ),
        7,
        FALSE
    )
)</f>
        <v>Sim</v>
      </c>
      <c r="F43" s="60" t="str">
        <f t="array" aca="1" ref="F43" ca="1">IF(
    VLOOKUP(
        $A43,
        _xlfn._xlws.FILTER(
            INDIRECT("'"&amp;F$62&amp;"'!A2:G1000"), (INDIRECT("'"&amp;F$62&amp;"'!B2:B1000")=$B43) * (INDIRECT("'"&amp;F$62&amp;"'!C2:C1000")=$C43)
        ),
        5,
        FALSE
    )="",
    "",
    VLOOKUP(
        $A43,
        _xlfn._xlws.FILTER(
            INDIRECT("'"&amp;F$62&amp;"'!A2:G1000"), (INDIRECT("'"&amp;F$62&amp;"'!B2:B1000")=$B43) * (INDIRECT("'"&amp;F$62&amp;"'!C2:C1000")=$C43)
        ),
        7,
        FALSE
    )
)</f>
        <v>Sim</v>
      </c>
      <c r="G43" s="60" t="str">
        <f t="array" aca="1" ref="G43" ca="1">IF(
    VLOOKUP(
        $A43,
        _xlfn._xlws.FILTER(
            INDIRECT("'"&amp;G$62&amp;"'!A2:G1000"), (INDIRECT("'"&amp;G$62&amp;"'!B2:B1000")=$B43) * (INDIRECT("'"&amp;G$62&amp;"'!C2:C1000")=$C43)
        ),
        5,
        FALSE
    )="",
    "",
    VLOOKUP(
        $A43,
        _xlfn._xlws.FILTER(
            INDIRECT("'"&amp;G$62&amp;"'!A2:G1000"), (INDIRECT("'"&amp;G$62&amp;"'!B2:B1000")=$B43) * (INDIRECT("'"&amp;G$62&amp;"'!C2:C1000")=$C43)
        ),
        7,
        FALSE
    )
)</f>
        <v>Sim</v>
      </c>
      <c r="H43" s="60" t="str">
        <f t="array" aca="1" ref="H43" ca="1">IF(
    VLOOKUP(
        $A43,
        _xlfn._xlws.FILTER(
            INDIRECT("'"&amp;H$62&amp;"'!A2:G1000"), (INDIRECT("'"&amp;H$62&amp;"'!B2:B1000")=$B43) * (INDIRECT("'"&amp;H$62&amp;"'!C2:C1000")=$C43)
        ),
        5,
        FALSE
    )="",
    "",
    VLOOKUP(
        $A43,
        _xlfn._xlws.FILTER(
            INDIRECT("'"&amp;H$62&amp;"'!A2:G1000"), (INDIRECT("'"&amp;H$62&amp;"'!B2:B1000")=$B43) * (INDIRECT("'"&amp;H$62&amp;"'!C2:C1000")=$C43)
        ),
        7,
        FALSE
    )
)</f>
        <v>Sim</v>
      </c>
      <c r="I43" s="60" t="str">
        <f t="array" aca="1" ref="I43" ca="1">IF(
    VLOOKUP(
        $A43,
        _xlfn._xlws.FILTER(
            INDIRECT("'"&amp;I$62&amp;"'!A2:G1000"), (INDIRECT("'"&amp;I$62&amp;"'!B2:B1000")=$B43) * (INDIRECT("'"&amp;I$62&amp;"'!C2:C1000")=$C43)
        ),
        5,
        FALSE
    )="",
    "",
    VLOOKUP(
        $A43,
        _xlfn._xlws.FILTER(
            INDIRECT("'"&amp;I$62&amp;"'!A2:G1000"), (INDIRECT("'"&amp;I$62&amp;"'!B2:B1000")=$B43) * (INDIRECT("'"&amp;I$62&amp;"'!C2:C1000")=$C43)
        ),
        7,
        FALSE
    )
)</f>
        <v>Sim</v>
      </c>
      <c r="J43" s="60" t="str">
        <f t="array" aca="1" ref="J43" ca="1">IF(
    VLOOKUP(
        $A43,
        _xlfn._xlws.FILTER(
            INDIRECT("'"&amp;J$62&amp;"'!A2:G1000"), (INDIRECT("'"&amp;J$62&amp;"'!B2:B1000")=$B43) * (INDIRECT("'"&amp;J$62&amp;"'!C2:C1000")=$C43)
        ),
        5,
        FALSE
    )="",
    "",
    VLOOKUP(
        $A43,
        _xlfn._xlws.FILTER(
            INDIRECT("'"&amp;J$62&amp;"'!A2:G1000"), (INDIRECT("'"&amp;J$62&amp;"'!B2:B1000")=$B43) * (INDIRECT("'"&amp;J$62&amp;"'!C2:C1000")=$C43)
        ),
        7,
        FALSE
    )
)</f>
        <v>Sim</v>
      </c>
      <c r="K43" s="60" t="str">
        <f t="array" aca="1" ref="K43" ca="1">IF(
    VLOOKUP(
        $A43,
        _xlfn._xlws.FILTER(
            INDIRECT("'"&amp;K$62&amp;"'!A2:G1000"), (INDIRECT("'"&amp;K$62&amp;"'!B2:B1000")=$B43) * (INDIRECT("'"&amp;K$62&amp;"'!C2:C1000")=$C43)
        ),
        5,
        FALSE
    )="",
    "",
    VLOOKUP(
        $A43,
        _xlfn._xlws.FILTER(
            INDIRECT("'"&amp;K$62&amp;"'!A2:G1000"), (INDIRECT("'"&amp;K$62&amp;"'!B2:B1000")=$B43) * (INDIRECT("'"&amp;K$62&amp;"'!C2:C1000")=$C43)
        ),
        7,
        FALSE
    )
)</f>
        <v>Sim</v>
      </c>
      <c r="L43" s="60" t="str">
        <f t="array" aca="1" ref="L43" ca="1">IF(
    VLOOKUP(
        $A43,
        _xlfn._xlws.FILTER(
            INDIRECT("'"&amp;L$62&amp;"'!A2:G1000"), (INDIRECT("'"&amp;L$62&amp;"'!B2:B1000")=$B43) * (INDIRECT("'"&amp;L$62&amp;"'!C2:C1000")=$C43)
        ),
        5,
        FALSE
    )="",
    "",
    VLOOKUP(
        $A43,
        _xlfn._xlws.FILTER(
            INDIRECT("'"&amp;L$62&amp;"'!A2:G1000"), (INDIRECT("'"&amp;L$62&amp;"'!B2:B1000")=$B43) * (INDIRECT("'"&amp;L$62&amp;"'!C2:C1000")=$C43)
        ),
        7,
        FALSE
    )
)</f>
        <v>Sim</v>
      </c>
      <c r="M43" s="60" t="str">
        <f t="array" aca="1" ref="M43" ca="1">IF(
    VLOOKUP(
        $A43,
        _xlfn._xlws.FILTER(
            INDIRECT("'"&amp;M$62&amp;"'!A2:G1000"), (INDIRECT("'"&amp;M$62&amp;"'!B2:B1000")=$B43) * (INDIRECT("'"&amp;M$62&amp;"'!C2:C1000")=$C43)
        ),
        5,
        FALSE
    )="",
    "",
    VLOOKUP(
        $A43,
        _xlfn._xlws.FILTER(
            INDIRECT("'"&amp;M$62&amp;"'!A2:G1000"), (INDIRECT("'"&amp;M$62&amp;"'!B2:B1000")=$B43) * (INDIRECT("'"&amp;M$62&amp;"'!C2:C1000")=$C43)
        ),
        7,
        FALSE
    )
)</f>
        <v>Sim</v>
      </c>
      <c r="N43" s="60" t="str">
        <f t="array" aca="1" ref="N43" ca="1">IF(
    VLOOKUP(
        $A43,
        _xlfn._xlws.FILTER(
            INDIRECT("'"&amp;N$62&amp;"'!A2:G1000"), (INDIRECT("'"&amp;N$62&amp;"'!B2:B1000")=$B43) * (INDIRECT("'"&amp;N$62&amp;"'!C2:C1000")=$C43)
        ),
        5,
        FALSE
    )="",
    "",
    VLOOKUP(
        $A43,
        _xlfn._xlws.FILTER(
            INDIRECT("'"&amp;N$62&amp;"'!A2:G1000"), (INDIRECT("'"&amp;N$62&amp;"'!B2:B1000")=$B43) * (INDIRECT("'"&amp;N$62&amp;"'!C2:C1000")=$C43)
        ),
        7,
        FALSE
    )
)</f>
        <v>Sim</v>
      </c>
      <c r="O43" s="60" t="str">
        <f t="array" aca="1" ref="O43" ca="1">IF(
    VLOOKUP(
        $A43,
        _xlfn._xlws.FILTER(
            INDIRECT("'"&amp;O$62&amp;"'!A2:G1000"), (INDIRECT("'"&amp;O$62&amp;"'!B2:B1000")=$B43) * (INDIRECT("'"&amp;O$62&amp;"'!C2:C1000")=$C43)
        ),
        5,
        FALSE
    )="",
    "",
    VLOOKUP(
        $A43,
        _xlfn._xlws.FILTER(
            INDIRECT("'"&amp;O$62&amp;"'!A2:G1000"), (INDIRECT("'"&amp;O$62&amp;"'!B2:B1000")=$B43) * (INDIRECT("'"&amp;O$62&amp;"'!C2:C1000")=$C43)
        ),
        7,
        FALSE
    )
)</f>
        <v/>
      </c>
      <c r="P43" s="60" t="str">
        <f t="array" aca="1" ref="P43" ca="1">IF(
    VLOOKUP(
        $A43,
        _xlfn._xlws.FILTER(
            INDIRECT("'"&amp;P$62&amp;"'!A2:G1000"), (INDIRECT("'"&amp;P$62&amp;"'!B2:B1000")=$B43) * (INDIRECT("'"&amp;P$62&amp;"'!C2:C1000")=$C43)
        ),
        5,
        FALSE
    )="",
    "",
    VLOOKUP(
        $A43,
        _xlfn._xlws.FILTER(
            INDIRECT("'"&amp;P$62&amp;"'!A2:G1000"), (INDIRECT("'"&amp;P$62&amp;"'!B2:B1000")=$B43) * (INDIRECT("'"&amp;P$62&amp;"'!C2:C1000")=$C43)
        ),
        7,
        FALSE
    )
)</f>
        <v/>
      </c>
    </row>
    <row r="44" spans="1:16">
      <c r="A44" s="30" t="s">
        <v>26</v>
      </c>
      <c r="B44" s="60" t="s">
        <v>108</v>
      </c>
      <c r="C44" s="60" t="s">
        <v>75</v>
      </c>
      <c r="D44" s="60" t="str">
        <f t="array" aca="1" ref="D44" ca="1">IF(
    VLOOKUP(
        $A44,
        _xlfn._xlws.FILTER(
            INDIRECT("'"&amp;D$62&amp;"'!A2:G1000"), (INDIRECT("'"&amp;D$62&amp;"'!B2:B1000")=$B44) * (INDIRECT("'"&amp;D$62&amp;"'!C2:C1000")=$C44)
        ),
        5,
        FALSE
    )="",
    "",
    VLOOKUP(
        $A44,
        _xlfn._xlws.FILTER(
            INDIRECT("'"&amp;D$62&amp;"'!A2:G1000"), (INDIRECT("'"&amp;D$62&amp;"'!B2:B1000")=$B44) * (INDIRECT("'"&amp;D$62&amp;"'!C2:C1000")=$C44)
        ),
        7,
        FALSE
    )
)</f>
        <v>Sim</v>
      </c>
      <c r="E44" s="60" t="str">
        <f t="array" aca="1" ref="E44" ca="1">IF(
    VLOOKUP(
        $A44,
        _xlfn._xlws.FILTER(
            INDIRECT("'"&amp;E$62&amp;"'!A2:G1000"), (INDIRECT("'"&amp;E$62&amp;"'!B2:B1000")=$B44) * (INDIRECT("'"&amp;E$62&amp;"'!C2:C1000")=$C44)
        ),
        5,
        FALSE
    )="",
    "",
    VLOOKUP(
        $A44,
        _xlfn._xlws.FILTER(
            INDIRECT("'"&amp;E$62&amp;"'!A2:G1000"), (INDIRECT("'"&amp;E$62&amp;"'!B2:B1000")=$B44) * (INDIRECT("'"&amp;E$62&amp;"'!C2:C1000")=$C44)
        ),
        7,
        FALSE
    )
)</f>
        <v>Sim</v>
      </c>
      <c r="F44" s="60" t="str">
        <f t="array" aca="1" ref="F44" ca="1">IF(
    VLOOKUP(
        $A44,
        _xlfn._xlws.FILTER(
            INDIRECT("'"&amp;F$62&amp;"'!A2:G1000"), (INDIRECT("'"&amp;F$62&amp;"'!B2:B1000")=$B44) * (INDIRECT("'"&amp;F$62&amp;"'!C2:C1000")=$C44)
        ),
        5,
        FALSE
    )="",
    "",
    VLOOKUP(
        $A44,
        _xlfn._xlws.FILTER(
            INDIRECT("'"&amp;F$62&amp;"'!A2:G1000"), (INDIRECT("'"&amp;F$62&amp;"'!B2:B1000")=$B44) * (INDIRECT("'"&amp;F$62&amp;"'!C2:C1000")=$C44)
        ),
        7,
        FALSE
    )
)</f>
        <v>Sim</v>
      </c>
      <c r="G44" s="60" t="str">
        <f t="array" aca="1" ref="G44" ca="1">IF(
    VLOOKUP(
        $A44,
        _xlfn._xlws.FILTER(
            INDIRECT("'"&amp;G$62&amp;"'!A2:G1000"), (INDIRECT("'"&amp;G$62&amp;"'!B2:B1000")=$B44) * (INDIRECT("'"&amp;G$62&amp;"'!C2:C1000")=$C44)
        ),
        5,
        FALSE
    )="",
    "",
    VLOOKUP(
        $A44,
        _xlfn._xlws.FILTER(
            INDIRECT("'"&amp;G$62&amp;"'!A2:G1000"), (INDIRECT("'"&amp;G$62&amp;"'!B2:B1000")=$B44) * (INDIRECT("'"&amp;G$62&amp;"'!C2:C1000")=$C44)
        ),
        7,
        FALSE
    )
)</f>
        <v>Sim</v>
      </c>
      <c r="H44" s="60" t="str">
        <f t="array" aca="1" ref="H44" ca="1">IF(
    VLOOKUP(
        $A44,
        _xlfn._xlws.FILTER(
            INDIRECT("'"&amp;H$62&amp;"'!A2:G1000"), (INDIRECT("'"&amp;H$62&amp;"'!B2:B1000")=$B44) * (INDIRECT("'"&amp;H$62&amp;"'!C2:C1000")=$C44)
        ),
        5,
        FALSE
    )="",
    "",
    VLOOKUP(
        $A44,
        _xlfn._xlws.FILTER(
            INDIRECT("'"&amp;H$62&amp;"'!A2:G1000"), (INDIRECT("'"&amp;H$62&amp;"'!B2:B1000")=$B44) * (INDIRECT("'"&amp;H$62&amp;"'!C2:C1000")=$C44)
        ),
        7,
        FALSE
    )
)</f>
        <v>Sim</v>
      </c>
      <c r="I44" s="60" t="str">
        <f t="array" aca="1" ref="I44" ca="1">IF(
    VLOOKUP(
        $A44,
        _xlfn._xlws.FILTER(
            INDIRECT("'"&amp;I$62&amp;"'!A2:G1000"), (INDIRECT("'"&amp;I$62&amp;"'!B2:B1000")=$B44) * (INDIRECT("'"&amp;I$62&amp;"'!C2:C1000")=$C44)
        ),
        5,
        FALSE
    )="",
    "",
    VLOOKUP(
        $A44,
        _xlfn._xlws.FILTER(
            INDIRECT("'"&amp;I$62&amp;"'!A2:G1000"), (INDIRECT("'"&amp;I$62&amp;"'!B2:B1000")=$B44) * (INDIRECT("'"&amp;I$62&amp;"'!C2:C1000")=$C44)
        ),
        7,
        FALSE
    )
)</f>
        <v>Sim</v>
      </c>
      <c r="J44" s="60" t="str">
        <f t="array" aca="1" ref="J44" ca="1">IF(
    VLOOKUP(
        $A44,
        _xlfn._xlws.FILTER(
            INDIRECT("'"&amp;J$62&amp;"'!A2:G1000"), (INDIRECT("'"&amp;J$62&amp;"'!B2:B1000")=$B44) * (INDIRECT("'"&amp;J$62&amp;"'!C2:C1000")=$C44)
        ),
        5,
        FALSE
    )="",
    "",
    VLOOKUP(
        $A44,
        _xlfn._xlws.FILTER(
            INDIRECT("'"&amp;J$62&amp;"'!A2:G1000"), (INDIRECT("'"&amp;J$62&amp;"'!B2:B1000")=$B44) * (INDIRECT("'"&amp;J$62&amp;"'!C2:C1000")=$C44)
        ),
        7,
        FALSE
    )
)</f>
        <v>Sim</v>
      </c>
      <c r="K44" s="60" t="str">
        <f t="array" aca="1" ref="K44" ca="1">IF(
    VLOOKUP(
        $A44,
        _xlfn._xlws.FILTER(
            INDIRECT("'"&amp;K$62&amp;"'!A2:G1000"), (INDIRECT("'"&amp;K$62&amp;"'!B2:B1000")=$B44) * (INDIRECT("'"&amp;K$62&amp;"'!C2:C1000")=$C44)
        ),
        5,
        FALSE
    )="",
    "",
    VLOOKUP(
        $A44,
        _xlfn._xlws.FILTER(
            INDIRECT("'"&amp;K$62&amp;"'!A2:G1000"), (INDIRECT("'"&amp;K$62&amp;"'!B2:B1000")=$B44) * (INDIRECT("'"&amp;K$62&amp;"'!C2:C1000")=$C44)
        ),
        7,
        FALSE
    )
)</f>
        <v>Sim</v>
      </c>
      <c r="L44" s="60" t="str">
        <f t="array" aca="1" ref="L44" ca="1">IF(
    VLOOKUP(
        $A44,
        _xlfn._xlws.FILTER(
            INDIRECT("'"&amp;L$62&amp;"'!A2:G1000"), (INDIRECT("'"&amp;L$62&amp;"'!B2:B1000")=$B44) * (INDIRECT("'"&amp;L$62&amp;"'!C2:C1000")=$C44)
        ),
        5,
        FALSE
    )="",
    "",
    VLOOKUP(
        $A44,
        _xlfn._xlws.FILTER(
            INDIRECT("'"&amp;L$62&amp;"'!A2:G1000"), (INDIRECT("'"&amp;L$62&amp;"'!B2:B1000")=$B44) * (INDIRECT("'"&amp;L$62&amp;"'!C2:C1000")=$C44)
        ),
        7,
        FALSE
    )
)</f>
        <v>Sim</v>
      </c>
      <c r="M44" s="60" t="str">
        <f t="array" aca="1" ref="M44" ca="1">IF(
    VLOOKUP(
        $A44,
        _xlfn._xlws.FILTER(
            INDIRECT("'"&amp;M$62&amp;"'!A2:G1000"), (INDIRECT("'"&amp;M$62&amp;"'!B2:B1000")=$B44) * (INDIRECT("'"&amp;M$62&amp;"'!C2:C1000")=$C44)
        ),
        5,
        FALSE
    )="",
    "",
    VLOOKUP(
        $A44,
        _xlfn._xlws.FILTER(
            INDIRECT("'"&amp;M$62&amp;"'!A2:G1000"), (INDIRECT("'"&amp;M$62&amp;"'!B2:B1000")=$B44) * (INDIRECT("'"&amp;M$62&amp;"'!C2:C1000")=$C44)
        ),
        7,
        FALSE
    )
)</f>
        <v>Sim</v>
      </c>
      <c r="N44" s="60" t="str">
        <f t="array" aca="1" ref="N44" ca="1">IF(
    VLOOKUP(
        $A44,
        _xlfn._xlws.FILTER(
            INDIRECT("'"&amp;N$62&amp;"'!A2:G1000"), (INDIRECT("'"&amp;N$62&amp;"'!B2:B1000")=$B44) * (INDIRECT("'"&amp;N$62&amp;"'!C2:C1000")=$C44)
        ),
        5,
        FALSE
    )="",
    "",
    VLOOKUP(
        $A44,
        _xlfn._xlws.FILTER(
            INDIRECT("'"&amp;N$62&amp;"'!A2:G1000"), (INDIRECT("'"&amp;N$62&amp;"'!B2:B1000")=$B44) * (INDIRECT("'"&amp;N$62&amp;"'!C2:C1000")=$C44)
        ),
        7,
        FALSE
    )
)</f>
        <v>Sim</v>
      </c>
      <c r="O44" s="60" t="str">
        <f t="array" aca="1" ref="O44" ca="1">IF(
    VLOOKUP(
        $A44,
        _xlfn._xlws.FILTER(
            INDIRECT("'"&amp;O$62&amp;"'!A2:G1000"), (INDIRECT("'"&amp;O$62&amp;"'!B2:B1000")=$B44) * (INDIRECT("'"&amp;O$62&amp;"'!C2:C1000")=$C44)
        ),
        5,
        FALSE
    )="",
    "",
    VLOOKUP(
        $A44,
        _xlfn._xlws.FILTER(
            INDIRECT("'"&amp;O$62&amp;"'!A2:G1000"), (INDIRECT("'"&amp;O$62&amp;"'!B2:B1000")=$B44) * (INDIRECT("'"&amp;O$62&amp;"'!C2:C1000")=$C44)
        ),
        7,
        FALSE
    )
)</f>
        <v/>
      </c>
      <c r="P44" s="60" t="str">
        <f t="array" aca="1" ref="P44" ca="1">IF(
    VLOOKUP(
        $A44,
        _xlfn._xlws.FILTER(
            INDIRECT("'"&amp;P$62&amp;"'!A2:G1000"), (INDIRECT("'"&amp;P$62&amp;"'!B2:B1000")=$B44) * (INDIRECT("'"&amp;P$62&amp;"'!C2:C1000")=$C44)
        ),
        5,
        FALSE
    )="",
    "",
    VLOOKUP(
        $A44,
        _xlfn._xlws.FILTER(
            INDIRECT("'"&amp;P$62&amp;"'!A2:G1000"), (INDIRECT("'"&amp;P$62&amp;"'!B2:B1000")=$B44) * (INDIRECT("'"&amp;P$62&amp;"'!C2:C1000")=$C44)
        ),
        7,
        FALSE
    )
)</f>
        <v/>
      </c>
    </row>
    <row r="45" spans="1:16">
      <c r="A45" s="30" t="s">
        <v>26</v>
      </c>
      <c r="B45" s="60" t="s">
        <v>109</v>
      </c>
      <c r="C45" s="60" t="s">
        <v>75</v>
      </c>
      <c r="D45" s="60" t="str">
        <f t="array" aca="1" ref="D45" ca="1">IF(
    VLOOKUP(
        $A45,
        _xlfn._xlws.FILTER(
            INDIRECT("'"&amp;D$62&amp;"'!A2:G1000"), (INDIRECT("'"&amp;D$62&amp;"'!B2:B1000")=$B45) * (INDIRECT("'"&amp;D$62&amp;"'!C2:C1000")=$C45)
        ),
        5,
        FALSE
    )="",
    "",
    VLOOKUP(
        $A45,
        _xlfn._xlws.FILTER(
            INDIRECT("'"&amp;D$62&amp;"'!A2:G1000"), (INDIRECT("'"&amp;D$62&amp;"'!B2:B1000")=$B45) * (INDIRECT("'"&amp;D$62&amp;"'!C2:C1000")=$C45)
        ),
        7,
        FALSE
    )
)</f>
        <v>Sim</v>
      </c>
      <c r="E45" s="60" t="str">
        <f t="array" aca="1" ref="E45" ca="1">IF(
    VLOOKUP(
        $A45,
        _xlfn._xlws.FILTER(
            INDIRECT("'"&amp;E$62&amp;"'!A2:G1000"), (INDIRECT("'"&amp;E$62&amp;"'!B2:B1000")=$B45) * (INDIRECT("'"&amp;E$62&amp;"'!C2:C1000")=$C45)
        ),
        5,
        FALSE
    )="",
    "",
    VLOOKUP(
        $A45,
        _xlfn._xlws.FILTER(
            INDIRECT("'"&amp;E$62&amp;"'!A2:G1000"), (INDIRECT("'"&amp;E$62&amp;"'!B2:B1000")=$B45) * (INDIRECT("'"&amp;E$62&amp;"'!C2:C1000")=$C45)
        ),
        7,
        FALSE
    )
)</f>
        <v>Sim</v>
      </c>
      <c r="F45" s="60" t="str">
        <f t="array" aca="1" ref="F45" ca="1">IF(
    VLOOKUP(
        $A45,
        _xlfn._xlws.FILTER(
            INDIRECT("'"&amp;F$62&amp;"'!A2:G1000"), (INDIRECT("'"&amp;F$62&amp;"'!B2:B1000")=$B45) * (INDIRECT("'"&amp;F$62&amp;"'!C2:C1000")=$C45)
        ),
        5,
        FALSE
    )="",
    "",
    VLOOKUP(
        $A45,
        _xlfn._xlws.FILTER(
            INDIRECT("'"&amp;F$62&amp;"'!A2:G1000"), (INDIRECT("'"&amp;F$62&amp;"'!B2:B1000")=$B45) * (INDIRECT("'"&amp;F$62&amp;"'!C2:C1000")=$C45)
        ),
        7,
        FALSE
    )
)</f>
        <v>Sim</v>
      </c>
      <c r="G45" s="60" t="str">
        <f t="array" aca="1" ref="G45" ca="1">IF(
    VLOOKUP(
        $A45,
        _xlfn._xlws.FILTER(
            INDIRECT("'"&amp;G$62&amp;"'!A2:G1000"), (INDIRECT("'"&amp;G$62&amp;"'!B2:B1000")=$B45) * (INDIRECT("'"&amp;G$62&amp;"'!C2:C1000")=$C45)
        ),
        5,
        FALSE
    )="",
    "",
    VLOOKUP(
        $A45,
        _xlfn._xlws.FILTER(
            INDIRECT("'"&amp;G$62&amp;"'!A2:G1000"), (INDIRECT("'"&amp;G$62&amp;"'!B2:B1000")=$B45) * (INDIRECT("'"&amp;G$62&amp;"'!C2:C1000")=$C45)
        ),
        7,
        FALSE
    )
)</f>
        <v>Sim</v>
      </c>
      <c r="H45" s="60" t="str">
        <f t="array" aca="1" ref="H45" ca="1">IF(
    VLOOKUP(
        $A45,
        _xlfn._xlws.FILTER(
            INDIRECT("'"&amp;H$62&amp;"'!A2:G1000"), (INDIRECT("'"&amp;H$62&amp;"'!B2:B1000")=$B45) * (INDIRECT("'"&amp;H$62&amp;"'!C2:C1000")=$C45)
        ),
        5,
        FALSE
    )="",
    "",
    VLOOKUP(
        $A45,
        _xlfn._xlws.FILTER(
            INDIRECT("'"&amp;H$62&amp;"'!A2:G1000"), (INDIRECT("'"&amp;H$62&amp;"'!B2:B1000")=$B45) * (INDIRECT("'"&amp;H$62&amp;"'!C2:C1000")=$C45)
        ),
        7,
        FALSE
    )
)</f>
        <v>Sim</v>
      </c>
      <c r="I45" s="60" t="str">
        <f t="array" aca="1" ref="I45" ca="1">IF(
    VLOOKUP(
        $A45,
        _xlfn._xlws.FILTER(
            INDIRECT("'"&amp;I$62&amp;"'!A2:G1000"), (INDIRECT("'"&amp;I$62&amp;"'!B2:B1000")=$B45) * (INDIRECT("'"&amp;I$62&amp;"'!C2:C1000")=$C45)
        ),
        5,
        FALSE
    )="",
    "",
    VLOOKUP(
        $A45,
        _xlfn._xlws.FILTER(
            INDIRECT("'"&amp;I$62&amp;"'!A2:G1000"), (INDIRECT("'"&amp;I$62&amp;"'!B2:B1000")=$B45) * (INDIRECT("'"&amp;I$62&amp;"'!C2:C1000")=$C45)
        ),
        7,
        FALSE
    )
)</f>
        <v>Sim</v>
      </c>
      <c r="J45" s="60" t="str">
        <f t="array" aca="1" ref="J45" ca="1">IF(
    VLOOKUP(
        $A45,
        _xlfn._xlws.FILTER(
            INDIRECT("'"&amp;J$62&amp;"'!A2:G1000"), (INDIRECT("'"&amp;J$62&amp;"'!B2:B1000")=$B45) * (INDIRECT("'"&amp;J$62&amp;"'!C2:C1000")=$C45)
        ),
        5,
        FALSE
    )="",
    "",
    VLOOKUP(
        $A45,
        _xlfn._xlws.FILTER(
            INDIRECT("'"&amp;J$62&amp;"'!A2:G1000"), (INDIRECT("'"&amp;J$62&amp;"'!B2:B1000")=$B45) * (INDIRECT("'"&amp;J$62&amp;"'!C2:C1000")=$C45)
        ),
        7,
        FALSE
    )
)</f>
        <v>Sim</v>
      </c>
      <c r="K45" s="60" t="str">
        <f t="array" aca="1" ref="K45" ca="1">IF(
    VLOOKUP(
        $A45,
        _xlfn._xlws.FILTER(
            INDIRECT("'"&amp;K$62&amp;"'!A2:G1000"), (INDIRECT("'"&amp;K$62&amp;"'!B2:B1000")=$B45) * (INDIRECT("'"&amp;K$62&amp;"'!C2:C1000")=$C45)
        ),
        5,
        FALSE
    )="",
    "",
    VLOOKUP(
        $A45,
        _xlfn._xlws.FILTER(
            INDIRECT("'"&amp;K$62&amp;"'!A2:G1000"), (INDIRECT("'"&amp;K$62&amp;"'!B2:B1000")=$B45) * (INDIRECT("'"&amp;K$62&amp;"'!C2:C1000")=$C45)
        ),
        7,
        FALSE
    )
)</f>
        <v>Sim</v>
      </c>
      <c r="L45" s="60" t="str">
        <f t="array" aca="1" ref="L45" ca="1">IF(
    VLOOKUP(
        $A45,
        _xlfn._xlws.FILTER(
            INDIRECT("'"&amp;L$62&amp;"'!A2:G1000"), (INDIRECT("'"&amp;L$62&amp;"'!B2:B1000")=$B45) * (INDIRECT("'"&amp;L$62&amp;"'!C2:C1000")=$C45)
        ),
        5,
        FALSE
    )="",
    "",
    VLOOKUP(
        $A45,
        _xlfn._xlws.FILTER(
            INDIRECT("'"&amp;L$62&amp;"'!A2:G1000"), (INDIRECT("'"&amp;L$62&amp;"'!B2:B1000")=$B45) * (INDIRECT("'"&amp;L$62&amp;"'!C2:C1000")=$C45)
        ),
        7,
        FALSE
    )
)</f>
        <v>Sim</v>
      </c>
      <c r="M45" s="60" t="str">
        <f t="array" aca="1" ref="M45" ca="1">IF(
    VLOOKUP(
        $A45,
        _xlfn._xlws.FILTER(
            INDIRECT("'"&amp;M$62&amp;"'!A2:G1000"), (INDIRECT("'"&amp;M$62&amp;"'!B2:B1000")=$B45) * (INDIRECT("'"&amp;M$62&amp;"'!C2:C1000")=$C45)
        ),
        5,
        FALSE
    )="",
    "",
    VLOOKUP(
        $A45,
        _xlfn._xlws.FILTER(
            INDIRECT("'"&amp;M$62&amp;"'!A2:G1000"), (INDIRECT("'"&amp;M$62&amp;"'!B2:B1000")=$B45) * (INDIRECT("'"&amp;M$62&amp;"'!C2:C1000")=$C45)
        ),
        7,
        FALSE
    )
)</f>
        <v>Sim</v>
      </c>
      <c r="N45" s="60" t="str">
        <f t="array" aca="1" ref="N45" ca="1">IF(
    VLOOKUP(
        $A45,
        _xlfn._xlws.FILTER(
            INDIRECT("'"&amp;N$62&amp;"'!A2:G1000"), (INDIRECT("'"&amp;N$62&amp;"'!B2:B1000")=$B45) * (INDIRECT("'"&amp;N$62&amp;"'!C2:C1000")=$C45)
        ),
        5,
        FALSE
    )="",
    "",
    VLOOKUP(
        $A45,
        _xlfn._xlws.FILTER(
            INDIRECT("'"&amp;N$62&amp;"'!A2:G1000"), (INDIRECT("'"&amp;N$62&amp;"'!B2:B1000")=$B45) * (INDIRECT("'"&amp;N$62&amp;"'!C2:C1000")=$C45)
        ),
        7,
        FALSE
    )
)</f>
        <v>Sim</v>
      </c>
      <c r="O45" s="60" t="str">
        <f t="array" aca="1" ref="O45" ca="1">IF(
    VLOOKUP(
        $A45,
        _xlfn._xlws.FILTER(
            INDIRECT("'"&amp;O$62&amp;"'!A2:G1000"), (INDIRECT("'"&amp;O$62&amp;"'!B2:B1000")=$B45) * (INDIRECT("'"&amp;O$62&amp;"'!C2:C1000")=$C45)
        ),
        5,
        FALSE
    )="",
    "",
    VLOOKUP(
        $A45,
        _xlfn._xlws.FILTER(
            INDIRECT("'"&amp;O$62&amp;"'!A2:G1000"), (INDIRECT("'"&amp;O$62&amp;"'!B2:B1000")=$B45) * (INDIRECT("'"&amp;O$62&amp;"'!C2:C1000")=$C45)
        ),
        7,
        FALSE
    )
)</f>
        <v/>
      </c>
      <c r="P45" s="60" t="str">
        <f t="array" aca="1" ref="P45" ca="1">IF(
    VLOOKUP(
        $A45,
        _xlfn._xlws.FILTER(
            INDIRECT("'"&amp;P$62&amp;"'!A2:G1000"), (INDIRECT("'"&amp;P$62&amp;"'!B2:B1000")=$B45) * (INDIRECT("'"&amp;P$62&amp;"'!C2:C1000")=$C45)
        ),
        5,
        FALSE
    )="",
    "",
    VLOOKUP(
        $A45,
        _xlfn._xlws.FILTER(
            INDIRECT("'"&amp;P$62&amp;"'!A2:G1000"), (INDIRECT("'"&amp;P$62&amp;"'!B2:B1000")=$B45) * (INDIRECT("'"&amp;P$62&amp;"'!C2:C1000")=$C45)
        ),
        7,
        FALSE
    )
)</f>
        <v/>
      </c>
    </row>
    <row r="46" spans="1:16">
      <c r="A46" s="30" t="s">
        <v>26</v>
      </c>
      <c r="B46" s="60" t="s">
        <v>110</v>
      </c>
      <c r="C46" s="60" t="s">
        <v>75</v>
      </c>
      <c r="D46" s="60" t="str">
        <f t="array" aca="1" ref="D46" ca="1">IF(
    VLOOKUP(
        $A46,
        _xlfn._xlws.FILTER(
            INDIRECT("'"&amp;D$62&amp;"'!A2:G1000"), (INDIRECT("'"&amp;D$62&amp;"'!B2:B1000")=$B46) * (INDIRECT("'"&amp;D$62&amp;"'!C2:C1000")=$C46)
        ),
        5,
        FALSE
    )="",
    "",
    VLOOKUP(
        $A46,
        _xlfn._xlws.FILTER(
            INDIRECT("'"&amp;D$62&amp;"'!A2:G1000"), (INDIRECT("'"&amp;D$62&amp;"'!B2:B1000")=$B46) * (INDIRECT("'"&amp;D$62&amp;"'!C2:C1000")=$C46)
        ),
        7,
        FALSE
    )
)</f>
        <v>Sim</v>
      </c>
      <c r="E46" s="60" t="str">
        <f t="array" aca="1" ref="E46" ca="1">IF(
    VLOOKUP(
        $A46,
        _xlfn._xlws.FILTER(
            INDIRECT("'"&amp;E$62&amp;"'!A2:G1000"), (INDIRECT("'"&amp;E$62&amp;"'!B2:B1000")=$B46) * (INDIRECT("'"&amp;E$62&amp;"'!C2:C1000")=$C46)
        ),
        5,
        FALSE
    )="",
    "",
    VLOOKUP(
        $A46,
        _xlfn._xlws.FILTER(
            INDIRECT("'"&amp;E$62&amp;"'!A2:G1000"), (INDIRECT("'"&amp;E$62&amp;"'!B2:B1000")=$B46) * (INDIRECT("'"&amp;E$62&amp;"'!C2:C1000")=$C46)
        ),
        7,
        FALSE
    )
)</f>
        <v>Sim</v>
      </c>
      <c r="F46" s="60" t="str">
        <f t="array" aca="1" ref="F46" ca="1">IF(
    VLOOKUP(
        $A46,
        _xlfn._xlws.FILTER(
            INDIRECT("'"&amp;F$62&amp;"'!A2:G1000"), (INDIRECT("'"&amp;F$62&amp;"'!B2:B1000")=$B46) * (INDIRECT("'"&amp;F$62&amp;"'!C2:C1000")=$C46)
        ),
        5,
        FALSE
    )="",
    "",
    VLOOKUP(
        $A46,
        _xlfn._xlws.FILTER(
            INDIRECT("'"&amp;F$62&amp;"'!A2:G1000"), (INDIRECT("'"&amp;F$62&amp;"'!B2:B1000")=$B46) * (INDIRECT("'"&amp;F$62&amp;"'!C2:C1000")=$C46)
        ),
        7,
        FALSE
    )
)</f>
        <v>Sim</v>
      </c>
      <c r="G46" s="60" t="str">
        <f t="array" aca="1" ref="G46" ca="1">IF(
    VLOOKUP(
        $A46,
        _xlfn._xlws.FILTER(
            INDIRECT("'"&amp;G$62&amp;"'!A2:G1000"), (INDIRECT("'"&amp;G$62&amp;"'!B2:B1000")=$B46) * (INDIRECT("'"&amp;G$62&amp;"'!C2:C1000")=$C46)
        ),
        5,
        FALSE
    )="",
    "",
    VLOOKUP(
        $A46,
        _xlfn._xlws.FILTER(
            INDIRECT("'"&amp;G$62&amp;"'!A2:G1000"), (INDIRECT("'"&amp;G$62&amp;"'!B2:B1000")=$B46) * (INDIRECT("'"&amp;G$62&amp;"'!C2:C1000")=$C46)
        ),
        7,
        FALSE
    )
)</f>
        <v>Sim</v>
      </c>
      <c r="H46" s="60" t="str">
        <f t="array" aca="1" ref="H46" ca="1">IF(
    VLOOKUP(
        $A46,
        _xlfn._xlws.FILTER(
            INDIRECT("'"&amp;H$62&amp;"'!A2:G1000"), (INDIRECT("'"&amp;H$62&amp;"'!B2:B1000")=$B46) * (INDIRECT("'"&amp;H$62&amp;"'!C2:C1000")=$C46)
        ),
        5,
        FALSE
    )="",
    "",
    VLOOKUP(
        $A46,
        _xlfn._xlws.FILTER(
            INDIRECT("'"&amp;H$62&amp;"'!A2:G1000"), (INDIRECT("'"&amp;H$62&amp;"'!B2:B1000")=$B46) * (INDIRECT("'"&amp;H$62&amp;"'!C2:C1000")=$C46)
        ),
        7,
        FALSE
    )
)</f>
        <v>Sim</v>
      </c>
      <c r="I46" s="60" t="str">
        <f t="array" aca="1" ref="I46" ca="1">IF(
    VLOOKUP(
        $A46,
        _xlfn._xlws.FILTER(
            INDIRECT("'"&amp;I$62&amp;"'!A2:G1000"), (INDIRECT("'"&amp;I$62&amp;"'!B2:B1000")=$B46) * (INDIRECT("'"&amp;I$62&amp;"'!C2:C1000")=$C46)
        ),
        5,
        FALSE
    )="",
    "",
    VLOOKUP(
        $A46,
        _xlfn._xlws.FILTER(
            INDIRECT("'"&amp;I$62&amp;"'!A2:G1000"), (INDIRECT("'"&amp;I$62&amp;"'!B2:B1000")=$B46) * (INDIRECT("'"&amp;I$62&amp;"'!C2:C1000")=$C46)
        ),
        7,
        FALSE
    )
)</f>
        <v>Sim</v>
      </c>
      <c r="J46" s="60" t="str">
        <f t="array" aca="1" ref="J46" ca="1">IF(
    VLOOKUP(
        $A46,
        _xlfn._xlws.FILTER(
            INDIRECT("'"&amp;J$62&amp;"'!A2:G1000"), (INDIRECT("'"&amp;J$62&amp;"'!B2:B1000")=$B46) * (INDIRECT("'"&amp;J$62&amp;"'!C2:C1000")=$C46)
        ),
        5,
        FALSE
    )="",
    "",
    VLOOKUP(
        $A46,
        _xlfn._xlws.FILTER(
            INDIRECT("'"&amp;J$62&amp;"'!A2:G1000"), (INDIRECT("'"&amp;J$62&amp;"'!B2:B1000")=$B46) * (INDIRECT("'"&amp;J$62&amp;"'!C2:C1000")=$C46)
        ),
        7,
        FALSE
    )
)</f>
        <v>Sim</v>
      </c>
      <c r="K46" s="60" t="str">
        <f t="array" aca="1" ref="K46" ca="1">IF(
    VLOOKUP(
        $A46,
        _xlfn._xlws.FILTER(
            INDIRECT("'"&amp;K$62&amp;"'!A2:G1000"), (INDIRECT("'"&amp;K$62&amp;"'!B2:B1000")=$B46) * (INDIRECT("'"&amp;K$62&amp;"'!C2:C1000")=$C46)
        ),
        5,
        FALSE
    )="",
    "",
    VLOOKUP(
        $A46,
        _xlfn._xlws.FILTER(
            INDIRECT("'"&amp;K$62&amp;"'!A2:G1000"), (INDIRECT("'"&amp;K$62&amp;"'!B2:B1000")=$B46) * (INDIRECT("'"&amp;K$62&amp;"'!C2:C1000")=$C46)
        ),
        7,
        FALSE
    )
)</f>
        <v>Sim</v>
      </c>
      <c r="L46" s="60" t="str">
        <f t="array" aca="1" ref="L46" ca="1">IF(
    VLOOKUP(
        $A46,
        _xlfn._xlws.FILTER(
            INDIRECT("'"&amp;L$62&amp;"'!A2:G1000"), (INDIRECT("'"&amp;L$62&amp;"'!B2:B1000")=$B46) * (INDIRECT("'"&amp;L$62&amp;"'!C2:C1000")=$C46)
        ),
        5,
        FALSE
    )="",
    "",
    VLOOKUP(
        $A46,
        _xlfn._xlws.FILTER(
            INDIRECT("'"&amp;L$62&amp;"'!A2:G1000"), (INDIRECT("'"&amp;L$62&amp;"'!B2:B1000")=$B46) * (INDIRECT("'"&amp;L$62&amp;"'!C2:C1000")=$C46)
        ),
        7,
        FALSE
    )
)</f>
        <v>Sim</v>
      </c>
      <c r="M46" s="60" t="str">
        <f t="array" aca="1" ref="M46" ca="1">IF(
    VLOOKUP(
        $A46,
        _xlfn._xlws.FILTER(
            INDIRECT("'"&amp;M$62&amp;"'!A2:G1000"), (INDIRECT("'"&amp;M$62&amp;"'!B2:B1000")=$B46) * (INDIRECT("'"&amp;M$62&amp;"'!C2:C1000")=$C46)
        ),
        5,
        FALSE
    )="",
    "",
    VLOOKUP(
        $A46,
        _xlfn._xlws.FILTER(
            INDIRECT("'"&amp;M$62&amp;"'!A2:G1000"), (INDIRECT("'"&amp;M$62&amp;"'!B2:B1000")=$B46) * (INDIRECT("'"&amp;M$62&amp;"'!C2:C1000")=$C46)
        ),
        7,
        FALSE
    )
)</f>
        <v>Sim</v>
      </c>
      <c r="N46" s="60" t="str">
        <f t="array" aca="1" ref="N46" ca="1">IF(
    VLOOKUP(
        $A46,
        _xlfn._xlws.FILTER(
            INDIRECT("'"&amp;N$62&amp;"'!A2:G1000"), (INDIRECT("'"&amp;N$62&amp;"'!B2:B1000")=$B46) * (INDIRECT("'"&amp;N$62&amp;"'!C2:C1000")=$C46)
        ),
        5,
        FALSE
    )="",
    "",
    VLOOKUP(
        $A46,
        _xlfn._xlws.FILTER(
            INDIRECT("'"&amp;N$62&amp;"'!A2:G1000"), (INDIRECT("'"&amp;N$62&amp;"'!B2:B1000")=$B46) * (INDIRECT("'"&amp;N$62&amp;"'!C2:C1000")=$C46)
        ),
        7,
        FALSE
    )
)</f>
        <v>Sim</v>
      </c>
      <c r="O46" s="60" t="str">
        <f t="array" aca="1" ref="O46" ca="1">IF(
    VLOOKUP(
        $A46,
        _xlfn._xlws.FILTER(
            INDIRECT("'"&amp;O$62&amp;"'!A2:G1000"), (INDIRECT("'"&amp;O$62&amp;"'!B2:B1000")=$B46) * (INDIRECT("'"&amp;O$62&amp;"'!C2:C1000")=$C46)
        ),
        5,
        FALSE
    )="",
    "",
    VLOOKUP(
        $A46,
        _xlfn._xlws.FILTER(
            INDIRECT("'"&amp;O$62&amp;"'!A2:G1000"), (INDIRECT("'"&amp;O$62&amp;"'!B2:B1000")=$B46) * (INDIRECT("'"&amp;O$62&amp;"'!C2:C1000")=$C46)
        ),
        7,
        FALSE
    )
)</f>
        <v/>
      </c>
      <c r="P46" s="60" t="str">
        <f t="array" aca="1" ref="P46" ca="1">IF(
    VLOOKUP(
        $A46,
        _xlfn._xlws.FILTER(
            INDIRECT("'"&amp;P$62&amp;"'!A2:G1000"), (INDIRECT("'"&amp;P$62&amp;"'!B2:B1000")=$B46) * (INDIRECT("'"&amp;P$62&amp;"'!C2:C1000")=$C46)
        ),
        5,
        FALSE
    )="",
    "",
    VLOOKUP(
        $A46,
        _xlfn._xlws.FILTER(
            INDIRECT("'"&amp;P$62&amp;"'!A2:G1000"), (INDIRECT("'"&amp;P$62&amp;"'!B2:B1000")=$B46) * (INDIRECT("'"&amp;P$62&amp;"'!C2:C1000")=$C46)
        ),
        7,
        FALSE
    )
)</f>
        <v/>
      </c>
    </row>
    <row r="47" spans="1:16">
      <c r="A47" s="30" t="s">
        <v>26</v>
      </c>
      <c r="B47" s="60" t="s">
        <v>111</v>
      </c>
      <c r="C47" s="60" t="s">
        <v>75</v>
      </c>
      <c r="D47" s="60" t="str">
        <f t="array" aca="1" ref="D47" ca="1">IF(
    VLOOKUP(
        $A47,
        _xlfn._xlws.FILTER(
            INDIRECT("'"&amp;D$62&amp;"'!A2:G1000"), (INDIRECT("'"&amp;D$62&amp;"'!B2:B1000")=$B47) * (INDIRECT("'"&amp;D$62&amp;"'!C2:C1000")=$C47)
        ),
        5,
        FALSE
    )="",
    "",
    VLOOKUP(
        $A47,
        _xlfn._xlws.FILTER(
            INDIRECT("'"&amp;D$62&amp;"'!A2:G1000"), (INDIRECT("'"&amp;D$62&amp;"'!B2:B1000")=$B47) * (INDIRECT("'"&amp;D$62&amp;"'!C2:C1000")=$C47)
        ),
        7,
        FALSE
    )
)</f>
        <v>Sim</v>
      </c>
      <c r="E47" s="60" t="str">
        <f t="array" aca="1" ref="E47" ca="1">IF(
    VLOOKUP(
        $A47,
        _xlfn._xlws.FILTER(
            INDIRECT("'"&amp;E$62&amp;"'!A2:G1000"), (INDIRECT("'"&amp;E$62&amp;"'!B2:B1000")=$B47) * (INDIRECT("'"&amp;E$62&amp;"'!C2:C1000")=$C47)
        ),
        5,
        FALSE
    )="",
    "",
    VLOOKUP(
        $A47,
        _xlfn._xlws.FILTER(
            INDIRECT("'"&amp;E$62&amp;"'!A2:G1000"), (INDIRECT("'"&amp;E$62&amp;"'!B2:B1000")=$B47) * (INDIRECT("'"&amp;E$62&amp;"'!C2:C1000")=$C47)
        ),
        7,
        FALSE
    )
)</f>
        <v>Sim</v>
      </c>
      <c r="F47" s="60" t="str">
        <f t="array" aca="1" ref="F47" ca="1">IF(
    VLOOKUP(
        $A47,
        _xlfn._xlws.FILTER(
            INDIRECT("'"&amp;F$62&amp;"'!A2:G1000"), (INDIRECT("'"&amp;F$62&amp;"'!B2:B1000")=$B47) * (INDIRECT("'"&amp;F$62&amp;"'!C2:C1000")=$C47)
        ),
        5,
        FALSE
    )="",
    "",
    VLOOKUP(
        $A47,
        _xlfn._xlws.FILTER(
            INDIRECT("'"&amp;F$62&amp;"'!A2:G1000"), (INDIRECT("'"&amp;F$62&amp;"'!B2:B1000")=$B47) * (INDIRECT("'"&amp;F$62&amp;"'!C2:C1000")=$C47)
        ),
        7,
        FALSE
    )
)</f>
        <v>Sim</v>
      </c>
      <c r="G47" s="60" t="str">
        <f t="array" aca="1" ref="G47" ca="1">IF(
    VLOOKUP(
        $A47,
        _xlfn._xlws.FILTER(
            INDIRECT("'"&amp;G$62&amp;"'!A2:G1000"), (INDIRECT("'"&amp;G$62&amp;"'!B2:B1000")=$B47) * (INDIRECT("'"&amp;G$62&amp;"'!C2:C1000")=$C47)
        ),
        5,
        FALSE
    )="",
    "",
    VLOOKUP(
        $A47,
        _xlfn._xlws.FILTER(
            INDIRECT("'"&amp;G$62&amp;"'!A2:G1000"), (INDIRECT("'"&amp;G$62&amp;"'!B2:B1000")=$B47) * (INDIRECT("'"&amp;G$62&amp;"'!C2:C1000")=$C47)
        ),
        7,
        FALSE
    )
)</f>
        <v>Sim</v>
      </c>
      <c r="H47" s="60" t="str">
        <f t="array" aca="1" ref="H47" ca="1">IF(
    VLOOKUP(
        $A47,
        _xlfn._xlws.FILTER(
            INDIRECT("'"&amp;H$62&amp;"'!A2:G1000"), (INDIRECT("'"&amp;H$62&amp;"'!B2:B1000")=$B47) * (INDIRECT("'"&amp;H$62&amp;"'!C2:C1000")=$C47)
        ),
        5,
        FALSE
    )="",
    "",
    VLOOKUP(
        $A47,
        _xlfn._xlws.FILTER(
            INDIRECT("'"&amp;H$62&amp;"'!A2:G1000"), (INDIRECT("'"&amp;H$62&amp;"'!B2:B1000")=$B47) * (INDIRECT("'"&amp;H$62&amp;"'!C2:C1000")=$C47)
        ),
        7,
        FALSE
    )
)</f>
        <v>Sim</v>
      </c>
      <c r="I47" s="60" t="str">
        <f t="array" aca="1" ref="I47" ca="1">IF(
    VLOOKUP(
        $A47,
        _xlfn._xlws.FILTER(
            INDIRECT("'"&amp;I$62&amp;"'!A2:G1000"), (INDIRECT("'"&amp;I$62&amp;"'!B2:B1000")=$B47) * (INDIRECT("'"&amp;I$62&amp;"'!C2:C1000")=$C47)
        ),
        5,
        FALSE
    )="",
    "",
    VLOOKUP(
        $A47,
        _xlfn._xlws.FILTER(
            INDIRECT("'"&amp;I$62&amp;"'!A2:G1000"), (INDIRECT("'"&amp;I$62&amp;"'!B2:B1000")=$B47) * (INDIRECT("'"&amp;I$62&amp;"'!C2:C1000")=$C47)
        ),
        7,
        FALSE
    )
)</f>
        <v>Sim</v>
      </c>
      <c r="J47" s="60" t="str">
        <f t="array" aca="1" ref="J47" ca="1">IF(
    VLOOKUP(
        $A47,
        _xlfn._xlws.FILTER(
            INDIRECT("'"&amp;J$62&amp;"'!A2:G1000"), (INDIRECT("'"&amp;J$62&amp;"'!B2:B1000")=$B47) * (INDIRECT("'"&amp;J$62&amp;"'!C2:C1000")=$C47)
        ),
        5,
        FALSE
    )="",
    "",
    VLOOKUP(
        $A47,
        _xlfn._xlws.FILTER(
            INDIRECT("'"&amp;J$62&amp;"'!A2:G1000"), (INDIRECT("'"&amp;J$62&amp;"'!B2:B1000")=$B47) * (INDIRECT("'"&amp;J$62&amp;"'!C2:C1000")=$C47)
        ),
        7,
        FALSE
    )
)</f>
        <v>Não</v>
      </c>
      <c r="K47" s="60" t="str">
        <f t="array" aca="1" ref="K47" ca="1">IF(
    VLOOKUP(
        $A47,
        _xlfn._xlws.FILTER(
            INDIRECT("'"&amp;K$62&amp;"'!A2:G1000"), (INDIRECT("'"&amp;K$62&amp;"'!B2:B1000")=$B47) * (INDIRECT("'"&amp;K$62&amp;"'!C2:C1000")=$C47)
        ),
        5,
        FALSE
    )="",
    "",
    VLOOKUP(
        $A47,
        _xlfn._xlws.FILTER(
            INDIRECT("'"&amp;K$62&amp;"'!A2:G1000"), (INDIRECT("'"&amp;K$62&amp;"'!B2:B1000")=$B47) * (INDIRECT("'"&amp;K$62&amp;"'!C2:C1000")=$C47)
        ),
        7,
        FALSE
    )
)</f>
        <v>Sim</v>
      </c>
      <c r="L47" s="60" t="str">
        <f t="array" aca="1" ref="L47" ca="1">IF(
    VLOOKUP(
        $A47,
        _xlfn._xlws.FILTER(
            INDIRECT("'"&amp;L$62&amp;"'!A2:G1000"), (INDIRECT("'"&amp;L$62&amp;"'!B2:B1000")=$B47) * (INDIRECT("'"&amp;L$62&amp;"'!C2:C1000")=$C47)
        ),
        5,
        FALSE
    )="",
    "",
    VLOOKUP(
        $A47,
        _xlfn._xlws.FILTER(
            INDIRECT("'"&amp;L$62&amp;"'!A2:G1000"), (INDIRECT("'"&amp;L$62&amp;"'!B2:B1000")=$B47) * (INDIRECT("'"&amp;L$62&amp;"'!C2:C1000")=$C47)
        ),
        7,
        FALSE
    )
)</f>
        <v>Sim</v>
      </c>
      <c r="M47" s="60" t="str">
        <f t="array" aca="1" ref="M47" ca="1">IF(
    VLOOKUP(
        $A47,
        _xlfn._xlws.FILTER(
            INDIRECT("'"&amp;M$62&amp;"'!A2:G1000"), (INDIRECT("'"&amp;M$62&amp;"'!B2:B1000")=$B47) * (INDIRECT("'"&amp;M$62&amp;"'!C2:C1000")=$C47)
        ),
        5,
        FALSE
    )="",
    "",
    VLOOKUP(
        $A47,
        _xlfn._xlws.FILTER(
            INDIRECT("'"&amp;M$62&amp;"'!A2:G1000"), (INDIRECT("'"&amp;M$62&amp;"'!B2:B1000")=$B47) * (INDIRECT("'"&amp;M$62&amp;"'!C2:C1000")=$C47)
        ),
        7,
        FALSE
    )
)</f>
        <v>Sim</v>
      </c>
      <c r="N47" s="60" t="str">
        <f t="array" aca="1" ref="N47" ca="1">IF(
    VLOOKUP(
        $A47,
        _xlfn._xlws.FILTER(
            INDIRECT("'"&amp;N$62&amp;"'!A2:G1000"), (INDIRECT("'"&amp;N$62&amp;"'!B2:B1000")=$B47) * (INDIRECT("'"&amp;N$62&amp;"'!C2:C1000")=$C47)
        ),
        5,
        FALSE
    )="",
    "",
    VLOOKUP(
        $A47,
        _xlfn._xlws.FILTER(
            INDIRECT("'"&amp;N$62&amp;"'!A2:G1000"), (INDIRECT("'"&amp;N$62&amp;"'!B2:B1000")=$B47) * (INDIRECT("'"&amp;N$62&amp;"'!C2:C1000")=$C47)
        ),
        7,
        FALSE
    )
)</f>
        <v>Sim</v>
      </c>
      <c r="O47" s="60" t="str">
        <f t="array" aca="1" ref="O47" ca="1">IF(
    VLOOKUP(
        $A47,
        _xlfn._xlws.FILTER(
            INDIRECT("'"&amp;O$62&amp;"'!A2:G1000"), (INDIRECT("'"&amp;O$62&amp;"'!B2:B1000")=$B47) * (INDIRECT("'"&amp;O$62&amp;"'!C2:C1000")=$C47)
        ),
        5,
        FALSE
    )="",
    "",
    VLOOKUP(
        $A47,
        _xlfn._xlws.FILTER(
            INDIRECT("'"&amp;O$62&amp;"'!A2:G1000"), (INDIRECT("'"&amp;O$62&amp;"'!B2:B1000")=$B47) * (INDIRECT("'"&amp;O$62&amp;"'!C2:C1000")=$C47)
        ),
        7,
        FALSE
    )
)</f>
        <v/>
      </c>
      <c r="P47" s="60" t="str">
        <f t="array" aca="1" ref="P47" ca="1">IF(
    VLOOKUP(
        $A47,
        _xlfn._xlws.FILTER(
            INDIRECT("'"&amp;P$62&amp;"'!A2:G1000"), (INDIRECT("'"&amp;P$62&amp;"'!B2:B1000")=$B47) * (INDIRECT("'"&amp;P$62&amp;"'!C2:C1000")=$C47)
        ),
        5,
        FALSE
    )="",
    "",
    VLOOKUP(
        $A47,
        _xlfn._xlws.FILTER(
            INDIRECT("'"&amp;P$62&amp;"'!A2:G1000"), (INDIRECT("'"&amp;P$62&amp;"'!B2:B1000")=$B47) * (INDIRECT("'"&amp;P$62&amp;"'!C2:C1000")=$C47)
        ),
        7,
        FALSE
    )
)</f>
        <v/>
      </c>
    </row>
    <row r="48" spans="1:16">
      <c r="A48" s="30" t="s">
        <v>26</v>
      </c>
      <c r="B48" s="60" t="s">
        <v>112</v>
      </c>
      <c r="C48" s="60" t="s">
        <v>75</v>
      </c>
      <c r="D48" s="60" t="str">
        <f t="array" aca="1" ref="D48" ca="1">IF(
    VLOOKUP(
        $A48,
        _xlfn._xlws.FILTER(
            INDIRECT("'"&amp;D$62&amp;"'!A2:G1000"), (INDIRECT("'"&amp;D$62&amp;"'!B2:B1000")=$B48) * (INDIRECT("'"&amp;D$62&amp;"'!C2:C1000")=$C48)
        ),
        5,
        FALSE
    )="",
    "",
    VLOOKUP(
        $A48,
        _xlfn._xlws.FILTER(
            INDIRECT("'"&amp;D$62&amp;"'!A2:G1000"), (INDIRECT("'"&amp;D$62&amp;"'!B2:B1000")=$B48) * (INDIRECT("'"&amp;D$62&amp;"'!C2:C1000")=$C48)
        ),
        7,
        FALSE
    )
)</f>
        <v>Sim</v>
      </c>
      <c r="E48" s="60" t="str">
        <f t="array" aca="1" ref="E48" ca="1">IF(
    VLOOKUP(
        $A48,
        _xlfn._xlws.FILTER(
            INDIRECT("'"&amp;E$62&amp;"'!A2:G1000"), (INDIRECT("'"&amp;E$62&amp;"'!B2:B1000")=$B48) * (INDIRECT("'"&amp;E$62&amp;"'!C2:C1000")=$C48)
        ),
        5,
        FALSE
    )="",
    "",
    VLOOKUP(
        $A48,
        _xlfn._xlws.FILTER(
            INDIRECT("'"&amp;E$62&amp;"'!A2:G1000"), (INDIRECT("'"&amp;E$62&amp;"'!B2:B1000")=$B48) * (INDIRECT("'"&amp;E$62&amp;"'!C2:C1000")=$C48)
        ),
        7,
        FALSE
    )
)</f>
        <v>Sim</v>
      </c>
      <c r="F48" s="60" t="str">
        <f t="array" aca="1" ref="F48" ca="1">IF(
    VLOOKUP(
        $A48,
        _xlfn._xlws.FILTER(
            INDIRECT("'"&amp;F$62&amp;"'!A2:G1000"), (INDIRECT("'"&amp;F$62&amp;"'!B2:B1000")=$B48) * (INDIRECT("'"&amp;F$62&amp;"'!C2:C1000")=$C48)
        ),
        5,
        FALSE
    )="",
    "",
    VLOOKUP(
        $A48,
        _xlfn._xlws.FILTER(
            INDIRECT("'"&amp;F$62&amp;"'!A2:G1000"), (INDIRECT("'"&amp;F$62&amp;"'!B2:B1000")=$B48) * (INDIRECT("'"&amp;F$62&amp;"'!C2:C1000")=$C48)
        ),
        7,
        FALSE
    )
)</f>
        <v>Sim</v>
      </c>
      <c r="G48" s="60" t="str">
        <f t="array" aca="1" ref="G48" ca="1">IF(
    VLOOKUP(
        $A48,
        _xlfn._xlws.FILTER(
            INDIRECT("'"&amp;G$62&amp;"'!A2:G1000"), (INDIRECT("'"&amp;G$62&amp;"'!B2:B1000")=$B48) * (INDIRECT("'"&amp;G$62&amp;"'!C2:C1000")=$C48)
        ),
        5,
        FALSE
    )="",
    "",
    VLOOKUP(
        $A48,
        _xlfn._xlws.FILTER(
            INDIRECT("'"&amp;G$62&amp;"'!A2:G1000"), (INDIRECT("'"&amp;G$62&amp;"'!B2:B1000")=$B48) * (INDIRECT("'"&amp;G$62&amp;"'!C2:C1000")=$C48)
        ),
        7,
        FALSE
    )
)</f>
        <v>Sim</v>
      </c>
      <c r="H48" s="60" t="str">
        <f t="array" aca="1" ref="H48" ca="1">IF(
    VLOOKUP(
        $A48,
        _xlfn._xlws.FILTER(
            INDIRECT("'"&amp;H$62&amp;"'!A2:G1000"), (INDIRECT("'"&amp;H$62&amp;"'!B2:B1000")=$B48) * (INDIRECT("'"&amp;H$62&amp;"'!C2:C1000")=$C48)
        ),
        5,
        FALSE
    )="",
    "",
    VLOOKUP(
        $A48,
        _xlfn._xlws.FILTER(
            INDIRECT("'"&amp;H$62&amp;"'!A2:G1000"), (INDIRECT("'"&amp;H$62&amp;"'!B2:B1000")=$B48) * (INDIRECT("'"&amp;H$62&amp;"'!C2:C1000")=$C48)
        ),
        7,
        FALSE
    )
)</f>
        <v>Sim</v>
      </c>
      <c r="I48" s="60" t="str">
        <f t="array" aca="1" ref="I48" ca="1">IF(
    VLOOKUP(
        $A48,
        _xlfn._xlws.FILTER(
            INDIRECT("'"&amp;I$62&amp;"'!A2:G1000"), (INDIRECT("'"&amp;I$62&amp;"'!B2:B1000")=$B48) * (INDIRECT("'"&amp;I$62&amp;"'!C2:C1000")=$C48)
        ),
        5,
        FALSE
    )="",
    "",
    VLOOKUP(
        $A48,
        _xlfn._xlws.FILTER(
            INDIRECT("'"&amp;I$62&amp;"'!A2:G1000"), (INDIRECT("'"&amp;I$62&amp;"'!B2:B1000")=$B48) * (INDIRECT("'"&amp;I$62&amp;"'!C2:C1000")=$C48)
        ),
        7,
        FALSE
    )
)</f>
        <v>Sim</v>
      </c>
      <c r="J48" s="60" t="str">
        <f t="array" aca="1" ref="J48" ca="1">IF(
    VLOOKUP(
        $A48,
        _xlfn._xlws.FILTER(
            INDIRECT("'"&amp;J$62&amp;"'!A2:G1000"), (INDIRECT("'"&amp;J$62&amp;"'!B2:B1000")=$B48) * (INDIRECT("'"&amp;J$62&amp;"'!C2:C1000")=$C48)
        ),
        5,
        FALSE
    )="",
    "",
    VLOOKUP(
        $A48,
        _xlfn._xlws.FILTER(
            INDIRECT("'"&amp;J$62&amp;"'!A2:G1000"), (INDIRECT("'"&amp;J$62&amp;"'!B2:B1000")=$B48) * (INDIRECT("'"&amp;J$62&amp;"'!C2:C1000")=$C48)
        ),
        7,
        FALSE
    )
)</f>
        <v>Sim</v>
      </c>
      <c r="K48" s="60" t="str">
        <f t="array" aca="1" ref="K48" ca="1">IF(
    VLOOKUP(
        $A48,
        _xlfn._xlws.FILTER(
            INDIRECT("'"&amp;K$62&amp;"'!A2:G1000"), (INDIRECT("'"&amp;K$62&amp;"'!B2:B1000")=$B48) * (INDIRECT("'"&amp;K$62&amp;"'!C2:C1000")=$C48)
        ),
        5,
        FALSE
    )="",
    "",
    VLOOKUP(
        $A48,
        _xlfn._xlws.FILTER(
            INDIRECT("'"&amp;K$62&amp;"'!A2:G1000"), (INDIRECT("'"&amp;K$62&amp;"'!B2:B1000")=$B48) * (INDIRECT("'"&amp;K$62&amp;"'!C2:C1000")=$C48)
        ),
        7,
        FALSE
    )
)</f>
        <v>Sim</v>
      </c>
      <c r="L48" s="60" t="str">
        <f t="array" aca="1" ref="L48" ca="1">IF(
    VLOOKUP(
        $A48,
        _xlfn._xlws.FILTER(
            INDIRECT("'"&amp;L$62&amp;"'!A2:G1000"), (INDIRECT("'"&amp;L$62&amp;"'!B2:B1000")=$B48) * (INDIRECT("'"&amp;L$62&amp;"'!C2:C1000")=$C48)
        ),
        5,
        FALSE
    )="",
    "",
    VLOOKUP(
        $A48,
        _xlfn._xlws.FILTER(
            INDIRECT("'"&amp;L$62&amp;"'!A2:G1000"), (INDIRECT("'"&amp;L$62&amp;"'!B2:B1000")=$B48) * (INDIRECT("'"&amp;L$62&amp;"'!C2:C1000")=$C48)
        ),
        7,
        FALSE
    )
)</f>
        <v>Sim</v>
      </c>
      <c r="M48" s="60" t="str">
        <f t="array" aca="1" ref="M48" ca="1">IF(
    VLOOKUP(
        $A48,
        _xlfn._xlws.FILTER(
            INDIRECT("'"&amp;M$62&amp;"'!A2:G1000"), (INDIRECT("'"&amp;M$62&amp;"'!B2:B1000")=$B48) * (INDIRECT("'"&amp;M$62&amp;"'!C2:C1000")=$C48)
        ),
        5,
        FALSE
    )="",
    "",
    VLOOKUP(
        $A48,
        _xlfn._xlws.FILTER(
            INDIRECT("'"&amp;M$62&amp;"'!A2:G1000"), (INDIRECT("'"&amp;M$62&amp;"'!B2:B1000")=$B48) * (INDIRECT("'"&amp;M$62&amp;"'!C2:C1000")=$C48)
        ),
        7,
        FALSE
    )
)</f>
        <v>Sim</v>
      </c>
      <c r="N48" s="60" t="str">
        <f t="array" aca="1" ref="N48" ca="1">IF(
    VLOOKUP(
        $A48,
        _xlfn._xlws.FILTER(
            INDIRECT("'"&amp;N$62&amp;"'!A2:G1000"), (INDIRECT("'"&amp;N$62&amp;"'!B2:B1000")=$B48) * (INDIRECT("'"&amp;N$62&amp;"'!C2:C1000")=$C48)
        ),
        5,
        FALSE
    )="",
    "",
    VLOOKUP(
        $A48,
        _xlfn._xlws.FILTER(
            INDIRECT("'"&amp;N$62&amp;"'!A2:G1000"), (INDIRECT("'"&amp;N$62&amp;"'!B2:B1000")=$B48) * (INDIRECT("'"&amp;N$62&amp;"'!C2:C1000")=$C48)
        ),
        7,
        FALSE
    )
)</f>
        <v>Sim</v>
      </c>
      <c r="O48" s="60" t="str">
        <f t="array" aca="1" ref="O48" ca="1">IF(
    VLOOKUP(
        $A48,
        _xlfn._xlws.FILTER(
            INDIRECT("'"&amp;O$62&amp;"'!A2:G1000"), (INDIRECT("'"&amp;O$62&amp;"'!B2:B1000")=$B48) * (INDIRECT("'"&amp;O$62&amp;"'!C2:C1000")=$C48)
        ),
        5,
        FALSE
    )="",
    "",
    VLOOKUP(
        $A48,
        _xlfn._xlws.FILTER(
            INDIRECT("'"&amp;O$62&amp;"'!A2:G1000"), (INDIRECT("'"&amp;O$62&amp;"'!B2:B1000")=$B48) * (INDIRECT("'"&amp;O$62&amp;"'!C2:C1000")=$C48)
        ),
        7,
        FALSE
    )
)</f>
        <v/>
      </c>
      <c r="P48" s="60" t="str">
        <f t="array" aca="1" ref="P48" ca="1">IF(
    VLOOKUP(
        $A48,
        _xlfn._xlws.FILTER(
            INDIRECT("'"&amp;P$62&amp;"'!A2:G1000"), (INDIRECT("'"&amp;P$62&amp;"'!B2:B1000")=$B48) * (INDIRECT("'"&amp;P$62&amp;"'!C2:C1000")=$C48)
        ),
        5,
        FALSE
    )="",
    "",
    VLOOKUP(
        $A48,
        _xlfn._xlws.FILTER(
            INDIRECT("'"&amp;P$62&amp;"'!A2:G1000"), (INDIRECT("'"&amp;P$62&amp;"'!B2:B1000")=$B48) * (INDIRECT("'"&amp;P$62&amp;"'!C2:C1000")=$C48)
        ),
        7,
        FALSE
    )
)</f>
        <v/>
      </c>
    </row>
    <row r="49" spans="1:21">
      <c r="A49" s="30" t="s">
        <v>26</v>
      </c>
      <c r="B49" s="60" t="s">
        <v>113</v>
      </c>
      <c r="C49" s="60" t="s">
        <v>75</v>
      </c>
      <c r="D49" s="60" t="str">
        <f t="array" aca="1" ref="D49" ca="1">IF(
    VLOOKUP(
        $A49,
        _xlfn._xlws.FILTER(
            INDIRECT("'"&amp;D$62&amp;"'!A2:G1000"), (INDIRECT("'"&amp;D$62&amp;"'!B2:B1000")=$B49) * (INDIRECT("'"&amp;D$62&amp;"'!C2:C1000")=$C49)
        ),
        5,
        FALSE
    )="",
    "",
    VLOOKUP(
        $A49,
        _xlfn._xlws.FILTER(
            INDIRECT("'"&amp;D$62&amp;"'!A2:G1000"), (INDIRECT("'"&amp;D$62&amp;"'!B2:B1000")=$B49) * (INDIRECT("'"&amp;D$62&amp;"'!C2:C1000")=$C49)
        ),
        7,
        FALSE
    )
)</f>
        <v>Sim</v>
      </c>
      <c r="E49" s="60" t="str">
        <f t="array" aca="1" ref="E49" ca="1">IF(
    VLOOKUP(
        $A49,
        _xlfn._xlws.FILTER(
            INDIRECT("'"&amp;E$62&amp;"'!A2:G1000"), (INDIRECT("'"&amp;E$62&amp;"'!B2:B1000")=$B49) * (INDIRECT("'"&amp;E$62&amp;"'!C2:C1000")=$C49)
        ),
        5,
        FALSE
    )="",
    "",
    VLOOKUP(
        $A49,
        _xlfn._xlws.FILTER(
            INDIRECT("'"&amp;E$62&amp;"'!A2:G1000"), (INDIRECT("'"&amp;E$62&amp;"'!B2:B1000")=$B49) * (INDIRECT("'"&amp;E$62&amp;"'!C2:C1000")=$C49)
        ),
        7,
        FALSE
    )
)</f>
        <v>Sim</v>
      </c>
      <c r="F49" s="60" t="str">
        <f t="array" aca="1" ref="F49" ca="1">IF(
    VLOOKUP(
        $A49,
        _xlfn._xlws.FILTER(
            INDIRECT("'"&amp;F$62&amp;"'!A2:G1000"), (INDIRECT("'"&amp;F$62&amp;"'!B2:B1000")=$B49) * (INDIRECT("'"&amp;F$62&amp;"'!C2:C1000")=$C49)
        ),
        5,
        FALSE
    )="",
    "",
    VLOOKUP(
        $A49,
        _xlfn._xlws.FILTER(
            INDIRECT("'"&amp;F$62&amp;"'!A2:G1000"), (INDIRECT("'"&amp;F$62&amp;"'!B2:B1000")=$B49) * (INDIRECT("'"&amp;F$62&amp;"'!C2:C1000")=$C49)
        ),
        7,
        FALSE
    )
)</f>
        <v>Sim</v>
      </c>
      <c r="G49" s="60" t="str">
        <f t="array" aca="1" ref="G49" ca="1">IF(
    VLOOKUP(
        $A49,
        _xlfn._xlws.FILTER(
            INDIRECT("'"&amp;G$62&amp;"'!A2:G1000"), (INDIRECT("'"&amp;G$62&amp;"'!B2:B1000")=$B49) * (INDIRECT("'"&amp;G$62&amp;"'!C2:C1000")=$C49)
        ),
        5,
        FALSE
    )="",
    "",
    VLOOKUP(
        $A49,
        _xlfn._xlws.FILTER(
            INDIRECT("'"&amp;G$62&amp;"'!A2:G1000"), (INDIRECT("'"&amp;G$62&amp;"'!B2:B1000")=$B49) * (INDIRECT("'"&amp;G$62&amp;"'!C2:C1000")=$C49)
        ),
        7,
        FALSE
    )
)</f>
        <v>Sim</v>
      </c>
      <c r="H49" s="60" t="str">
        <f t="array" aca="1" ref="H49" ca="1">IF(
    VLOOKUP(
        $A49,
        _xlfn._xlws.FILTER(
            INDIRECT("'"&amp;H$62&amp;"'!A2:G1000"), (INDIRECT("'"&amp;H$62&amp;"'!B2:B1000")=$B49) * (INDIRECT("'"&amp;H$62&amp;"'!C2:C1000")=$C49)
        ),
        5,
        FALSE
    )="",
    "",
    VLOOKUP(
        $A49,
        _xlfn._xlws.FILTER(
            INDIRECT("'"&amp;H$62&amp;"'!A2:G1000"), (INDIRECT("'"&amp;H$62&amp;"'!B2:B1000")=$B49) * (INDIRECT("'"&amp;H$62&amp;"'!C2:C1000")=$C49)
        ),
        7,
        FALSE
    )
)</f>
        <v>Sim</v>
      </c>
      <c r="I49" s="60" t="str">
        <f t="array" aca="1" ref="I49" ca="1">IF(
    VLOOKUP(
        $A49,
        _xlfn._xlws.FILTER(
            INDIRECT("'"&amp;I$62&amp;"'!A2:G1000"), (INDIRECT("'"&amp;I$62&amp;"'!B2:B1000")=$B49) * (INDIRECT("'"&amp;I$62&amp;"'!C2:C1000")=$C49)
        ),
        5,
        FALSE
    )="",
    "",
    VLOOKUP(
        $A49,
        _xlfn._xlws.FILTER(
            INDIRECT("'"&amp;I$62&amp;"'!A2:G1000"), (INDIRECT("'"&amp;I$62&amp;"'!B2:B1000")=$B49) * (INDIRECT("'"&amp;I$62&amp;"'!C2:C1000")=$C49)
        ),
        7,
        FALSE
    )
)</f>
        <v>Sim</v>
      </c>
      <c r="J49" s="60" t="str">
        <f t="array" aca="1" ref="J49" ca="1">IF(
    VLOOKUP(
        $A49,
        _xlfn._xlws.FILTER(
            INDIRECT("'"&amp;J$62&amp;"'!A2:G1000"), (INDIRECT("'"&amp;J$62&amp;"'!B2:B1000")=$B49) * (INDIRECT("'"&amp;J$62&amp;"'!C2:C1000")=$C49)
        ),
        5,
        FALSE
    )="",
    "",
    VLOOKUP(
        $A49,
        _xlfn._xlws.FILTER(
            INDIRECT("'"&amp;J$62&amp;"'!A2:G1000"), (INDIRECT("'"&amp;J$62&amp;"'!B2:B1000")=$B49) * (INDIRECT("'"&amp;J$62&amp;"'!C2:C1000")=$C49)
        ),
        7,
        FALSE
    )
)</f>
        <v>Sim</v>
      </c>
      <c r="K49" s="60" t="str">
        <f t="array" aca="1" ref="K49" ca="1">IF(
    VLOOKUP(
        $A49,
        _xlfn._xlws.FILTER(
            INDIRECT("'"&amp;K$62&amp;"'!A2:G1000"), (INDIRECT("'"&amp;K$62&amp;"'!B2:B1000")=$B49) * (INDIRECT("'"&amp;K$62&amp;"'!C2:C1000")=$C49)
        ),
        5,
        FALSE
    )="",
    "",
    VLOOKUP(
        $A49,
        _xlfn._xlws.FILTER(
            INDIRECT("'"&amp;K$62&amp;"'!A2:G1000"), (INDIRECT("'"&amp;K$62&amp;"'!B2:B1000")=$B49) * (INDIRECT("'"&amp;K$62&amp;"'!C2:C1000")=$C49)
        ),
        7,
        FALSE
    )
)</f>
        <v>Sim</v>
      </c>
      <c r="L49" s="60" t="str">
        <f t="array" aca="1" ref="L49" ca="1">IF(
    VLOOKUP(
        $A49,
        _xlfn._xlws.FILTER(
            INDIRECT("'"&amp;L$62&amp;"'!A2:G1000"), (INDIRECT("'"&amp;L$62&amp;"'!B2:B1000")=$B49) * (INDIRECT("'"&amp;L$62&amp;"'!C2:C1000")=$C49)
        ),
        5,
        FALSE
    )="",
    "",
    VLOOKUP(
        $A49,
        _xlfn._xlws.FILTER(
            INDIRECT("'"&amp;L$62&amp;"'!A2:G1000"), (INDIRECT("'"&amp;L$62&amp;"'!B2:B1000")=$B49) * (INDIRECT("'"&amp;L$62&amp;"'!C2:C1000")=$C49)
        ),
        7,
        FALSE
    )
)</f>
        <v>Sim</v>
      </c>
      <c r="M49" s="60" t="str">
        <f t="array" aca="1" ref="M49" ca="1">IF(
    VLOOKUP(
        $A49,
        _xlfn._xlws.FILTER(
            INDIRECT("'"&amp;M$62&amp;"'!A2:G1000"), (INDIRECT("'"&amp;M$62&amp;"'!B2:B1000")=$B49) * (INDIRECT("'"&amp;M$62&amp;"'!C2:C1000")=$C49)
        ),
        5,
        FALSE
    )="",
    "",
    VLOOKUP(
        $A49,
        _xlfn._xlws.FILTER(
            INDIRECT("'"&amp;M$62&amp;"'!A2:G1000"), (INDIRECT("'"&amp;M$62&amp;"'!B2:B1000")=$B49) * (INDIRECT("'"&amp;M$62&amp;"'!C2:C1000")=$C49)
        ),
        7,
        FALSE
    )
)</f>
        <v>Sim</v>
      </c>
      <c r="N49" s="60" t="str">
        <f t="array" aca="1" ref="N49" ca="1">IF(
    VLOOKUP(
        $A49,
        _xlfn._xlws.FILTER(
            INDIRECT("'"&amp;N$62&amp;"'!A2:G1000"), (INDIRECT("'"&amp;N$62&amp;"'!B2:B1000")=$B49) * (INDIRECT("'"&amp;N$62&amp;"'!C2:C1000")=$C49)
        ),
        5,
        FALSE
    )="",
    "",
    VLOOKUP(
        $A49,
        _xlfn._xlws.FILTER(
            INDIRECT("'"&amp;N$62&amp;"'!A2:G1000"), (INDIRECT("'"&amp;N$62&amp;"'!B2:B1000")=$B49) * (INDIRECT("'"&amp;N$62&amp;"'!C2:C1000")=$C49)
        ),
        7,
        FALSE
    )
)</f>
        <v>Sim</v>
      </c>
      <c r="O49" s="60" t="str">
        <f t="array" aca="1" ref="O49" ca="1">IF(
    VLOOKUP(
        $A49,
        _xlfn._xlws.FILTER(
            INDIRECT("'"&amp;O$62&amp;"'!A2:G1000"), (INDIRECT("'"&amp;O$62&amp;"'!B2:B1000")=$B49) * (INDIRECT("'"&amp;O$62&amp;"'!C2:C1000")=$C49)
        ),
        5,
        FALSE
    )="",
    "",
    VLOOKUP(
        $A49,
        _xlfn._xlws.FILTER(
            INDIRECT("'"&amp;O$62&amp;"'!A2:G1000"), (INDIRECT("'"&amp;O$62&amp;"'!B2:B1000")=$B49) * (INDIRECT("'"&amp;O$62&amp;"'!C2:C1000")=$C49)
        ),
        7,
        FALSE
    )
)</f>
        <v/>
      </c>
      <c r="P49" s="60" t="str">
        <f t="array" aca="1" ref="P49" ca="1">IF(
    VLOOKUP(
        $A49,
        _xlfn._xlws.FILTER(
            INDIRECT("'"&amp;P$62&amp;"'!A2:G1000"), (INDIRECT("'"&amp;P$62&amp;"'!B2:B1000")=$B49) * (INDIRECT("'"&amp;P$62&amp;"'!C2:C1000")=$C49)
        ),
        5,
        FALSE
    )="",
    "",
    VLOOKUP(
        $A49,
        _xlfn._xlws.FILTER(
            INDIRECT("'"&amp;P$62&amp;"'!A2:G1000"), (INDIRECT("'"&amp;P$62&amp;"'!B2:B1000")=$B49) * (INDIRECT("'"&amp;P$62&amp;"'!C2:C1000")=$C49)
        ),
        7,
        FALSE
    )
)</f>
        <v/>
      </c>
    </row>
    <row r="50" spans="1:21">
      <c r="A50" s="30" t="s">
        <v>26</v>
      </c>
      <c r="B50" s="60" t="s">
        <v>114</v>
      </c>
      <c r="C50" s="60" t="s">
        <v>75</v>
      </c>
      <c r="D50" s="60" t="str">
        <f t="array" aca="1" ref="D50" ca="1">IF(
    VLOOKUP(
        $A50,
        _xlfn._xlws.FILTER(
            INDIRECT("'"&amp;D$62&amp;"'!A2:G1000"), (INDIRECT("'"&amp;D$62&amp;"'!B2:B1000")=$B50) * (INDIRECT("'"&amp;D$62&amp;"'!C2:C1000")=$C50)
        ),
        5,
        FALSE
    )="",
    "",
    VLOOKUP(
        $A50,
        _xlfn._xlws.FILTER(
            INDIRECT("'"&amp;D$62&amp;"'!A2:G1000"), (INDIRECT("'"&amp;D$62&amp;"'!B2:B1000")=$B50) * (INDIRECT("'"&amp;D$62&amp;"'!C2:C1000")=$C50)
        ),
        7,
        FALSE
    )
)</f>
        <v>Sim</v>
      </c>
      <c r="E50" s="60" t="str">
        <f t="array" aca="1" ref="E50" ca="1">IF(
    VLOOKUP(
        $A50,
        _xlfn._xlws.FILTER(
            INDIRECT("'"&amp;E$62&amp;"'!A2:G1000"), (INDIRECT("'"&amp;E$62&amp;"'!B2:B1000")=$B50) * (INDIRECT("'"&amp;E$62&amp;"'!C2:C1000")=$C50)
        ),
        5,
        FALSE
    )="",
    "",
    VLOOKUP(
        $A50,
        _xlfn._xlws.FILTER(
            INDIRECT("'"&amp;E$62&amp;"'!A2:G1000"), (INDIRECT("'"&amp;E$62&amp;"'!B2:B1000")=$B50) * (INDIRECT("'"&amp;E$62&amp;"'!C2:C1000")=$C50)
        ),
        7,
        FALSE
    )
)</f>
        <v>Sim</v>
      </c>
      <c r="F50" s="60" t="str">
        <f t="array" aca="1" ref="F50" ca="1">IF(
    VLOOKUP(
        $A50,
        _xlfn._xlws.FILTER(
            INDIRECT("'"&amp;F$62&amp;"'!A2:G1000"), (INDIRECT("'"&amp;F$62&amp;"'!B2:B1000")=$B50) * (INDIRECT("'"&amp;F$62&amp;"'!C2:C1000")=$C50)
        ),
        5,
        FALSE
    )="",
    "",
    VLOOKUP(
        $A50,
        _xlfn._xlws.FILTER(
            INDIRECT("'"&amp;F$62&amp;"'!A2:G1000"), (INDIRECT("'"&amp;F$62&amp;"'!B2:B1000")=$B50) * (INDIRECT("'"&amp;F$62&amp;"'!C2:C1000")=$C50)
        ),
        7,
        FALSE
    )
)</f>
        <v>Sim</v>
      </c>
      <c r="G50" s="60" t="str">
        <f t="array" aca="1" ref="G50" ca="1">IF(
    VLOOKUP(
        $A50,
        _xlfn._xlws.FILTER(
            INDIRECT("'"&amp;G$62&amp;"'!A2:G1000"), (INDIRECT("'"&amp;G$62&amp;"'!B2:B1000")=$B50) * (INDIRECT("'"&amp;G$62&amp;"'!C2:C1000")=$C50)
        ),
        5,
        FALSE
    )="",
    "",
    VLOOKUP(
        $A50,
        _xlfn._xlws.FILTER(
            INDIRECT("'"&amp;G$62&amp;"'!A2:G1000"), (INDIRECT("'"&amp;G$62&amp;"'!B2:B1000")=$B50) * (INDIRECT("'"&amp;G$62&amp;"'!C2:C1000")=$C50)
        ),
        7,
        FALSE
    )
)</f>
        <v>Sim</v>
      </c>
      <c r="H50" s="60" t="str">
        <f t="array" aca="1" ref="H50" ca="1">IF(
    VLOOKUP(
        $A50,
        _xlfn._xlws.FILTER(
            INDIRECT("'"&amp;H$62&amp;"'!A2:G1000"), (INDIRECT("'"&amp;H$62&amp;"'!B2:B1000")=$B50) * (INDIRECT("'"&amp;H$62&amp;"'!C2:C1000")=$C50)
        ),
        5,
        FALSE
    )="",
    "",
    VLOOKUP(
        $A50,
        _xlfn._xlws.FILTER(
            INDIRECT("'"&amp;H$62&amp;"'!A2:G1000"), (INDIRECT("'"&amp;H$62&amp;"'!B2:B1000")=$B50) * (INDIRECT("'"&amp;H$62&amp;"'!C2:C1000")=$C50)
        ),
        7,
        FALSE
    )
)</f>
        <v>Sim</v>
      </c>
      <c r="I50" s="60" t="str">
        <f t="array" aca="1" ref="I50" ca="1">IF(
    VLOOKUP(
        $A50,
        _xlfn._xlws.FILTER(
            INDIRECT("'"&amp;I$62&amp;"'!A2:G1000"), (INDIRECT("'"&amp;I$62&amp;"'!B2:B1000")=$B50) * (INDIRECT("'"&amp;I$62&amp;"'!C2:C1000")=$C50)
        ),
        5,
        FALSE
    )="",
    "",
    VLOOKUP(
        $A50,
        _xlfn._xlws.FILTER(
            INDIRECT("'"&amp;I$62&amp;"'!A2:G1000"), (INDIRECT("'"&amp;I$62&amp;"'!B2:B1000")=$B50) * (INDIRECT("'"&amp;I$62&amp;"'!C2:C1000")=$C50)
        ),
        7,
        FALSE
    )
)</f>
        <v>Sim</v>
      </c>
      <c r="J50" s="60" t="str">
        <f t="array" aca="1" ref="J50" ca="1">IF(
    VLOOKUP(
        $A50,
        _xlfn._xlws.FILTER(
            INDIRECT("'"&amp;J$62&amp;"'!A2:G1000"), (INDIRECT("'"&amp;J$62&amp;"'!B2:B1000")=$B50) * (INDIRECT("'"&amp;J$62&amp;"'!C2:C1000")=$C50)
        ),
        5,
        FALSE
    )="",
    "",
    VLOOKUP(
        $A50,
        _xlfn._xlws.FILTER(
            INDIRECT("'"&amp;J$62&amp;"'!A2:G1000"), (INDIRECT("'"&amp;J$62&amp;"'!B2:B1000")=$B50) * (INDIRECT("'"&amp;J$62&amp;"'!C2:C1000")=$C50)
        ),
        7,
        FALSE
    )
)</f>
        <v>Não</v>
      </c>
      <c r="K50" s="60" t="str">
        <f t="array" aca="1" ref="K50" ca="1">IF(
    VLOOKUP(
        $A50,
        _xlfn._xlws.FILTER(
            INDIRECT("'"&amp;K$62&amp;"'!A2:G1000"), (INDIRECT("'"&amp;K$62&amp;"'!B2:B1000")=$B50) * (INDIRECT("'"&amp;K$62&amp;"'!C2:C1000")=$C50)
        ),
        5,
        FALSE
    )="",
    "",
    VLOOKUP(
        $A50,
        _xlfn._xlws.FILTER(
            INDIRECT("'"&amp;K$62&amp;"'!A2:G1000"), (INDIRECT("'"&amp;K$62&amp;"'!B2:B1000")=$B50) * (INDIRECT("'"&amp;K$62&amp;"'!C2:C1000")=$C50)
        ),
        7,
        FALSE
    )
)</f>
        <v>Não</v>
      </c>
      <c r="L50" s="60" t="str">
        <f t="array" aca="1" ref="L50" ca="1">IF(
    VLOOKUP(
        $A50,
        _xlfn._xlws.FILTER(
            INDIRECT("'"&amp;L$62&amp;"'!A2:G1000"), (INDIRECT("'"&amp;L$62&amp;"'!B2:B1000")=$B50) * (INDIRECT("'"&amp;L$62&amp;"'!C2:C1000")=$C50)
        ),
        5,
        FALSE
    )="",
    "",
    VLOOKUP(
        $A50,
        _xlfn._xlws.FILTER(
            INDIRECT("'"&amp;L$62&amp;"'!A2:G1000"), (INDIRECT("'"&amp;L$62&amp;"'!B2:B1000")=$B50) * (INDIRECT("'"&amp;L$62&amp;"'!C2:C1000")=$C50)
        ),
        7,
        FALSE
    )
)</f>
        <v>Não</v>
      </c>
      <c r="M50" s="60" t="str">
        <f t="array" aca="1" ref="M50" ca="1">IF(
    VLOOKUP(
        $A50,
        _xlfn._xlws.FILTER(
            INDIRECT("'"&amp;M$62&amp;"'!A2:G1000"), (INDIRECT("'"&amp;M$62&amp;"'!B2:B1000")=$B50) * (INDIRECT("'"&amp;M$62&amp;"'!C2:C1000")=$C50)
        ),
        5,
        FALSE
    )="",
    "",
    VLOOKUP(
        $A50,
        _xlfn._xlws.FILTER(
            INDIRECT("'"&amp;M$62&amp;"'!A2:G1000"), (INDIRECT("'"&amp;M$62&amp;"'!B2:B1000")=$B50) * (INDIRECT("'"&amp;M$62&amp;"'!C2:C1000")=$C50)
        ),
        7,
        FALSE
    )
)</f>
        <v>Não</v>
      </c>
      <c r="N50" s="60" t="str">
        <f t="array" aca="1" ref="N50" ca="1">IF(
    VLOOKUP(
        $A50,
        _xlfn._xlws.FILTER(
            INDIRECT("'"&amp;N$62&amp;"'!A2:G1000"), (INDIRECT("'"&amp;N$62&amp;"'!B2:B1000")=$B50) * (INDIRECT("'"&amp;N$62&amp;"'!C2:C1000")=$C50)
        ),
        5,
        FALSE
    )="",
    "",
    VLOOKUP(
        $A50,
        _xlfn._xlws.FILTER(
            INDIRECT("'"&amp;N$62&amp;"'!A2:G1000"), (INDIRECT("'"&amp;N$62&amp;"'!B2:B1000")=$B50) * (INDIRECT("'"&amp;N$62&amp;"'!C2:C1000")=$C50)
        ),
        7,
        FALSE
    )
)</f>
        <v>Não</v>
      </c>
      <c r="O50" s="60" t="str">
        <f t="array" aca="1" ref="O50" ca="1">IF(
    VLOOKUP(
        $A50,
        _xlfn._xlws.FILTER(
            INDIRECT("'"&amp;O$62&amp;"'!A2:G1000"), (INDIRECT("'"&amp;O$62&amp;"'!B2:B1000")=$B50) * (INDIRECT("'"&amp;O$62&amp;"'!C2:C1000")=$C50)
        ),
        5,
        FALSE
    )="",
    "",
    VLOOKUP(
        $A50,
        _xlfn._xlws.FILTER(
            INDIRECT("'"&amp;O$62&amp;"'!A2:G1000"), (INDIRECT("'"&amp;O$62&amp;"'!B2:B1000")=$B50) * (INDIRECT("'"&amp;O$62&amp;"'!C2:C1000")=$C50)
        ),
        7,
        FALSE
    )
)</f>
        <v/>
      </c>
      <c r="P50" s="60" t="str">
        <f t="array" aca="1" ref="P50" ca="1">IF(
    VLOOKUP(
        $A50,
        _xlfn._xlws.FILTER(
            INDIRECT("'"&amp;P$62&amp;"'!A2:G1000"), (INDIRECT("'"&amp;P$62&amp;"'!B2:B1000")=$B50) * (INDIRECT("'"&amp;P$62&amp;"'!C2:C1000")=$C50)
        ),
        5,
        FALSE
    )="",
    "",
    VLOOKUP(
        $A50,
        _xlfn._xlws.FILTER(
            INDIRECT("'"&amp;P$62&amp;"'!A2:G1000"), (INDIRECT("'"&amp;P$62&amp;"'!B2:B1000")=$B50) * (INDIRECT("'"&amp;P$62&amp;"'!C2:C1000")=$C50)
        ),
        7,
        FALSE
    )
)</f>
        <v/>
      </c>
    </row>
    <row r="52" spans="1:21" ht="15.75" customHeight="1">
      <c r="A52" s="80" t="s">
        <v>115</v>
      </c>
      <c r="B52" s="21" t="s">
        <v>72</v>
      </c>
      <c r="C52" s="21" t="s">
        <v>73</v>
      </c>
      <c r="D52" s="74" t="s">
        <v>1</v>
      </c>
      <c r="E52" s="74" t="s">
        <v>2</v>
      </c>
      <c r="F52" s="74" t="s">
        <v>3</v>
      </c>
      <c r="G52" s="74" t="s">
        <v>4</v>
      </c>
      <c r="H52" s="74" t="s">
        <v>5</v>
      </c>
      <c r="I52" s="74" t="s">
        <v>6</v>
      </c>
      <c r="J52" s="74" t="s">
        <v>7</v>
      </c>
      <c r="K52" s="74" t="s">
        <v>8</v>
      </c>
      <c r="L52" s="74" t="s">
        <v>9</v>
      </c>
      <c r="M52" s="74" t="s">
        <v>9</v>
      </c>
      <c r="N52" s="74" t="s">
        <v>10</v>
      </c>
      <c r="O52" s="74" t="s">
        <v>11</v>
      </c>
      <c r="P52" s="74" t="s">
        <v>12</v>
      </c>
    </row>
    <row r="53" spans="1:21">
      <c r="A53" s="28" t="s">
        <v>42</v>
      </c>
      <c r="B53" s="60" t="s">
        <v>116</v>
      </c>
      <c r="C53" s="60" t="s">
        <v>75</v>
      </c>
      <c r="D53" s="60" t="str">
        <f t="array" aca="1" ref="D53" ca="1">IF(
    VLOOKUP(
        $A53,
        _xlfn._xlws.FILTER(
            INDIRECT("'"&amp;D$62&amp;"'!A2:G1000"), (INDIRECT("'"&amp;D$62&amp;"'!B2:B1000")=$B53) * (INDIRECT("'"&amp;D$62&amp;"'!C2:C1000")=$C53)
        ),
        5,
        FALSE
    )="",
    "",
    VLOOKUP(
        $A53,
        _xlfn._xlws.FILTER(
            INDIRECT("'"&amp;D$62&amp;"'!A2:G1000"), (INDIRECT("'"&amp;D$62&amp;"'!B2:B1000")=$B53) * (INDIRECT("'"&amp;D$62&amp;"'!C2:C1000")=$C53)
        ),
        7,
        FALSE
    )
)</f>
        <v>Sim</v>
      </c>
      <c r="E53" s="60" t="str">
        <f t="array" aca="1" ref="E53" ca="1">IF(
    VLOOKUP(
        $A53,
        _xlfn._xlws.FILTER(
            INDIRECT("'"&amp;E$62&amp;"'!A2:G1000"), (INDIRECT("'"&amp;E$62&amp;"'!B2:B1000")=$B53) * (INDIRECT("'"&amp;E$62&amp;"'!C2:C1000")=$C53)
        ),
        5,
        FALSE
    )="",
    "",
    VLOOKUP(
        $A53,
        _xlfn._xlws.FILTER(
            INDIRECT("'"&amp;E$62&amp;"'!A2:G1000"), (INDIRECT("'"&amp;E$62&amp;"'!B2:B1000")=$B53) * (INDIRECT("'"&amp;E$62&amp;"'!C2:C1000")=$C53)
        ),
        7,
        FALSE
    )
)</f>
        <v>Sim</v>
      </c>
      <c r="F53" s="60" t="str">
        <f t="array" aca="1" ref="F53" ca="1">IF(
    VLOOKUP(
        $A53,
        _xlfn._xlws.FILTER(
            INDIRECT("'"&amp;F$62&amp;"'!A2:G1000"), (INDIRECT("'"&amp;F$62&amp;"'!B2:B1000")=$B53) * (INDIRECT("'"&amp;F$62&amp;"'!C2:C1000")=$C53)
        ),
        5,
        FALSE
    )="",
    "",
    VLOOKUP(
        $A53,
        _xlfn._xlws.FILTER(
            INDIRECT("'"&amp;F$62&amp;"'!A2:G1000"), (INDIRECT("'"&amp;F$62&amp;"'!B2:B1000")=$B53) * (INDIRECT("'"&amp;F$62&amp;"'!C2:C1000")=$C53)
        ),
        7,
        FALSE
    )
)</f>
        <v>Não</v>
      </c>
      <c r="G53" s="60" t="str">
        <f t="array" aca="1" ref="G53" ca="1">IF(
    VLOOKUP(
        $A53,
        _xlfn._xlws.FILTER(
            INDIRECT("'"&amp;G$62&amp;"'!A2:G1000"), (INDIRECT("'"&amp;G$62&amp;"'!B2:B1000")=$B53) * (INDIRECT("'"&amp;G$62&amp;"'!C2:C1000")=$C53)
        ),
        5,
        FALSE
    )="",
    "",
    VLOOKUP(
        $A53,
        _xlfn._xlws.FILTER(
            INDIRECT("'"&amp;G$62&amp;"'!A2:G1000"), (INDIRECT("'"&amp;G$62&amp;"'!B2:B1000")=$B53) * (INDIRECT("'"&amp;G$62&amp;"'!C2:C1000")=$C53)
        ),
        7,
        FALSE
    )
)</f>
        <v>Não</v>
      </c>
      <c r="H53" s="60" t="str">
        <f t="array" aca="1" ref="H53" ca="1">IF(
    VLOOKUP(
        $A53,
        _xlfn._xlws.FILTER(
            INDIRECT("'"&amp;H$62&amp;"'!A2:G1000"), (INDIRECT("'"&amp;H$62&amp;"'!B2:B1000")=$B53) * (INDIRECT("'"&amp;H$62&amp;"'!C2:C1000")=$C53)
        ),
        5,
        FALSE
    )="",
    "",
    VLOOKUP(
        $A53,
        _xlfn._xlws.FILTER(
            INDIRECT("'"&amp;H$62&amp;"'!A2:G1000"), (INDIRECT("'"&amp;H$62&amp;"'!B2:B1000")=$B53) * (INDIRECT("'"&amp;H$62&amp;"'!C2:C1000")=$C53)
        ),
        7,
        FALSE
    )
)</f>
        <v>Não</v>
      </c>
      <c r="I53" s="60" t="str">
        <f t="array" aca="1" ref="I53" ca="1">IF(
    VLOOKUP(
        $A53,
        _xlfn._xlws.FILTER(
            INDIRECT("'"&amp;I$62&amp;"'!A2:G1000"), (INDIRECT("'"&amp;I$62&amp;"'!B2:B1000")=$B53) * (INDIRECT("'"&amp;I$62&amp;"'!C2:C1000")=$C53)
        ),
        5,
        FALSE
    )="",
    "",
    VLOOKUP(
        $A53,
        _xlfn._xlws.FILTER(
            INDIRECT("'"&amp;I$62&amp;"'!A2:G1000"), (INDIRECT("'"&amp;I$62&amp;"'!B2:B1000")=$B53) * (INDIRECT("'"&amp;I$62&amp;"'!C2:C1000")=$C53)
        ),
        7,
        FALSE
    )
)</f>
        <v>Não</v>
      </c>
      <c r="J53" s="60" t="str">
        <f t="array" aca="1" ref="J53" ca="1">IF(
    VLOOKUP(
        $A53,
        _xlfn._xlws.FILTER(
            INDIRECT("'"&amp;J$62&amp;"'!A2:G1000"), (INDIRECT("'"&amp;J$62&amp;"'!B2:B1000")=$B53) * (INDIRECT("'"&amp;J$62&amp;"'!C2:C1000")=$C53)
        ),
        5,
        FALSE
    )="",
    "",
    VLOOKUP(
        $A53,
        _xlfn._xlws.FILTER(
            INDIRECT("'"&amp;J$62&amp;"'!A2:G1000"), (INDIRECT("'"&amp;J$62&amp;"'!B2:B1000")=$B53) * (INDIRECT("'"&amp;J$62&amp;"'!C2:C1000")=$C53)
        ),
        7,
        FALSE
    )
)</f>
        <v>Não</v>
      </c>
      <c r="K53" s="60" t="str">
        <f t="array" aca="1" ref="K53" ca="1">IF(
    VLOOKUP(
        $A53,
        _xlfn._xlws.FILTER(
            INDIRECT("'"&amp;K$62&amp;"'!A2:G1000"), (INDIRECT("'"&amp;K$62&amp;"'!B2:B1000")=$B53) * (INDIRECT("'"&amp;K$62&amp;"'!C2:C1000")=$C53)
        ),
        5,
        FALSE
    )="",
    "",
    VLOOKUP(
        $A53,
        _xlfn._xlws.FILTER(
            INDIRECT("'"&amp;K$62&amp;"'!A2:G1000"), (INDIRECT("'"&amp;K$62&amp;"'!B2:B1000")=$B53) * (INDIRECT("'"&amp;K$62&amp;"'!C2:C1000")=$C53)
        ),
        7,
        FALSE
    )
)</f>
        <v>Sim</v>
      </c>
      <c r="L53" s="60" t="str">
        <f t="array" aca="1" ref="L53" ca="1">IF(
    VLOOKUP(
        $A53,
        _xlfn._xlws.FILTER(
            INDIRECT("'"&amp;L$62&amp;"'!A2:G1000"), (INDIRECT("'"&amp;L$62&amp;"'!B2:B1000")=$B53) * (INDIRECT("'"&amp;L$62&amp;"'!C2:C1000")=$C53)
        ),
        5,
        FALSE
    )="",
    "",
    VLOOKUP(
        $A53,
        _xlfn._xlws.FILTER(
            INDIRECT("'"&amp;L$62&amp;"'!A2:G1000"), (INDIRECT("'"&amp;L$62&amp;"'!B2:B1000")=$B53) * (INDIRECT("'"&amp;L$62&amp;"'!C2:C1000")=$C53)
        ),
        7,
        FALSE
    )
)</f>
        <v>Sim</v>
      </c>
      <c r="M53" s="60" t="str">
        <f t="array" aca="1" ref="M53" ca="1">IF(
    VLOOKUP(
        $A53,
        _xlfn._xlws.FILTER(
            INDIRECT("'"&amp;M$62&amp;"'!A2:G1000"), (INDIRECT("'"&amp;M$62&amp;"'!B2:B1000")=$B53) * (INDIRECT("'"&amp;M$62&amp;"'!C2:C1000")=$C53)
        ),
        5,
        FALSE
    )="",
    "",
    VLOOKUP(
        $A53,
        _xlfn._xlws.FILTER(
            INDIRECT("'"&amp;M$62&amp;"'!A2:G1000"), (INDIRECT("'"&amp;M$62&amp;"'!B2:B1000")=$B53) * (INDIRECT("'"&amp;M$62&amp;"'!C2:C1000")=$C53)
        ),
        7,
        FALSE
    )
)</f>
        <v>Sim</v>
      </c>
      <c r="N53" s="60" t="str">
        <f t="array" aca="1" ref="N53" ca="1">IF(
    VLOOKUP(
        $A53,
        _xlfn._xlws.FILTER(
            INDIRECT("'"&amp;N$62&amp;"'!A2:G1000"), (INDIRECT("'"&amp;N$62&amp;"'!B2:B1000")=$B53) * (INDIRECT("'"&amp;N$62&amp;"'!C2:C1000")=$C53)
        ),
        5,
        FALSE
    )="",
    "",
    VLOOKUP(
        $A53,
        _xlfn._xlws.FILTER(
            INDIRECT("'"&amp;N$62&amp;"'!A2:G1000"), (INDIRECT("'"&amp;N$62&amp;"'!B2:B1000")=$B53) * (INDIRECT("'"&amp;N$62&amp;"'!C2:C1000")=$C53)
        ),
        7,
        FALSE
    )
)</f>
        <v>Não</v>
      </c>
      <c r="O53" s="60" t="str">
        <f t="array" aca="1" ref="O53" ca="1">IF(
    VLOOKUP(
        $A53,
        _xlfn._xlws.FILTER(
            INDIRECT("'"&amp;O$62&amp;"'!A2:G1000"), (INDIRECT("'"&amp;O$62&amp;"'!B2:B1000")=$B53) * (INDIRECT("'"&amp;O$62&amp;"'!C2:C1000")=$C53)
        ),
        5,
        FALSE
    )="",
    "",
    VLOOKUP(
        $A53,
        _xlfn._xlws.FILTER(
            INDIRECT("'"&amp;O$62&amp;"'!A2:G1000"), (INDIRECT("'"&amp;O$62&amp;"'!B2:B1000")=$B53) * (INDIRECT("'"&amp;O$62&amp;"'!C2:C1000")=$C53)
        ),
        7,
        FALSE
    )
)</f>
        <v/>
      </c>
      <c r="P53" s="60" t="str">
        <f t="array" aca="1" ref="P53" ca="1">IF(
    VLOOKUP(
        $A53,
        _xlfn._xlws.FILTER(
            INDIRECT("'"&amp;P$62&amp;"'!A2:G1000"), (INDIRECT("'"&amp;P$62&amp;"'!B2:B1000")=$B53) * (INDIRECT("'"&amp;P$62&amp;"'!C2:C1000")=$C53)
        ),
        5,
        FALSE
    )="",
    "",
    VLOOKUP(
        $A53,
        _xlfn._xlws.FILTER(
            INDIRECT("'"&amp;P$62&amp;"'!A2:G1000"), (INDIRECT("'"&amp;P$62&amp;"'!B2:B1000")=$B53) * (INDIRECT("'"&amp;P$62&amp;"'!C2:C1000")=$C53)
        ),
        7,
        FALSE
    )
)</f>
        <v/>
      </c>
    </row>
    <row r="54" spans="1:21">
      <c r="A54" s="28" t="s">
        <v>42</v>
      </c>
      <c r="B54" s="60" t="s">
        <v>117</v>
      </c>
      <c r="C54" s="60" t="s">
        <v>75</v>
      </c>
      <c r="D54" s="60" t="str">
        <f t="array" aca="1" ref="D54" ca="1">IF(
    VLOOKUP(
        $A54,
        _xlfn._xlws.FILTER(
            INDIRECT("'"&amp;D$62&amp;"'!A2:G1000"), (INDIRECT("'"&amp;D$62&amp;"'!B2:B1000")=$B54) * (INDIRECT("'"&amp;D$62&amp;"'!C2:C1000")=$C54)
        ),
        5,
        FALSE
    )="",
    "",
    VLOOKUP(
        $A54,
        _xlfn._xlws.FILTER(
            INDIRECT("'"&amp;D$62&amp;"'!A2:G1000"), (INDIRECT("'"&amp;D$62&amp;"'!B2:B1000")=$B54) * (INDIRECT("'"&amp;D$62&amp;"'!C2:C1000")=$C54)
        ),
        7,
        FALSE
    )
)</f>
        <v>Sim</v>
      </c>
      <c r="E54" s="60" t="str">
        <f t="array" aca="1" ref="E54" ca="1">IF(
    VLOOKUP(
        $A54,
        _xlfn._xlws.FILTER(
            INDIRECT("'"&amp;E$62&amp;"'!A2:G1000"), (INDIRECT("'"&amp;E$62&amp;"'!B2:B1000")=$B54) * (INDIRECT("'"&amp;E$62&amp;"'!C2:C1000")=$C54)
        ),
        5,
        FALSE
    )="",
    "",
    VLOOKUP(
        $A54,
        _xlfn._xlws.FILTER(
            INDIRECT("'"&amp;E$62&amp;"'!A2:G1000"), (INDIRECT("'"&amp;E$62&amp;"'!B2:B1000")=$B54) * (INDIRECT("'"&amp;E$62&amp;"'!C2:C1000")=$C54)
        ),
        7,
        FALSE
    )
)</f>
        <v>Sim</v>
      </c>
      <c r="F54" s="60" t="str">
        <f t="array" aca="1" ref="F54" ca="1">IF(
    VLOOKUP(
        $A54,
        _xlfn._xlws.FILTER(
            INDIRECT("'"&amp;F$62&amp;"'!A2:G1000"), (INDIRECT("'"&amp;F$62&amp;"'!B2:B1000")=$B54) * (INDIRECT("'"&amp;F$62&amp;"'!C2:C1000")=$C54)
        ),
        5,
        FALSE
    )="",
    "",
    VLOOKUP(
        $A54,
        _xlfn._xlws.FILTER(
            INDIRECT("'"&amp;F$62&amp;"'!A2:G1000"), (INDIRECT("'"&amp;F$62&amp;"'!B2:B1000")=$B54) * (INDIRECT("'"&amp;F$62&amp;"'!C2:C1000")=$C54)
        ),
        7,
        FALSE
    )
)</f>
        <v>Sim</v>
      </c>
      <c r="G54" s="60" t="str">
        <f t="array" aca="1" ref="G54" ca="1">IF(
    VLOOKUP(
        $A54,
        _xlfn._xlws.FILTER(
            INDIRECT("'"&amp;G$62&amp;"'!A2:G1000"), (INDIRECT("'"&amp;G$62&amp;"'!B2:B1000")=$B54) * (INDIRECT("'"&amp;G$62&amp;"'!C2:C1000")=$C54)
        ),
        5,
        FALSE
    )="",
    "",
    VLOOKUP(
        $A54,
        _xlfn._xlws.FILTER(
            INDIRECT("'"&amp;G$62&amp;"'!A2:G1000"), (INDIRECT("'"&amp;G$62&amp;"'!B2:B1000")=$B54) * (INDIRECT("'"&amp;G$62&amp;"'!C2:C1000")=$C54)
        ),
        7,
        FALSE
    )
)</f>
        <v>Sim</v>
      </c>
      <c r="H54" s="60" t="str">
        <f t="array" aca="1" ref="H54" ca="1">IF(
    VLOOKUP(
        $A54,
        _xlfn._xlws.FILTER(
            INDIRECT("'"&amp;H$62&amp;"'!A2:G1000"), (INDIRECT("'"&amp;H$62&amp;"'!B2:B1000")=$B54) * (INDIRECT("'"&amp;H$62&amp;"'!C2:C1000")=$C54)
        ),
        5,
        FALSE
    )="",
    "",
    VLOOKUP(
        $A54,
        _xlfn._xlws.FILTER(
            INDIRECT("'"&amp;H$62&amp;"'!A2:G1000"), (INDIRECT("'"&amp;H$62&amp;"'!B2:B1000")=$B54) * (INDIRECT("'"&amp;H$62&amp;"'!C2:C1000")=$C54)
        ),
        7,
        FALSE
    )
)</f>
        <v>Sim</v>
      </c>
      <c r="I54" s="60" t="str">
        <f t="array" aca="1" ref="I54" ca="1">IF(
    VLOOKUP(
        $A54,
        _xlfn._xlws.FILTER(
            INDIRECT("'"&amp;I$62&amp;"'!A2:G1000"), (INDIRECT("'"&amp;I$62&amp;"'!B2:B1000")=$B54) * (INDIRECT("'"&amp;I$62&amp;"'!C2:C1000")=$C54)
        ),
        5,
        FALSE
    )="",
    "",
    VLOOKUP(
        $A54,
        _xlfn._xlws.FILTER(
            INDIRECT("'"&amp;I$62&amp;"'!A2:G1000"), (INDIRECT("'"&amp;I$62&amp;"'!B2:B1000")=$B54) * (INDIRECT("'"&amp;I$62&amp;"'!C2:C1000")=$C54)
        ),
        7,
        FALSE
    )
)</f>
        <v>Sim</v>
      </c>
      <c r="J54" s="60" t="str">
        <f t="array" aca="1" ref="J54" ca="1">IF(
    VLOOKUP(
        $A54,
        _xlfn._xlws.FILTER(
            INDIRECT("'"&amp;J$62&amp;"'!A2:G1000"), (INDIRECT("'"&amp;J$62&amp;"'!B2:B1000")=$B54) * (INDIRECT("'"&amp;J$62&amp;"'!C2:C1000")=$C54)
        ),
        5,
        FALSE
    )="",
    "",
    VLOOKUP(
        $A54,
        _xlfn._xlws.FILTER(
            INDIRECT("'"&amp;J$62&amp;"'!A2:G1000"), (INDIRECT("'"&amp;J$62&amp;"'!B2:B1000")=$B54) * (INDIRECT("'"&amp;J$62&amp;"'!C2:C1000")=$C54)
        ),
        7,
        FALSE
    )
)</f>
        <v>Sim</v>
      </c>
      <c r="K54" s="60" t="str">
        <f t="array" aca="1" ref="K54" ca="1">IF(
    VLOOKUP(
        $A54,
        _xlfn._xlws.FILTER(
            INDIRECT("'"&amp;K$62&amp;"'!A2:G1000"), (INDIRECT("'"&amp;K$62&amp;"'!B2:B1000")=$B54) * (INDIRECT("'"&amp;K$62&amp;"'!C2:C1000")=$C54)
        ),
        5,
        FALSE
    )="",
    "",
    VLOOKUP(
        $A54,
        _xlfn._xlws.FILTER(
            INDIRECT("'"&amp;K$62&amp;"'!A2:G1000"), (INDIRECT("'"&amp;K$62&amp;"'!B2:B1000")=$B54) * (INDIRECT("'"&amp;K$62&amp;"'!C2:C1000")=$C54)
        ),
        7,
        FALSE
    )
)</f>
        <v>Sim</v>
      </c>
      <c r="L54" s="60" t="str">
        <f t="array" aca="1" ref="L54" ca="1">IF(
    VLOOKUP(
        $A54,
        _xlfn._xlws.FILTER(
            INDIRECT("'"&amp;L$62&amp;"'!A2:G1000"), (INDIRECT("'"&amp;L$62&amp;"'!B2:B1000")=$B54) * (INDIRECT("'"&amp;L$62&amp;"'!C2:C1000")=$C54)
        ),
        5,
        FALSE
    )="",
    "",
    VLOOKUP(
        $A54,
        _xlfn._xlws.FILTER(
            INDIRECT("'"&amp;L$62&amp;"'!A2:G1000"), (INDIRECT("'"&amp;L$62&amp;"'!B2:B1000")=$B54) * (INDIRECT("'"&amp;L$62&amp;"'!C2:C1000")=$C54)
        ),
        7,
        FALSE
    )
)</f>
        <v>Sim</v>
      </c>
      <c r="M54" s="60" t="str">
        <f t="array" aca="1" ref="M54" ca="1">IF(
    VLOOKUP(
        $A54,
        _xlfn._xlws.FILTER(
            INDIRECT("'"&amp;M$62&amp;"'!A2:G1000"), (INDIRECT("'"&amp;M$62&amp;"'!B2:B1000")=$B54) * (INDIRECT("'"&amp;M$62&amp;"'!C2:C1000")=$C54)
        ),
        5,
        FALSE
    )="",
    "",
    VLOOKUP(
        $A54,
        _xlfn._xlws.FILTER(
            INDIRECT("'"&amp;M$62&amp;"'!A2:G1000"), (INDIRECT("'"&amp;M$62&amp;"'!B2:B1000")=$B54) * (INDIRECT("'"&amp;M$62&amp;"'!C2:C1000")=$C54)
        ),
        7,
        FALSE
    )
)</f>
        <v>Sim</v>
      </c>
      <c r="N54" s="60" t="str">
        <f t="array" aca="1" ref="N54" ca="1">IF(
    VLOOKUP(
        $A54,
        _xlfn._xlws.FILTER(
            INDIRECT("'"&amp;N$62&amp;"'!A2:G1000"), (INDIRECT("'"&amp;N$62&amp;"'!B2:B1000")=$B54) * (INDIRECT("'"&amp;N$62&amp;"'!C2:C1000")=$C54)
        ),
        5,
        FALSE
    )="",
    "",
    VLOOKUP(
        $A54,
        _xlfn._xlws.FILTER(
            INDIRECT("'"&amp;N$62&amp;"'!A2:G1000"), (INDIRECT("'"&amp;N$62&amp;"'!B2:B1000")=$B54) * (INDIRECT("'"&amp;N$62&amp;"'!C2:C1000")=$C54)
        ),
        7,
        FALSE
    )
)</f>
        <v>Não</v>
      </c>
      <c r="O54" s="60" t="str">
        <f t="array" aca="1" ref="O54" ca="1">IF(
    VLOOKUP(
        $A54,
        _xlfn._xlws.FILTER(
            INDIRECT("'"&amp;O$62&amp;"'!A2:G1000"), (INDIRECT("'"&amp;O$62&amp;"'!B2:B1000")=$B54) * (INDIRECT("'"&amp;O$62&amp;"'!C2:C1000")=$C54)
        ),
        5,
        FALSE
    )="",
    "",
    VLOOKUP(
        $A54,
        _xlfn._xlws.FILTER(
            INDIRECT("'"&amp;O$62&amp;"'!A2:G1000"), (INDIRECT("'"&amp;O$62&amp;"'!B2:B1000")=$B54) * (INDIRECT("'"&amp;O$62&amp;"'!C2:C1000")=$C54)
        ),
        7,
        FALSE
    )
)</f>
        <v/>
      </c>
      <c r="P54" s="60" t="str">
        <f t="array" aca="1" ref="P54" ca="1">IF(
    VLOOKUP(
        $A54,
        _xlfn._xlws.FILTER(
            INDIRECT("'"&amp;P$62&amp;"'!A2:G1000"), (INDIRECT("'"&amp;P$62&amp;"'!B2:B1000")=$B54) * (INDIRECT("'"&amp;P$62&amp;"'!C2:C1000")=$C54)
        ),
        5,
        FALSE
    )="",
    "",
    VLOOKUP(
        $A54,
        _xlfn._xlws.FILTER(
            INDIRECT("'"&amp;P$62&amp;"'!A2:G1000"), (INDIRECT("'"&amp;P$62&amp;"'!B2:B1000")=$B54) * (INDIRECT("'"&amp;P$62&amp;"'!C2:C1000")=$C54)
        ),
        7,
        FALSE
    )
)</f>
        <v/>
      </c>
    </row>
    <row r="55" spans="1:21">
      <c r="A55" s="28" t="s">
        <v>42</v>
      </c>
      <c r="B55" s="60" t="s">
        <v>118</v>
      </c>
      <c r="C55" s="60" t="s">
        <v>75</v>
      </c>
      <c r="D55" s="60" t="str">
        <f t="array" aca="1" ref="D55" ca="1">IF(
    VLOOKUP(
        $A55,
        _xlfn._xlws.FILTER(
            INDIRECT("'"&amp;D$62&amp;"'!A2:G1000"), (INDIRECT("'"&amp;D$62&amp;"'!B2:B1000")=$B55) * (INDIRECT("'"&amp;D$62&amp;"'!C2:C1000")=$C55)
        ),
        5,
        FALSE
    )="",
    "",
    VLOOKUP(
        $A55,
        _xlfn._xlws.FILTER(
            INDIRECT("'"&amp;D$62&amp;"'!A2:G1000"), (INDIRECT("'"&amp;D$62&amp;"'!B2:B1000")=$B55) * (INDIRECT("'"&amp;D$62&amp;"'!C2:C1000")=$C55)
        ),
        7,
        FALSE
    )
)</f>
        <v>Sim</v>
      </c>
      <c r="E55" s="60" t="str">
        <f t="array" aca="1" ref="E55" ca="1">IF(
    VLOOKUP(
        $A55,
        _xlfn._xlws.FILTER(
            INDIRECT("'"&amp;E$62&amp;"'!A2:G1000"), (INDIRECT("'"&amp;E$62&amp;"'!B2:B1000")=$B55) * (INDIRECT("'"&amp;E$62&amp;"'!C2:C1000")=$C55)
        ),
        5,
        FALSE
    )="",
    "",
    VLOOKUP(
        $A55,
        _xlfn._xlws.FILTER(
            INDIRECT("'"&amp;E$62&amp;"'!A2:G1000"), (INDIRECT("'"&amp;E$62&amp;"'!B2:B1000")=$B55) * (INDIRECT("'"&amp;E$62&amp;"'!C2:C1000")=$C55)
        ),
        7,
        FALSE
    )
)</f>
        <v>Sim</v>
      </c>
      <c r="F55" s="60" t="str">
        <f t="array" aca="1" ref="F55" ca="1">IF(
    VLOOKUP(
        $A55,
        _xlfn._xlws.FILTER(
            INDIRECT("'"&amp;F$62&amp;"'!A2:G1000"), (INDIRECT("'"&amp;F$62&amp;"'!B2:B1000")=$B55) * (INDIRECT("'"&amp;F$62&amp;"'!C2:C1000")=$C55)
        ),
        5,
        FALSE
    )="",
    "",
    VLOOKUP(
        $A55,
        _xlfn._xlws.FILTER(
            INDIRECT("'"&amp;F$62&amp;"'!A2:G1000"), (INDIRECT("'"&amp;F$62&amp;"'!B2:B1000")=$B55) * (INDIRECT("'"&amp;F$62&amp;"'!C2:C1000")=$C55)
        ),
        7,
        FALSE
    )
)</f>
        <v>Sim</v>
      </c>
      <c r="G55" s="60" t="str">
        <f t="array" aca="1" ref="G55" ca="1">IF(
    VLOOKUP(
        $A55,
        _xlfn._xlws.FILTER(
            INDIRECT("'"&amp;G$62&amp;"'!A2:G1000"), (INDIRECT("'"&amp;G$62&amp;"'!B2:B1000")=$B55) * (INDIRECT("'"&amp;G$62&amp;"'!C2:C1000")=$C55)
        ),
        5,
        FALSE
    )="",
    "",
    VLOOKUP(
        $A55,
        _xlfn._xlws.FILTER(
            INDIRECT("'"&amp;G$62&amp;"'!A2:G1000"), (INDIRECT("'"&amp;G$62&amp;"'!B2:B1000")=$B55) * (INDIRECT("'"&amp;G$62&amp;"'!C2:C1000")=$C55)
        ),
        7,
        FALSE
    )
)</f>
        <v>Sim</v>
      </c>
      <c r="H55" s="60" t="str">
        <f t="array" aca="1" ref="H55" ca="1">IF(
    VLOOKUP(
        $A55,
        _xlfn._xlws.FILTER(
            INDIRECT("'"&amp;H$62&amp;"'!A2:G1000"), (INDIRECT("'"&amp;H$62&amp;"'!B2:B1000")=$B55) * (INDIRECT("'"&amp;H$62&amp;"'!C2:C1000")=$C55)
        ),
        5,
        FALSE
    )="",
    "",
    VLOOKUP(
        $A55,
        _xlfn._xlws.FILTER(
            INDIRECT("'"&amp;H$62&amp;"'!A2:G1000"), (INDIRECT("'"&amp;H$62&amp;"'!B2:B1000")=$B55) * (INDIRECT("'"&amp;H$62&amp;"'!C2:C1000")=$C55)
        ),
        7,
        FALSE
    )
)</f>
        <v>Sim</v>
      </c>
      <c r="I55" s="60" t="str">
        <f t="array" aca="1" ref="I55" ca="1">IF(
    VLOOKUP(
        $A55,
        _xlfn._xlws.FILTER(
            INDIRECT("'"&amp;I$62&amp;"'!A2:G1000"), (INDIRECT("'"&amp;I$62&amp;"'!B2:B1000")=$B55) * (INDIRECT("'"&amp;I$62&amp;"'!C2:C1000")=$C55)
        ),
        5,
        FALSE
    )="",
    "",
    VLOOKUP(
        $A55,
        _xlfn._xlws.FILTER(
            INDIRECT("'"&amp;I$62&amp;"'!A2:G1000"), (INDIRECT("'"&amp;I$62&amp;"'!B2:B1000")=$B55) * (INDIRECT("'"&amp;I$62&amp;"'!C2:C1000")=$C55)
        ),
        7,
        FALSE
    )
)</f>
        <v>Sim</v>
      </c>
      <c r="J55" s="60" t="str">
        <f t="array" aca="1" ref="J55" ca="1">IF(
    VLOOKUP(
        $A55,
        _xlfn._xlws.FILTER(
            INDIRECT("'"&amp;J$62&amp;"'!A2:G1000"), (INDIRECT("'"&amp;J$62&amp;"'!B2:B1000")=$B55) * (INDIRECT("'"&amp;J$62&amp;"'!C2:C1000")=$C55)
        ),
        5,
        FALSE
    )="",
    "",
    VLOOKUP(
        $A55,
        _xlfn._xlws.FILTER(
            INDIRECT("'"&amp;J$62&amp;"'!A2:G1000"), (INDIRECT("'"&amp;J$62&amp;"'!B2:B1000")=$B55) * (INDIRECT("'"&amp;J$62&amp;"'!C2:C1000")=$C55)
        ),
        7,
        FALSE
    )
)</f>
        <v>Sim</v>
      </c>
      <c r="K55" s="60" t="str">
        <f t="array" aca="1" ref="K55" ca="1">IF(
    VLOOKUP(
        $A55,
        _xlfn._xlws.FILTER(
            INDIRECT("'"&amp;K$62&amp;"'!A2:G1000"), (INDIRECT("'"&amp;K$62&amp;"'!B2:B1000")=$B55) * (INDIRECT("'"&amp;K$62&amp;"'!C2:C1000")=$C55)
        ),
        5,
        FALSE
    )="",
    "",
    VLOOKUP(
        $A55,
        _xlfn._xlws.FILTER(
            INDIRECT("'"&amp;K$62&amp;"'!A2:G1000"), (INDIRECT("'"&amp;K$62&amp;"'!B2:B1000")=$B55) * (INDIRECT("'"&amp;K$62&amp;"'!C2:C1000")=$C55)
        ),
        7,
        FALSE
    )
)</f>
        <v>Sim</v>
      </c>
      <c r="L55" s="60" t="str">
        <f t="array" aca="1" ref="L55" ca="1">IF(
    VLOOKUP(
        $A55,
        _xlfn._xlws.FILTER(
            INDIRECT("'"&amp;L$62&amp;"'!A2:G1000"), (INDIRECT("'"&amp;L$62&amp;"'!B2:B1000")=$B55) * (INDIRECT("'"&amp;L$62&amp;"'!C2:C1000")=$C55)
        ),
        5,
        FALSE
    )="",
    "",
    VLOOKUP(
        $A55,
        _xlfn._xlws.FILTER(
            INDIRECT("'"&amp;L$62&amp;"'!A2:G1000"), (INDIRECT("'"&amp;L$62&amp;"'!B2:B1000")=$B55) * (INDIRECT("'"&amp;L$62&amp;"'!C2:C1000")=$C55)
        ),
        7,
        FALSE
    )
)</f>
        <v>Sim</v>
      </c>
      <c r="M55" s="60" t="str">
        <f t="array" aca="1" ref="M55" ca="1">IF(
    VLOOKUP(
        $A55,
        _xlfn._xlws.FILTER(
            INDIRECT("'"&amp;M$62&amp;"'!A2:G1000"), (INDIRECT("'"&amp;M$62&amp;"'!B2:B1000")=$B55) * (INDIRECT("'"&amp;M$62&amp;"'!C2:C1000")=$C55)
        ),
        5,
        FALSE
    )="",
    "",
    VLOOKUP(
        $A55,
        _xlfn._xlws.FILTER(
            INDIRECT("'"&amp;M$62&amp;"'!A2:G1000"), (INDIRECT("'"&amp;M$62&amp;"'!B2:B1000")=$B55) * (INDIRECT("'"&amp;M$62&amp;"'!C2:C1000")=$C55)
        ),
        7,
        FALSE
    )
)</f>
        <v>Sim</v>
      </c>
      <c r="N55" s="60" t="str">
        <f t="array" aca="1" ref="N55" ca="1">IF(
    VLOOKUP(
        $A55,
        _xlfn._xlws.FILTER(
            INDIRECT("'"&amp;N$62&amp;"'!A2:G1000"), (INDIRECT("'"&amp;N$62&amp;"'!B2:B1000")=$B55) * (INDIRECT("'"&amp;N$62&amp;"'!C2:C1000")=$C55)
        ),
        5,
        FALSE
    )="",
    "",
    VLOOKUP(
        $A55,
        _xlfn._xlws.FILTER(
            INDIRECT("'"&amp;N$62&amp;"'!A2:G1000"), (INDIRECT("'"&amp;N$62&amp;"'!B2:B1000")=$B55) * (INDIRECT("'"&amp;N$62&amp;"'!C2:C1000")=$C55)
        ),
        7,
        FALSE
    )
)</f>
        <v>Não</v>
      </c>
      <c r="O55" s="60" t="str">
        <f t="array" aca="1" ref="O55" ca="1">IF(
    VLOOKUP(
        $A55,
        _xlfn._xlws.FILTER(
            INDIRECT("'"&amp;O$62&amp;"'!A2:G1000"), (INDIRECT("'"&amp;O$62&amp;"'!B2:B1000")=$B55) * (INDIRECT("'"&amp;O$62&amp;"'!C2:C1000")=$C55)
        ),
        5,
        FALSE
    )="",
    "",
    VLOOKUP(
        $A55,
        _xlfn._xlws.FILTER(
            INDIRECT("'"&amp;O$62&amp;"'!A2:G1000"), (INDIRECT("'"&amp;O$62&amp;"'!B2:B1000")=$B55) * (INDIRECT("'"&amp;O$62&amp;"'!C2:C1000")=$C55)
        ),
        7,
        FALSE
    )
)</f>
        <v/>
      </c>
      <c r="P55" s="60" t="str">
        <f t="array" aca="1" ref="P55" ca="1">IF(
    VLOOKUP(
        $A55,
        _xlfn._xlws.FILTER(
            INDIRECT("'"&amp;P$62&amp;"'!A2:G1000"), (INDIRECT("'"&amp;P$62&amp;"'!B2:B1000")=$B55) * (INDIRECT("'"&amp;P$62&amp;"'!C2:C1000")=$C55)
        ),
        5,
        FALSE
    )="",
    "",
    VLOOKUP(
        $A55,
        _xlfn._xlws.FILTER(
            INDIRECT("'"&amp;P$62&amp;"'!A2:G1000"), (INDIRECT("'"&amp;P$62&amp;"'!B2:B1000")=$B55) * (INDIRECT("'"&amp;P$62&amp;"'!C2:C1000")=$C55)
        ),
        7,
        FALSE
    )
)</f>
        <v/>
      </c>
    </row>
    <row r="56" spans="1:21">
      <c r="A56" s="28" t="s">
        <v>42</v>
      </c>
      <c r="B56" s="60" t="s">
        <v>119</v>
      </c>
      <c r="C56" s="60" t="s">
        <v>75</v>
      </c>
      <c r="D56" s="60" t="str">
        <f t="array" aca="1" ref="D56" ca="1">IF(
    VLOOKUP(
        $A56,
        _xlfn._xlws.FILTER(
            INDIRECT("'"&amp;D$62&amp;"'!A2:G1000"), (INDIRECT("'"&amp;D$62&amp;"'!B2:B1000")=$B56) * (INDIRECT("'"&amp;D$62&amp;"'!C2:C1000")=$C56)
        ),
        5,
        FALSE
    )="",
    "",
    VLOOKUP(
        $A56,
        _xlfn._xlws.FILTER(
            INDIRECT("'"&amp;D$62&amp;"'!A2:G1000"), (INDIRECT("'"&amp;D$62&amp;"'!B2:B1000")=$B56) * (INDIRECT("'"&amp;D$62&amp;"'!C2:C1000")=$C56)
        ),
        7,
        FALSE
    )
)</f>
        <v>Sim</v>
      </c>
      <c r="E56" s="60" t="str">
        <f t="array" aca="1" ref="E56" ca="1">IF(
    VLOOKUP(
        $A56,
        _xlfn._xlws.FILTER(
            INDIRECT("'"&amp;E$62&amp;"'!A2:G1000"), (INDIRECT("'"&amp;E$62&amp;"'!B2:B1000")=$B56) * (INDIRECT("'"&amp;E$62&amp;"'!C2:C1000")=$C56)
        ),
        5,
        FALSE
    )="",
    "",
    VLOOKUP(
        $A56,
        _xlfn._xlws.FILTER(
            INDIRECT("'"&amp;E$62&amp;"'!A2:G1000"), (INDIRECT("'"&amp;E$62&amp;"'!B2:B1000")=$B56) * (INDIRECT("'"&amp;E$62&amp;"'!C2:C1000")=$C56)
        ),
        7,
        FALSE
    )
)</f>
        <v>Sim</v>
      </c>
      <c r="F56" s="60" t="str">
        <f t="array" aca="1" ref="F56" ca="1">IF(
    VLOOKUP(
        $A56,
        _xlfn._xlws.FILTER(
            INDIRECT("'"&amp;F$62&amp;"'!A2:G1000"), (INDIRECT("'"&amp;F$62&amp;"'!B2:B1000")=$B56) * (INDIRECT("'"&amp;F$62&amp;"'!C2:C1000")=$C56)
        ),
        5,
        FALSE
    )="",
    "",
    VLOOKUP(
        $A56,
        _xlfn._xlws.FILTER(
            INDIRECT("'"&amp;F$62&amp;"'!A2:G1000"), (INDIRECT("'"&amp;F$62&amp;"'!B2:B1000")=$B56) * (INDIRECT("'"&amp;F$62&amp;"'!C2:C1000")=$C56)
        ),
        7,
        FALSE
    )
)</f>
        <v>Sim</v>
      </c>
      <c r="G56" s="60" t="str">
        <f t="array" aca="1" ref="G56" ca="1">IF(
    VLOOKUP(
        $A56,
        _xlfn._xlws.FILTER(
            INDIRECT("'"&amp;G$62&amp;"'!A2:G1000"), (INDIRECT("'"&amp;G$62&amp;"'!B2:B1000")=$B56) * (INDIRECT("'"&amp;G$62&amp;"'!C2:C1000")=$C56)
        ),
        5,
        FALSE
    )="",
    "",
    VLOOKUP(
        $A56,
        _xlfn._xlws.FILTER(
            INDIRECT("'"&amp;G$62&amp;"'!A2:G1000"), (INDIRECT("'"&amp;G$62&amp;"'!B2:B1000")=$B56) * (INDIRECT("'"&amp;G$62&amp;"'!C2:C1000")=$C56)
        ),
        7,
        FALSE
    )
)</f>
        <v>Sim</v>
      </c>
      <c r="H56" s="60" t="str">
        <f t="array" aca="1" ref="H56" ca="1">IF(
    VLOOKUP(
        $A56,
        _xlfn._xlws.FILTER(
            INDIRECT("'"&amp;H$62&amp;"'!A2:G1000"), (INDIRECT("'"&amp;H$62&amp;"'!B2:B1000")=$B56) * (INDIRECT("'"&amp;H$62&amp;"'!C2:C1000")=$C56)
        ),
        5,
        FALSE
    )="",
    "",
    VLOOKUP(
        $A56,
        _xlfn._xlws.FILTER(
            INDIRECT("'"&amp;H$62&amp;"'!A2:G1000"), (INDIRECT("'"&amp;H$62&amp;"'!B2:B1000")=$B56) * (INDIRECT("'"&amp;H$62&amp;"'!C2:C1000")=$C56)
        ),
        7,
        FALSE
    )
)</f>
        <v>Sim</v>
      </c>
      <c r="I56" s="60" t="str">
        <f t="array" aca="1" ref="I56" ca="1">IF(
    VLOOKUP(
        $A56,
        _xlfn._xlws.FILTER(
            INDIRECT("'"&amp;I$62&amp;"'!A2:G1000"), (INDIRECT("'"&amp;I$62&amp;"'!B2:B1000")=$B56) * (INDIRECT("'"&amp;I$62&amp;"'!C2:C1000")=$C56)
        ),
        5,
        FALSE
    )="",
    "",
    VLOOKUP(
        $A56,
        _xlfn._xlws.FILTER(
            INDIRECT("'"&amp;I$62&amp;"'!A2:G1000"), (INDIRECT("'"&amp;I$62&amp;"'!B2:B1000")=$B56) * (INDIRECT("'"&amp;I$62&amp;"'!C2:C1000")=$C56)
        ),
        7,
        FALSE
    )
)</f>
        <v>Sim</v>
      </c>
      <c r="J56" s="60" t="str">
        <f t="array" aca="1" ref="J56" ca="1">IF(
    VLOOKUP(
        $A56,
        _xlfn._xlws.FILTER(
            INDIRECT("'"&amp;J$62&amp;"'!A2:G1000"), (INDIRECT("'"&amp;J$62&amp;"'!B2:B1000")=$B56) * (INDIRECT("'"&amp;J$62&amp;"'!C2:C1000")=$C56)
        ),
        5,
        FALSE
    )="",
    "",
    VLOOKUP(
        $A56,
        _xlfn._xlws.FILTER(
            INDIRECT("'"&amp;J$62&amp;"'!A2:G1000"), (INDIRECT("'"&amp;J$62&amp;"'!B2:B1000")=$B56) * (INDIRECT("'"&amp;J$62&amp;"'!C2:C1000")=$C56)
        ),
        7,
        FALSE
    )
)</f>
        <v>Sim</v>
      </c>
      <c r="K56" s="60" t="str">
        <f t="array" aca="1" ref="K56" ca="1">IF(
    VLOOKUP(
        $A56,
        _xlfn._xlws.FILTER(
            INDIRECT("'"&amp;K$62&amp;"'!A2:G1000"), (INDIRECT("'"&amp;K$62&amp;"'!B2:B1000")=$B56) * (INDIRECT("'"&amp;K$62&amp;"'!C2:C1000")=$C56)
        ),
        5,
        FALSE
    )="",
    "",
    VLOOKUP(
        $A56,
        _xlfn._xlws.FILTER(
            INDIRECT("'"&amp;K$62&amp;"'!A2:G1000"), (INDIRECT("'"&amp;K$62&amp;"'!B2:B1000")=$B56) * (INDIRECT("'"&amp;K$62&amp;"'!C2:C1000")=$C56)
        ),
        7,
        FALSE
    )
)</f>
        <v>Sim</v>
      </c>
      <c r="L56" s="60" t="str">
        <f t="array" aca="1" ref="L56" ca="1">IF(
    VLOOKUP(
        $A56,
        _xlfn._xlws.FILTER(
            INDIRECT("'"&amp;L$62&amp;"'!A2:G1000"), (INDIRECT("'"&amp;L$62&amp;"'!B2:B1000")=$B56) * (INDIRECT("'"&amp;L$62&amp;"'!C2:C1000")=$C56)
        ),
        5,
        FALSE
    )="",
    "",
    VLOOKUP(
        $A56,
        _xlfn._xlws.FILTER(
            INDIRECT("'"&amp;L$62&amp;"'!A2:G1000"), (INDIRECT("'"&amp;L$62&amp;"'!B2:B1000")=$B56) * (INDIRECT("'"&amp;L$62&amp;"'!C2:C1000")=$C56)
        ),
        7,
        FALSE
    )
)</f>
        <v>Sim</v>
      </c>
      <c r="M56" s="60" t="str">
        <f t="array" aca="1" ref="M56" ca="1">IF(
    VLOOKUP(
        $A56,
        _xlfn._xlws.FILTER(
            INDIRECT("'"&amp;M$62&amp;"'!A2:G1000"), (INDIRECT("'"&amp;M$62&amp;"'!B2:B1000")=$B56) * (INDIRECT("'"&amp;M$62&amp;"'!C2:C1000")=$C56)
        ),
        5,
        FALSE
    )="",
    "",
    VLOOKUP(
        $A56,
        _xlfn._xlws.FILTER(
            INDIRECT("'"&amp;M$62&amp;"'!A2:G1000"), (INDIRECT("'"&amp;M$62&amp;"'!B2:B1000")=$B56) * (INDIRECT("'"&amp;M$62&amp;"'!C2:C1000")=$C56)
        ),
        7,
        FALSE
    )
)</f>
        <v>Sim</v>
      </c>
      <c r="N56" s="60" t="str">
        <f t="array" aca="1" ref="N56" ca="1">IF(
    VLOOKUP(
        $A56,
        _xlfn._xlws.FILTER(
            INDIRECT("'"&amp;N$62&amp;"'!A2:G1000"), (INDIRECT("'"&amp;N$62&amp;"'!B2:B1000")=$B56) * (INDIRECT("'"&amp;N$62&amp;"'!C2:C1000")=$C56)
        ),
        5,
        FALSE
    )="",
    "",
    VLOOKUP(
        $A56,
        _xlfn._xlws.FILTER(
            INDIRECT("'"&amp;N$62&amp;"'!A2:G1000"), (INDIRECT("'"&amp;N$62&amp;"'!B2:B1000")=$B56) * (INDIRECT("'"&amp;N$62&amp;"'!C2:C1000")=$C56)
        ),
        7,
        FALSE
    )
)</f>
        <v>Não</v>
      </c>
      <c r="O56" s="60" t="str">
        <f t="array" aca="1" ref="O56" ca="1">IF(
    VLOOKUP(
        $A56,
        _xlfn._xlws.FILTER(
            INDIRECT("'"&amp;O$62&amp;"'!A2:G1000"), (INDIRECT("'"&amp;O$62&amp;"'!B2:B1000")=$B56) * (INDIRECT("'"&amp;O$62&amp;"'!C2:C1000")=$C56)
        ),
        5,
        FALSE
    )="",
    "",
    VLOOKUP(
        $A56,
        _xlfn._xlws.FILTER(
            INDIRECT("'"&amp;O$62&amp;"'!A2:G1000"), (INDIRECT("'"&amp;O$62&amp;"'!B2:B1000")=$B56) * (INDIRECT("'"&amp;O$62&amp;"'!C2:C1000")=$C56)
        ),
        7,
        FALSE
    )
)</f>
        <v/>
      </c>
      <c r="P56" s="60" t="str">
        <f t="array" aca="1" ref="P56" ca="1">IF(
    VLOOKUP(
        $A56,
        _xlfn._xlws.FILTER(
            INDIRECT("'"&amp;P$62&amp;"'!A2:G1000"), (INDIRECT("'"&amp;P$62&amp;"'!B2:B1000")=$B56) * (INDIRECT("'"&amp;P$62&amp;"'!C2:C1000")=$C56)
        ),
        5,
        FALSE
    )="",
    "",
    VLOOKUP(
        $A56,
        _xlfn._xlws.FILTER(
            INDIRECT("'"&amp;P$62&amp;"'!A2:G1000"), (INDIRECT("'"&amp;P$62&amp;"'!B2:B1000")=$B56) * (INDIRECT("'"&amp;P$62&amp;"'!C2:C1000")=$C56)
        ),
        7,
        FALSE
    )
)</f>
        <v/>
      </c>
    </row>
    <row r="57" spans="1:21">
      <c r="A57" s="28" t="s">
        <v>42</v>
      </c>
      <c r="B57" s="60" t="s">
        <v>120</v>
      </c>
      <c r="C57" s="60" t="s">
        <v>75</v>
      </c>
      <c r="D57" s="60" t="str">
        <f t="array" aca="1" ref="D57" ca="1">IF(
    VLOOKUP(
        $A57,
        _xlfn._xlws.FILTER(
            INDIRECT("'"&amp;D$62&amp;"'!A2:G1000"), (INDIRECT("'"&amp;D$62&amp;"'!B2:B1000")=$B57) * (INDIRECT("'"&amp;D$62&amp;"'!C2:C1000")=$C57)
        ),
        5,
        FALSE
    )="",
    "",
    VLOOKUP(
        $A57,
        _xlfn._xlws.FILTER(
            INDIRECT("'"&amp;D$62&amp;"'!A2:G1000"), (INDIRECT("'"&amp;D$62&amp;"'!B2:B1000")=$B57) * (INDIRECT("'"&amp;D$62&amp;"'!C2:C1000")=$C57)
        ),
        7,
        FALSE
    )
)</f>
        <v>Sim</v>
      </c>
      <c r="E57" s="60" t="str">
        <f t="array" aca="1" ref="E57" ca="1">IF(
    VLOOKUP(
        $A57,
        _xlfn._xlws.FILTER(
            INDIRECT("'"&amp;E$62&amp;"'!A2:G1000"), (INDIRECT("'"&amp;E$62&amp;"'!B2:B1000")=$B57) * (INDIRECT("'"&amp;E$62&amp;"'!C2:C1000")=$C57)
        ),
        5,
        FALSE
    )="",
    "",
    VLOOKUP(
        $A57,
        _xlfn._xlws.FILTER(
            INDIRECT("'"&amp;E$62&amp;"'!A2:G1000"), (INDIRECT("'"&amp;E$62&amp;"'!B2:B1000")=$B57) * (INDIRECT("'"&amp;E$62&amp;"'!C2:C1000")=$C57)
        ),
        7,
        FALSE
    )
)</f>
        <v>Sim</v>
      </c>
      <c r="F57" s="60" t="str">
        <f t="array" aca="1" ref="F57" ca="1">IF(
    VLOOKUP(
        $A57,
        _xlfn._xlws.FILTER(
            INDIRECT("'"&amp;F$62&amp;"'!A2:G1000"), (INDIRECT("'"&amp;F$62&amp;"'!B2:B1000")=$B57) * (INDIRECT("'"&amp;F$62&amp;"'!C2:C1000")=$C57)
        ),
        5,
        FALSE
    )="",
    "",
    VLOOKUP(
        $A57,
        _xlfn._xlws.FILTER(
            INDIRECT("'"&amp;F$62&amp;"'!A2:G1000"), (INDIRECT("'"&amp;F$62&amp;"'!B2:B1000")=$B57) * (INDIRECT("'"&amp;F$62&amp;"'!C2:C1000")=$C57)
        ),
        7,
        FALSE
    )
)</f>
        <v>Sim</v>
      </c>
      <c r="G57" s="60" t="str">
        <f t="array" aca="1" ref="G57" ca="1">IF(
    VLOOKUP(
        $A57,
        _xlfn._xlws.FILTER(
            INDIRECT("'"&amp;G$62&amp;"'!A2:G1000"), (INDIRECT("'"&amp;G$62&amp;"'!B2:B1000")=$B57) * (INDIRECT("'"&amp;G$62&amp;"'!C2:C1000")=$C57)
        ),
        5,
        FALSE
    )="",
    "",
    VLOOKUP(
        $A57,
        _xlfn._xlws.FILTER(
            INDIRECT("'"&amp;G$62&amp;"'!A2:G1000"), (INDIRECT("'"&amp;G$62&amp;"'!B2:B1000")=$B57) * (INDIRECT("'"&amp;G$62&amp;"'!C2:C1000")=$C57)
        ),
        7,
        FALSE
    )
)</f>
        <v>Sim</v>
      </c>
      <c r="H57" s="60" t="str">
        <f t="array" aca="1" ref="H57" ca="1">IF(
    VLOOKUP(
        $A57,
        _xlfn._xlws.FILTER(
            INDIRECT("'"&amp;H$62&amp;"'!A2:G1000"), (INDIRECT("'"&amp;H$62&amp;"'!B2:B1000")=$B57) * (INDIRECT("'"&amp;H$62&amp;"'!C2:C1000")=$C57)
        ),
        5,
        FALSE
    )="",
    "",
    VLOOKUP(
        $A57,
        _xlfn._xlws.FILTER(
            INDIRECT("'"&amp;H$62&amp;"'!A2:G1000"), (INDIRECT("'"&amp;H$62&amp;"'!B2:B1000")=$B57) * (INDIRECT("'"&amp;H$62&amp;"'!C2:C1000")=$C57)
        ),
        7,
        FALSE
    )
)</f>
        <v>Sim</v>
      </c>
      <c r="I57" s="60" t="str">
        <f t="array" aca="1" ref="I57" ca="1">IF(
    VLOOKUP(
        $A57,
        _xlfn._xlws.FILTER(
            INDIRECT("'"&amp;I$62&amp;"'!A2:G1000"), (INDIRECT("'"&amp;I$62&amp;"'!B2:B1000")=$B57) * (INDIRECT("'"&amp;I$62&amp;"'!C2:C1000")=$C57)
        ),
        5,
        FALSE
    )="",
    "",
    VLOOKUP(
        $A57,
        _xlfn._xlws.FILTER(
            INDIRECT("'"&amp;I$62&amp;"'!A2:G1000"), (INDIRECT("'"&amp;I$62&amp;"'!B2:B1000")=$B57) * (INDIRECT("'"&amp;I$62&amp;"'!C2:C1000")=$C57)
        ),
        7,
        FALSE
    )
)</f>
        <v>Sim</v>
      </c>
      <c r="J57" s="60" t="str">
        <f t="array" aca="1" ref="J57" ca="1">IF(
    VLOOKUP(
        $A57,
        _xlfn._xlws.FILTER(
            INDIRECT("'"&amp;J$62&amp;"'!A2:G1000"), (INDIRECT("'"&amp;J$62&amp;"'!B2:B1000")=$B57) * (INDIRECT("'"&amp;J$62&amp;"'!C2:C1000")=$C57)
        ),
        5,
        FALSE
    )="",
    "",
    VLOOKUP(
        $A57,
        _xlfn._xlws.FILTER(
            INDIRECT("'"&amp;J$62&amp;"'!A2:G1000"), (INDIRECT("'"&amp;J$62&amp;"'!B2:B1000")=$B57) * (INDIRECT("'"&amp;J$62&amp;"'!C2:C1000")=$C57)
        ),
        7,
        FALSE
    )
)</f>
        <v>Sim</v>
      </c>
      <c r="K57" s="60" t="str">
        <f t="array" aca="1" ref="K57" ca="1">IF(
    VLOOKUP(
        $A57,
        _xlfn._xlws.FILTER(
            INDIRECT("'"&amp;K$62&amp;"'!A2:G1000"), (INDIRECT("'"&amp;K$62&amp;"'!B2:B1000")=$B57) * (INDIRECT("'"&amp;K$62&amp;"'!C2:C1000")=$C57)
        ),
        5,
        FALSE
    )="",
    "",
    VLOOKUP(
        $A57,
        _xlfn._xlws.FILTER(
            INDIRECT("'"&amp;K$62&amp;"'!A2:G1000"), (INDIRECT("'"&amp;K$62&amp;"'!B2:B1000")=$B57) * (INDIRECT("'"&amp;K$62&amp;"'!C2:C1000")=$C57)
        ),
        7,
        FALSE
    )
)</f>
        <v>Sim</v>
      </c>
      <c r="L57" s="60" t="str">
        <f t="array" aca="1" ref="L57" ca="1">IF(
    VLOOKUP(
        $A57,
        _xlfn._xlws.FILTER(
            INDIRECT("'"&amp;L$62&amp;"'!A2:G1000"), (INDIRECT("'"&amp;L$62&amp;"'!B2:B1000")=$B57) * (INDIRECT("'"&amp;L$62&amp;"'!C2:C1000")=$C57)
        ),
        5,
        FALSE
    )="",
    "",
    VLOOKUP(
        $A57,
        _xlfn._xlws.FILTER(
            INDIRECT("'"&amp;L$62&amp;"'!A2:G1000"), (INDIRECT("'"&amp;L$62&amp;"'!B2:B1000")=$B57) * (INDIRECT("'"&amp;L$62&amp;"'!C2:C1000")=$C57)
        ),
        7,
        FALSE
    )
)</f>
        <v>Sim</v>
      </c>
      <c r="M57" s="60" t="str">
        <f t="array" aca="1" ref="M57" ca="1">IF(
    VLOOKUP(
        $A57,
        _xlfn._xlws.FILTER(
            INDIRECT("'"&amp;M$62&amp;"'!A2:G1000"), (INDIRECT("'"&amp;M$62&amp;"'!B2:B1000")=$B57) * (INDIRECT("'"&amp;M$62&amp;"'!C2:C1000")=$C57)
        ),
        5,
        FALSE
    )="",
    "",
    VLOOKUP(
        $A57,
        _xlfn._xlws.FILTER(
            INDIRECT("'"&amp;M$62&amp;"'!A2:G1000"), (INDIRECT("'"&amp;M$62&amp;"'!B2:B1000")=$B57) * (INDIRECT("'"&amp;M$62&amp;"'!C2:C1000")=$C57)
        ),
        7,
        FALSE
    )
)</f>
        <v>Sim</v>
      </c>
      <c r="N57" s="60" t="str">
        <f t="array" aca="1" ref="N57" ca="1">IF(
    VLOOKUP(
        $A57,
        _xlfn._xlws.FILTER(
            INDIRECT("'"&amp;N$62&amp;"'!A2:G1000"), (INDIRECT("'"&amp;N$62&amp;"'!B2:B1000")=$B57) * (INDIRECT("'"&amp;N$62&amp;"'!C2:C1000")=$C57)
        ),
        5,
        FALSE
    )="",
    "",
    VLOOKUP(
        $A57,
        _xlfn._xlws.FILTER(
            INDIRECT("'"&amp;N$62&amp;"'!A2:G1000"), (INDIRECT("'"&amp;N$62&amp;"'!B2:B1000")=$B57) * (INDIRECT("'"&amp;N$62&amp;"'!C2:C1000")=$C57)
        ),
        7,
        FALSE
    )
)</f>
        <v>Não</v>
      </c>
      <c r="O57" s="60" t="str">
        <f t="array" aca="1" ref="O57" ca="1">IF(
    VLOOKUP(
        $A57,
        _xlfn._xlws.FILTER(
            INDIRECT("'"&amp;O$62&amp;"'!A2:G1000"), (INDIRECT("'"&amp;O$62&amp;"'!B2:B1000")=$B57) * (INDIRECT("'"&amp;O$62&amp;"'!C2:C1000")=$C57)
        ),
        5,
        FALSE
    )="",
    "",
    VLOOKUP(
        $A57,
        _xlfn._xlws.FILTER(
            INDIRECT("'"&amp;O$62&amp;"'!A2:G1000"), (INDIRECT("'"&amp;O$62&amp;"'!B2:B1000")=$B57) * (INDIRECT("'"&amp;O$62&amp;"'!C2:C1000")=$C57)
        ),
        7,
        FALSE
    )
)</f>
        <v/>
      </c>
      <c r="P57" s="60" t="str">
        <f t="array" aca="1" ref="P57" ca="1">IF(
    VLOOKUP(
        $A57,
        _xlfn._xlws.FILTER(
            INDIRECT("'"&amp;P$62&amp;"'!A2:G1000"), (INDIRECT("'"&amp;P$62&amp;"'!B2:B1000")=$B57) * (INDIRECT("'"&amp;P$62&amp;"'!C2:C1000")=$C57)
        ),
        5,
        FALSE
    )="",
    "",
    VLOOKUP(
        $A57,
        _xlfn._xlws.FILTER(
            INDIRECT("'"&amp;P$62&amp;"'!A2:G1000"), (INDIRECT("'"&amp;P$62&amp;"'!B2:B1000")=$B57) * (INDIRECT("'"&amp;P$62&amp;"'!C2:C1000")=$C57)
        ),
        7,
        FALSE
    )
)</f>
        <v/>
      </c>
    </row>
    <row r="58" spans="1:21">
      <c r="A58" s="28" t="s">
        <v>42</v>
      </c>
      <c r="B58" s="60" t="s">
        <v>121</v>
      </c>
      <c r="C58" s="60" t="s">
        <v>75</v>
      </c>
      <c r="D58" s="60" t="str">
        <f t="array" aca="1" ref="D58" ca="1">IF(
    VLOOKUP(
        $A58,
        _xlfn._xlws.FILTER(
            INDIRECT("'"&amp;D$62&amp;"'!A2:G1000"), (INDIRECT("'"&amp;D$62&amp;"'!B2:B1000")=$B58) * (INDIRECT("'"&amp;D$62&amp;"'!C2:C1000")=$C58)
        ),
        5,
        FALSE
    )="",
    "",
    VLOOKUP(
        $A58,
        _xlfn._xlws.FILTER(
            INDIRECT("'"&amp;D$62&amp;"'!A2:G1000"), (INDIRECT("'"&amp;D$62&amp;"'!B2:B1000")=$B58) * (INDIRECT("'"&amp;D$62&amp;"'!C2:C1000")=$C58)
        ),
        7,
        FALSE
    )
)</f>
        <v>Sim</v>
      </c>
      <c r="E58" s="60" t="str">
        <f t="array" aca="1" ref="E58" ca="1">IF(
    VLOOKUP(
        $A58,
        _xlfn._xlws.FILTER(
            INDIRECT("'"&amp;E$62&amp;"'!A2:G1000"), (INDIRECT("'"&amp;E$62&amp;"'!B2:B1000")=$B58) * (INDIRECT("'"&amp;E$62&amp;"'!C2:C1000")=$C58)
        ),
        5,
        FALSE
    )="",
    "",
    VLOOKUP(
        $A58,
        _xlfn._xlws.FILTER(
            INDIRECT("'"&amp;E$62&amp;"'!A2:G1000"), (INDIRECT("'"&amp;E$62&amp;"'!B2:B1000")=$B58) * (INDIRECT("'"&amp;E$62&amp;"'!C2:C1000")=$C58)
        ),
        7,
        FALSE
    )
)</f>
        <v>Sim</v>
      </c>
      <c r="F58" s="60" t="str">
        <f t="array" aca="1" ref="F58" ca="1">IF(
    VLOOKUP(
        $A58,
        _xlfn._xlws.FILTER(
            INDIRECT("'"&amp;F$62&amp;"'!A2:G1000"), (INDIRECT("'"&amp;F$62&amp;"'!B2:B1000")=$B58) * (INDIRECT("'"&amp;F$62&amp;"'!C2:C1000")=$C58)
        ),
        5,
        FALSE
    )="",
    "",
    VLOOKUP(
        $A58,
        _xlfn._xlws.FILTER(
            INDIRECT("'"&amp;F$62&amp;"'!A2:G1000"), (INDIRECT("'"&amp;F$62&amp;"'!B2:B1000")=$B58) * (INDIRECT("'"&amp;F$62&amp;"'!C2:C1000")=$C58)
        ),
        7,
        FALSE
    )
)</f>
        <v>Sim</v>
      </c>
      <c r="G58" s="60" t="str">
        <f t="array" aca="1" ref="G58" ca="1">IF(
    VLOOKUP(
        $A58,
        _xlfn._xlws.FILTER(
            INDIRECT("'"&amp;G$62&amp;"'!A2:G1000"), (INDIRECT("'"&amp;G$62&amp;"'!B2:B1000")=$B58) * (INDIRECT("'"&amp;G$62&amp;"'!C2:C1000")=$C58)
        ),
        5,
        FALSE
    )="",
    "",
    VLOOKUP(
        $A58,
        _xlfn._xlws.FILTER(
            INDIRECT("'"&amp;G$62&amp;"'!A2:G1000"), (INDIRECT("'"&amp;G$62&amp;"'!B2:B1000")=$B58) * (INDIRECT("'"&amp;G$62&amp;"'!C2:C1000")=$C58)
        ),
        7,
        FALSE
    )
)</f>
        <v>Sim</v>
      </c>
      <c r="H58" s="60" t="str">
        <f t="array" aca="1" ref="H58" ca="1">IF(
    VLOOKUP(
        $A58,
        _xlfn._xlws.FILTER(
            INDIRECT("'"&amp;H$62&amp;"'!A2:G1000"), (INDIRECT("'"&amp;H$62&amp;"'!B2:B1000")=$B58) * (INDIRECT("'"&amp;H$62&amp;"'!C2:C1000")=$C58)
        ),
        5,
        FALSE
    )="",
    "",
    VLOOKUP(
        $A58,
        _xlfn._xlws.FILTER(
            INDIRECT("'"&amp;H$62&amp;"'!A2:G1000"), (INDIRECT("'"&amp;H$62&amp;"'!B2:B1000")=$B58) * (INDIRECT("'"&amp;H$62&amp;"'!C2:C1000")=$C58)
        ),
        7,
        FALSE
    )
)</f>
        <v>Sim</v>
      </c>
      <c r="I58" s="60" t="str">
        <f t="array" aca="1" ref="I58" ca="1">IF(
    VLOOKUP(
        $A58,
        _xlfn._xlws.FILTER(
            INDIRECT("'"&amp;I$62&amp;"'!A2:G1000"), (INDIRECT("'"&amp;I$62&amp;"'!B2:B1000")=$B58) * (INDIRECT("'"&amp;I$62&amp;"'!C2:C1000")=$C58)
        ),
        5,
        FALSE
    )="",
    "",
    VLOOKUP(
        $A58,
        _xlfn._xlws.FILTER(
            INDIRECT("'"&amp;I$62&amp;"'!A2:G1000"), (INDIRECT("'"&amp;I$62&amp;"'!B2:B1000")=$B58) * (INDIRECT("'"&amp;I$62&amp;"'!C2:C1000")=$C58)
        ),
        7,
        FALSE
    )
)</f>
        <v>Sim</v>
      </c>
      <c r="J58" s="60" t="str">
        <f t="array" aca="1" ref="J58" ca="1">IF(
    VLOOKUP(
        $A58,
        _xlfn._xlws.FILTER(
            INDIRECT("'"&amp;J$62&amp;"'!A2:G1000"), (INDIRECT("'"&amp;J$62&amp;"'!B2:B1000")=$B58) * (INDIRECT("'"&amp;J$62&amp;"'!C2:C1000")=$C58)
        ),
        5,
        FALSE
    )="",
    "",
    VLOOKUP(
        $A58,
        _xlfn._xlws.FILTER(
            INDIRECT("'"&amp;J$62&amp;"'!A2:G1000"), (INDIRECT("'"&amp;J$62&amp;"'!B2:B1000")=$B58) * (INDIRECT("'"&amp;J$62&amp;"'!C2:C1000")=$C58)
        ),
        7,
        FALSE
    )
)</f>
        <v>Sim</v>
      </c>
      <c r="K58" s="60" t="str">
        <f t="array" aca="1" ref="K58" ca="1">IF(
    VLOOKUP(
        $A58,
        _xlfn._xlws.FILTER(
            INDIRECT("'"&amp;K$62&amp;"'!A2:G1000"), (INDIRECT("'"&amp;K$62&amp;"'!B2:B1000")=$B58) * (INDIRECT("'"&amp;K$62&amp;"'!C2:C1000")=$C58)
        ),
        5,
        FALSE
    )="",
    "",
    VLOOKUP(
        $A58,
        _xlfn._xlws.FILTER(
            INDIRECT("'"&amp;K$62&amp;"'!A2:G1000"), (INDIRECT("'"&amp;K$62&amp;"'!B2:B1000")=$B58) * (INDIRECT("'"&amp;K$62&amp;"'!C2:C1000")=$C58)
        ),
        7,
        FALSE
    )
)</f>
        <v>Sim</v>
      </c>
      <c r="L58" s="60" t="str">
        <f t="array" aca="1" ref="L58" ca="1">IF(
    VLOOKUP(
        $A58,
        _xlfn._xlws.FILTER(
            INDIRECT("'"&amp;L$62&amp;"'!A2:G1000"), (INDIRECT("'"&amp;L$62&amp;"'!B2:B1000")=$B58) * (INDIRECT("'"&amp;L$62&amp;"'!C2:C1000")=$C58)
        ),
        5,
        FALSE
    )="",
    "",
    VLOOKUP(
        $A58,
        _xlfn._xlws.FILTER(
            INDIRECT("'"&amp;L$62&amp;"'!A2:G1000"), (INDIRECT("'"&amp;L$62&amp;"'!B2:B1000")=$B58) * (INDIRECT("'"&amp;L$62&amp;"'!C2:C1000")=$C58)
        ),
        7,
        FALSE
    )
)</f>
        <v>Sim</v>
      </c>
      <c r="M58" s="60" t="str">
        <f t="array" aca="1" ref="M58" ca="1">IF(
    VLOOKUP(
        $A58,
        _xlfn._xlws.FILTER(
            INDIRECT("'"&amp;M$62&amp;"'!A2:G1000"), (INDIRECT("'"&amp;M$62&amp;"'!B2:B1000")=$B58) * (INDIRECT("'"&amp;M$62&amp;"'!C2:C1000")=$C58)
        ),
        5,
        FALSE
    )="",
    "",
    VLOOKUP(
        $A58,
        _xlfn._xlws.FILTER(
            INDIRECT("'"&amp;M$62&amp;"'!A2:G1000"), (INDIRECT("'"&amp;M$62&amp;"'!B2:B1000")=$B58) * (INDIRECT("'"&amp;M$62&amp;"'!C2:C1000")=$C58)
        ),
        7,
        FALSE
    )
)</f>
        <v>Sim</v>
      </c>
      <c r="N58" s="60" t="str">
        <f t="array" aca="1" ref="N58" ca="1">IF(
    VLOOKUP(
        $A58,
        _xlfn._xlws.FILTER(
            INDIRECT("'"&amp;N$62&amp;"'!A2:G1000"), (INDIRECT("'"&amp;N$62&amp;"'!B2:B1000")=$B58) * (INDIRECT("'"&amp;N$62&amp;"'!C2:C1000")=$C58)
        ),
        5,
        FALSE
    )="",
    "",
    VLOOKUP(
        $A58,
        _xlfn._xlws.FILTER(
            INDIRECT("'"&amp;N$62&amp;"'!A2:G1000"), (INDIRECT("'"&amp;N$62&amp;"'!B2:B1000")=$B58) * (INDIRECT("'"&amp;N$62&amp;"'!C2:C1000")=$C58)
        ),
        7,
        FALSE
    )
)</f>
        <v>Não</v>
      </c>
      <c r="O58" s="60" t="str">
        <f t="array" aca="1" ref="O58" ca="1">IF(
    VLOOKUP(
        $A58,
        _xlfn._xlws.FILTER(
            INDIRECT("'"&amp;O$62&amp;"'!A2:G1000"), (INDIRECT("'"&amp;O$62&amp;"'!B2:B1000")=$B58) * (INDIRECT("'"&amp;O$62&amp;"'!C2:C1000")=$C58)
        ),
        5,
        FALSE
    )="",
    "",
    VLOOKUP(
        $A58,
        _xlfn._xlws.FILTER(
            INDIRECT("'"&amp;O$62&amp;"'!A2:G1000"), (INDIRECT("'"&amp;O$62&amp;"'!B2:B1000")=$B58) * (INDIRECT("'"&amp;O$62&amp;"'!C2:C1000")=$C58)
        ),
        7,
        FALSE
    )
)</f>
        <v/>
      </c>
      <c r="P58" s="60" t="str">
        <f t="array" aca="1" ref="P58" ca="1">IF(
    VLOOKUP(
        $A58,
        _xlfn._xlws.FILTER(
            INDIRECT("'"&amp;P$62&amp;"'!A2:G1000"), (INDIRECT("'"&amp;P$62&amp;"'!B2:B1000")=$B58) * (INDIRECT("'"&amp;P$62&amp;"'!C2:C1000")=$C58)
        ),
        5,
        FALSE
    )="",
    "",
    VLOOKUP(
        $A58,
        _xlfn._xlws.FILTER(
            INDIRECT("'"&amp;P$62&amp;"'!A2:G1000"), (INDIRECT("'"&amp;P$62&amp;"'!B2:B1000")=$B58) * (INDIRECT("'"&amp;P$62&amp;"'!C2:C1000")=$C58)
        ),
        7,
        FALSE
    )
)</f>
        <v/>
      </c>
    </row>
    <row r="59" spans="1:21">
      <c r="A59" s="28" t="s">
        <v>42</v>
      </c>
      <c r="B59" s="60" t="s">
        <v>122</v>
      </c>
      <c r="C59" s="60" t="s">
        <v>75</v>
      </c>
      <c r="D59" s="60" t="str">
        <f t="array" aca="1" ref="D59" ca="1">IF(
    VLOOKUP(
        $A59,
        _xlfn._xlws.FILTER(
            INDIRECT("'"&amp;D$62&amp;"'!A2:G1000"), (INDIRECT("'"&amp;D$62&amp;"'!B2:B1000")=$B59) * (INDIRECT("'"&amp;D$62&amp;"'!C2:C1000")=$C59)
        ),
        5,
        FALSE
    )="",
    "",
    VLOOKUP(
        $A59,
        _xlfn._xlws.FILTER(
            INDIRECT("'"&amp;D$62&amp;"'!A2:G1000"), (INDIRECT("'"&amp;D$62&amp;"'!B2:B1000")=$B59) * (INDIRECT("'"&amp;D$62&amp;"'!C2:C1000")=$C59)
        ),
        7,
        FALSE
    )
)</f>
        <v>Sim</v>
      </c>
      <c r="E59" s="60" t="str">
        <f t="array" aca="1" ref="E59" ca="1">IF(
    VLOOKUP(
        $A59,
        _xlfn._xlws.FILTER(
            INDIRECT("'"&amp;E$62&amp;"'!A2:G1000"), (INDIRECT("'"&amp;E$62&amp;"'!B2:B1000")=$B59) * (INDIRECT("'"&amp;E$62&amp;"'!C2:C1000")=$C59)
        ),
        5,
        FALSE
    )="",
    "",
    VLOOKUP(
        $A59,
        _xlfn._xlws.FILTER(
            INDIRECT("'"&amp;E$62&amp;"'!A2:G1000"), (INDIRECT("'"&amp;E$62&amp;"'!B2:B1000")=$B59) * (INDIRECT("'"&amp;E$62&amp;"'!C2:C1000")=$C59)
        ),
        7,
        FALSE
    )
)</f>
        <v>Sim</v>
      </c>
      <c r="F59" s="60" t="str">
        <f t="array" aca="1" ref="F59" ca="1">IF(
    VLOOKUP(
        $A59,
        _xlfn._xlws.FILTER(
            INDIRECT("'"&amp;F$62&amp;"'!A2:G1000"), (INDIRECT("'"&amp;F$62&amp;"'!B2:B1000")=$B59) * (INDIRECT("'"&amp;F$62&amp;"'!C2:C1000")=$C59)
        ),
        5,
        FALSE
    )="",
    "",
    VLOOKUP(
        $A59,
        _xlfn._xlws.FILTER(
            INDIRECT("'"&amp;F$62&amp;"'!A2:G1000"), (INDIRECT("'"&amp;F$62&amp;"'!B2:B1000")=$B59) * (INDIRECT("'"&amp;F$62&amp;"'!C2:C1000")=$C59)
        ),
        7,
        FALSE
    )
)</f>
        <v>Sim</v>
      </c>
      <c r="G59" s="60" t="str">
        <f t="array" aca="1" ref="G59" ca="1">IF(
    VLOOKUP(
        $A59,
        _xlfn._xlws.FILTER(
            INDIRECT("'"&amp;G$62&amp;"'!A2:G1000"), (INDIRECT("'"&amp;G$62&amp;"'!B2:B1000")=$B59) * (INDIRECT("'"&amp;G$62&amp;"'!C2:C1000")=$C59)
        ),
        5,
        FALSE
    )="",
    "",
    VLOOKUP(
        $A59,
        _xlfn._xlws.FILTER(
            INDIRECT("'"&amp;G$62&amp;"'!A2:G1000"), (INDIRECT("'"&amp;G$62&amp;"'!B2:B1000")=$B59) * (INDIRECT("'"&amp;G$62&amp;"'!C2:C1000")=$C59)
        ),
        7,
        FALSE
    )
)</f>
        <v>Sim</v>
      </c>
      <c r="H59" s="60" t="str">
        <f t="array" aca="1" ref="H59" ca="1">IF(
    VLOOKUP(
        $A59,
        _xlfn._xlws.FILTER(
            INDIRECT("'"&amp;H$62&amp;"'!A2:G1000"), (INDIRECT("'"&amp;H$62&amp;"'!B2:B1000")=$B59) * (INDIRECT("'"&amp;H$62&amp;"'!C2:C1000")=$C59)
        ),
        5,
        FALSE
    )="",
    "",
    VLOOKUP(
        $A59,
        _xlfn._xlws.FILTER(
            INDIRECT("'"&amp;H$62&amp;"'!A2:G1000"), (INDIRECT("'"&amp;H$62&amp;"'!B2:B1000")=$B59) * (INDIRECT("'"&amp;H$62&amp;"'!C2:C1000")=$C59)
        ),
        7,
        FALSE
    )
)</f>
        <v>Sim</v>
      </c>
      <c r="I59" s="60" t="str">
        <f t="array" aca="1" ref="I59" ca="1">IF(
    VLOOKUP(
        $A59,
        _xlfn._xlws.FILTER(
            INDIRECT("'"&amp;I$62&amp;"'!A2:G1000"), (INDIRECT("'"&amp;I$62&amp;"'!B2:B1000")=$B59) * (INDIRECT("'"&amp;I$62&amp;"'!C2:C1000")=$C59)
        ),
        5,
        FALSE
    )="",
    "",
    VLOOKUP(
        $A59,
        _xlfn._xlws.FILTER(
            INDIRECT("'"&amp;I$62&amp;"'!A2:G1000"), (INDIRECT("'"&amp;I$62&amp;"'!B2:B1000")=$B59) * (INDIRECT("'"&amp;I$62&amp;"'!C2:C1000")=$C59)
        ),
        7,
        FALSE
    )
)</f>
        <v>Sim</v>
      </c>
      <c r="J59" s="60" t="str">
        <f t="array" aca="1" ref="J59" ca="1">IF(
    VLOOKUP(
        $A59,
        _xlfn._xlws.FILTER(
            INDIRECT("'"&amp;J$62&amp;"'!A2:G1000"), (INDIRECT("'"&amp;J$62&amp;"'!B2:B1000")=$B59) * (INDIRECT("'"&amp;J$62&amp;"'!C2:C1000")=$C59)
        ),
        5,
        FALSE
    )="",
    "",
    VLOOKUP(
        $A59,
        _xlfn._xlws.FILTER(
            INDIRECT("'"&amp;J$62&amp;"'!A2:G1000"), (INDIRECT("'"&amp;J$62&amp;"'!B2:B1000")=$B59) * (INDIRECT("'"&amp;J$62&amp;"'!C2:C1000")=$C59)
        ),
        7,
        FALSE
    )
)</f>
        <v>Sim</v>
      </c>
      <c r="K59" s="60" t="str">
        <f t="array" aca="1" ref="K59" ca="1">IF(
    VLOOKUP(
        $A59,
        _xlfn._xlws.FILTER(
            INDIRECT("'"&amp;K$62&amp;"'!A2:G1000"), (INDIRECT("'"&amp;K$62&amp;"'!B2:B1000")=$B59) * (INDIRECT("'"&amp;K$62&amp;"'!C2:C1000")=$C59)
        ),
        5,
        FALSE
    )="",
    "",
    VLOOKUP(
        $A59,
        _xlfn._xlws.FILTER(
            INDIRECT("'"&amp;K$62&amp;"'!A2:G1000"), (INDIRECT("'"&amp;K$62&amp;"'!B2:B1000")=$B59) * (INDIRECT("'"&amp;K$62&amp;"'!C2:C1000")=$C59)
        ),
        7,
        FALSE
    )
)</f>
        <v>Sim</v>
      </c>
      <c r="L59" s="60" t="str">
        <f t="array" aca="1" ref="L59" ca="1">IF(
    VLOOKUP(
        $A59,
        _xlfn._xlws.FILTER(
            INDIRECT("'"&amp;L$62&amp;"'!A2:G1000"), (INDIRECT("'"&amp;L$62&amp;"'!B2:B1000")=$B59) * (INDIRECT("'"&amp;L$62&amp;"'!C2:C1000")=$C59)
        ),
        5,
        FALSE
    )="",
    "",
    VLOOKUP(
        $A59,
        _xlfn._xlws.FILTER(
            INDIRECT("'"&amp;L$62&amp;"'!A2:G1000"), (INDIRECT("'"&amp;L$62&amp;"'!B2:B1000")=$B59) * (INDIRECT("'"&amp;L$62&amp;"'!C2:C1000")=$C59)
        ),
        7,
        FALSE
    )
)</f>
        <v>Sim</v>
      </c>
      <c r="M59" s="60" t="str">
        <f t="array" aca="1" ref="M59" ca="1">IF(
    VLOOKUP(
        $A59,
        _xlfn._xlws.FILTER(
            INDIRECT("'"&amp;M$62&amp;"'!A2:G1000"), (INDIRECT("'"&amp;M$62&amp;"'!B2:B1000")=$B59) * (INDIRECT("'"&amp;M$62&amp;"'!C2:C1000")=$C59)
        ),
        5,
        FALSE
    )="",
    "",
    VLOOKUP(
        $A59,
        _xlfn._xlws.FILTER(
            INDIRECT("'"&amp;M$62&amp;"'!A2:G1000"), (INDIRECT("'"&amp;M$62&amp;"'!B2:B1000")=$B59) * (INDIRECT("'"&amp;M$62&amp;"'!C2:C1000")=$C59)
        ),
        7,
        FALSE
    )
)</f>
        <v>Sim</v>
      </c>
      <c r="N59" s="60" t="str">
        <f t="array" aca="1" ref="N59" ca="1">IF(
    VLOOKUP(
        $A59,
        _xlfn._xlws.FILTER(
            INDIRECT("'"&amp;N$62&amp;"'!A2:G1000"), (INDIRECT("'"&amp;N$62&amp;"'!B2:B1000")=$B59) * (INDIRECT("'"&amp;N$62&amp;"'!C2:C1000")=$C59)
        ),
        5,
        FALSE
    )="",
    "",
    VLOOKUP(
        $A59,
        _xlfn._xlws.FILTER(
            INDIRECT("'"&amp;N$62&amp;"'!A2:G1000"), (INDIRECT("'"&amp;N$62&amp;"'!B2:B1000")=$B59) * (INDIRECT("'"&amp;N$62&amp;"'!C2:C1000")=$C59)
        ),
        7,
        FALSE
    )
)</f>
        <v>Não</v>
      </c>
      <c r="O59" s="60" t="str">
        <f t="array" aca="1" ref="O59" ca="1">IF(
    VLOOKUP(
        $A59,
        _xlfn._xlws.FILTER(
            INDIRECT("'"&amp;O$62&amp;"'!A2:G1000"), (INDIRECT("'"&amp;O$62&amp;"'!B2:B1000")=$B59) * (INDIRECT("'"&amp;O$62&amp;"'!C2:C1000")=$C59)
        ),
        5,
        FALSE
    )="",
    "",
    VLOOKUP(
        $A59,
        _xlfn._xlws.FILTER(
            INDIRECT("'"&amp;O$62&amp;"'!A2:G1000"), (INDIRECT("'"&amp;O$62&amp;"'!B2:B1000")=$B59) * (INDIRECT("'"&amp;O$62&amp;"'!C2:C1000")=$C59)
        ),
        7,
        FALSE
    )
)</f>
        <v/>
      </c>
      <c r="P59" s="60" t="str">
        <f t="array" aca="1" ref="P59" ca="1">IF(
    VLOOKUP(
        $A59,
        _xlfn._xlws.FILTER(
            INDIRECT("'"&amp;P$62&amp;"'!A2:G1000"), (INDIRECT("'"&amp;P$62&amp;"'!B2:B1000")=$B59) * (INDIRECT("'"&amp;P$62&amp;"'!C2:C1000")=$C59)
        ),
        5,
        FALSE
    )="",
    "",
    VLOOKUP(
        $A59,
        _xlfn._xlws.FILTER(
            INDIRECT("'"&amp;P$62&amp;"'!A2:G1000"), (INDIRECT("'"&amp;P$62&amp;"'!B2:B1000")=$B59) * (INDIRECT("'"&amp;P$62&amp;"'!C2:C1000")=$C59)
        ),
        7,
        FALSE
    )
)</f>
        <v/>
      </c>
    </row>
    <row r="60" spans="1:21">
      <c r="A60" s="28" t="s">
        <v>42</v>
      </c>
      <c r="B60" s="60" t="s">
        <v>123</v>
      </c>
      <c r="C60" s="60" t="s">
        <v>75</v>
      </c>
      <c r="D60" s="60" t="str">
        <f t="array" aca="1" ref="D60" ca="1">IF(
    VLOOKUP(
        $A60,
        _xlfn._xlws.FILTER(
            INDIRECT("'"&amp;D$62&amp;"'!A2:G1000"), (INDIRECT("'"&amp;D$62&amp;"'!B2:B1000")=$B60) * (INDIRECT("'"&amp;D$62&amp;"'!C2:C1000")=$C60)
        ),
        5,
        FALSE
    )="",
    "",
    VLOOKUP(
        $A60,
        _xlfn._xlws.FILTER(
            INDIRECT("'"&amp;D$62&amp;"'!A2:G1000"), (INDIRECT("'"&amp;D$62&amp;"'!B2:B1000")=$B60) * (INDIRECT("'"&amp;D$62&amp;"'!C2:C1000")=$C60)
        ),
        7,
        FALSE
    )
)</f>
        <v>Sim</v>
      </c>
      <c r="E60" s="60" t="str">
        <f t="array" aca="1" ref="E60" ca="1">IF(
    VLOOKUP(
        $A60,
        _xlfn._xlws.FILTER(
            INDIRECT("'"&amp;E$62&amp;"'!A2:G1000"), (INDIRECT("'"&amp;E$62&amp;"'!B2:B1000")=$B60) * (INDIRECT("'"&amp;E$62&amp;"'!C2:C1000")=$C60)
        ),
        5,
        FALSE
    )="",
    "",
    VLOOKUP(
        $A60,
        _xlfn._xlws.FILTER(
            INDIRECT("'"&amp;E$62&amp;"'!A2:G1000"), (INDIRECT("'"&amp;E$62&amp;"'!B2:B1000")=$B60) * (INDIRECT("'"&amp;E$62&amp;"'!C2:C1000")=$C60)
        ),
        7,
        FALSE
    )
)</f>
        <v>Sim</v>
      </c>
      <c r="F60" s="60" t="str">
        <f t="array" aca="1" ref="F60" ca="1">IF(
    VLOOKUP(
        $A60,
        _xlfn._xlws.FILTER(
            INDIRECT("'"&amp;F$62&amp;"'!A2:G1000"), (INDIRECT("'"&amp;F$62&amp;"'!B2:B1000")=$B60) * (INDIRECT("'"&amp;F$62&amp;"'!C2:C1000")=$C60)
        ),
        5,
        FALSE
    )="",
    "",
    VLOOKUP(
        $A60,
        _xlfn._xlws.FILTER(
            INDIRECT("'"&amp;F$62&amp;"'!A2:G1000"), (INDIRECT("'"&amp;F$62&amp;"'!B2:B1000")=$B60) * (INDIRECT("'"&amp;F$62&amp;"'!C2:C1000")=$C60)
        ),
        7,
        FALSE
    )
)</f>
        <v>Sim</v>
      </c>
      <c r="G60" s="60" t="str">
        <f t="array" aca="1" ref="G60" ca="1">IF(
    VLOOKUP(
        $A60,
        _xlfn._xlws.FILTER(
            INDIRECT("'"&amp;G$62&amp;"'!A2:G1000"), (INDIRECT("'"&amp;G$62&amp;"'!B2:B1000")=$B60) * (INDIRECT("'"&amp;G$62&amp;"'!C2:C1000")=$C60)
        ),
        5,
        FALSE
    )="",
    "",
    VLOOKUP(
        $A60,
        _xlfn._xlws.FILTER(
            INDIRECT("'"&amp;G$62&amp;"'!A2:G1000"), (INDIRECT("'"&amp;G$62&amp;"'!B2:B1000")=$B60) * (INDIRECT("'"&amp;G$62&amp;"'!C2:C1000")=$C60)
        ),
        7,
        FALSE
    )
)</f>
        <v>Sim</v>
      </c>
      <c r="H60" s="60" t="str">
        <f t="array" aca="1" ref="H60" ca="1">IF(
    VLOOKUP(
        $A60,
        _xlfn._xlws.FILTER(
            INDIRECT("'"&amp;H$62&amp;"'!A2:G1000"), (INDIRECT("'"&amp;H$62&amp;"'!B2:B1000")=$B60) * (INDIRECT("'"&amp;H$62&amp;"'!C2:C1000")=$C60)
        ),
        5,
        FALSE
    )="",
    "",
    VLOOKUP(
        $A60,
        _xlfn._xlws.FILTER(
            INDIRECT("'"&amp;H$62&amp;"'!A2:G1000"), (INDIRECT("'"&amp;H$62&amp;"'!B2:B1000")=$B60) * (INDIRECT("'"&amp;H$62&amp;"'!C2:C1000")=$C60)
        ),
        7,
        FALSE
    )
)</f>
        <v>Sim</v>
      </c>
      <c r="I60" s="60" t="str">
        <f t="array" aca="1" ref="I60" ca="1">IF(
    VLOOKUP(
        $A60,
        _xlfn._xlws.FILTER(
            INDIRECT("'"&amp;I$62&amp;"'!A2:G1000"), (INDIRECT("'"&amp;I$62&amp;"'!B2:B1000")=$B60) * (INDIRECT("'"&amp;I$62&amp;"'!C2:C1000")=$C60)
        ),
        5,
        FALSE
    )="",
    "",
    VLOOKUP(
        $A60,
        _xlfn._xlws.FILTER(
            INDIRECT("'"&amp;I$62&amp;"'!A2:G1000"), (INDIRECT("'"&amp;I$62&amp;"'!B2:B1000")=$B60) * (INDIRECT("'"&amp;I$62&amp;"'!C2:C1000")=$C60)
        ),
        7,
        FALSE
    )
)</f>
        <v>Sim</v>
      </c>
      <c r="J60" s="60" t="str">
        <f t="array" aca="1" ref="J60" ca="1">IF(
    VLOOKUP(
        $A60,
        _xlfn._xlws.FILTER(
            INDIRECT("'"&amp;J$62&amp;"'!A2:G1000"), (INDIRECT("'"&amp;J$62&amp;"'!B2:B1000")=$B60) * (INDIRECT("'"&amp;J$62&amp;"'!C2:C1000")=$C60)
        ),
        5,
        FALSE
    )="",
    "",
    VLOOKUP(
        $A60,
        _xlfn._xlws.FILTER(
            INDIRECT("'"&amp;J$62&amp;"'!A2:G1000"), (INDIRECT("'"&amp;J$62&amp;"'!B2:B1000")=$B60) * (INDIRECT("'"&amp;J$62&amp;"'!C2:C1000")=$C60)
        ),
        7,
        FALSE
    )
)</f>
        <v>Sim</v>
      </c>
      <c r="K60" s="60" t="str">
        <f t="array" aca="1" ref="K60" ca="1">IF(
    VLOOKUP(
        $A60,
        _xlfn._xlws.FILTER(
            INDIRECT("'"&amp;K$62&amp;"'!A2:G1000"), (INDIRECT("'"&amp;K$62&amp;"'!B2:B1000")=$B60) * (INDIRECT("'"&amp;K$62&amp;"'!C2:C1000")=$C60)
        ),
        5,
        FALSE
    )="",
    "",
    VLOOKUP(
        $A60,
        _xlfn._xlws.FILTER(
            INDIRECT("'"&amp;K$62&amp;"'!A2:G1000"), (INDIRECT("'"&amp;K$62&amp;"'!B2:B1000")=$B60) * (INDIRECT("'"&amp;K$62&amp;"'!C2:C1000")=$C60)
        ),
        7,
        FALSE
    )
)</f>
        <v>Sim</v>
      </c>
      <c r="L60" s="60" t="str">
        <f t="array" aca="1" ref="L60" ca="1">IF(
    VLOOKUP(
        $A60,
        _xlfn._xlws.FILTER(
            INDIRECT("'"&amp;L$62&amp;"'!A2:G1000"), (INDIRECT("'"&amp;L$62&amp;"'!B2:B1000")=$B60) * (INDIRECT("'"&amp;L$62&amp;"'!C2:C1000")=$C60)
        ),
        5,
        FALSE
    )="",
    "",
    VLOOKUP(
        $A60,
        _xlfn._xlws.FILTER(
            INDIRECT("'"&amp;L$62&amp;"'!A2:G1000"), (INDIRECT("'"&amp;L$62&amp;"'!B2:B1000")=$B60) * (INDIRECT("'"&amp;L$62&amp;"'!C2:C1000")=$C60)
        ),
        7,
        FALSE
    )
)</f>
        <v>Sim</v>
      </c>
      <c r="M60" s="60" t="str">
        <f t="array" aca="1" ref="M60" ca="1">IF(
    VLOOKUP(
        $A60,
        _xlfn._xlws.FILTER(
            INDIRECT("'"&amp;M$62&amp;"'!A2:G1000"), (INDIRECT("'"&amp;M$62&amp;"'!B2:B1000")=$B60) * (INDIRECT("'"&amp;M$62&amp;"'!C2:C1000")=$C60)
        ),
        5,
        FALSE
    )="",
    "",
    VLOOKUP(
        $A60,
        _xlfn._xlws.FILTER(
            INDIRECT("'"&amp;M$62&amp;"'!A2:G1000"), (INDIRECT("'"&amp;M$62&amp;"'!B2:B1000")=$B60) * (INDIRECT("'"&amp;M$62&amp;"'!C2:C1000")=$C60)
        ),
        7,
        FALSE
    )
)</f>
        <v>Sim</v>
      </c>
      <c r="N60" s="60" t="str">
        <f t="array" aca="1" ref="N60" ca="1">IF(
    VLOOKUP(
        $A60,
        _xlfn._xlws.FILTER(
            INDIRECT("'"&amp;N$62&amp;"'!A2:G1000"), (INDIRECT("'"&amp;N$62&amp;"'!B2:B1000")=$B60) * (INDIRECT("'"&amp;N$62&amp;"'!C2:C1000")=$C60)
        ),
        5,
        FALSE
    )="",
    "",
    VLOOKUP(
        $A60,
        _xlfn._xlws.FILTER(
            INDIRECT("'"&amp;N$62&amp;"'!A2:G1000"), (INDIRECT("'"&amp;N$62&amp;"'!B2:B1000")=$B60) * (INDIRECT("'"&amp;N$62&amp;"'!C2:C1000")=$C60)
        ),
        7,
        FALSE
    )
)</f>
        <v>Não</v>
      </c>
      <c r="O60" s="60" t="str">
        <f t="array" aca="1" ref="O60" ca="1">IF(
    VLOOKUP(
        $A60,
        _xlfn._xlws.FILTER(
            INDIRECT("'"&amp;O$62&amp;"'!A2:G1000"), (INDIRECT("'"&amp;O$62&amp;"'!B2:B1000")=$B60) * (INDIRECT("'"&amp;O$62&amp;"'!C2:C1000")=$C60)
        ),
        5,
        FALSE
    )="",
    "",
    VLOOKUP(
        $A60,
        _xlfn._xlws.FILTER(
            INDIRECT("'"&amp;O$62&amp;"'!A2:G1000"), (INDIRECT("'"&amp;O$62&amp;"'!B2:B1000")=$B60) * (INDIRECT("'"&amp;O$62&amp;"'!C2:C1000")=$C60)
        ),
        7,
        FALSE
    )
)</f>
        <v/>
      </c>
      <c r="P60" s="60" t="str">
        <f t="array" aca="1" ref="P60" ca="1">IF(
    VLOOKUP(
        $A60,
        _xlfn._xlws.FILTER(
            INDIRECT("'"&amp;P$62&amp;"'!A2:G1000"), (INDIRECT("'"&amp;P$62&amp;"'!B2:B1000")=$B60) * (INDIRECT("'"&amp;P$62&amp;"'!C2:C1000")=$C60)
        ),
        5,
        FALSE
    )="",
    "",
    VLOOKUP(
        $A60,
        _xlfn._xlws.FILTER(
            INDIRECT("'"&amp;P$62&amp;"'!A2:G1000"), (INDIRECT("'"&amp;P$62&amp;"'!B2:B1000")=$B60) * (INDIRECT("'"&amp;P$62&amp;"'!C2:C1000")=$C60)
        ),
        7,
        FALSE
    )
)</f>
        <v/>
      </c>
    </row>
    <row r="62" spans="1:21" ht="15.75" customHeight="1">
      <c r="A62" s="23" t="s">
        <v>124</v>
      </c>
      <c r="B62" s="21" t="s">
        <v>72</v>
      </c>
      <c r="C62" s="21" t="s">
        <v>73</v>
      </c>
      <c r="D62" s="74" t="s">
        <v>1</v>
      </c>
      <c r="E62" s="74" t="s">
        <v>2</v>
      </c>
      <c r="F62" s="74" t="s">
        <v>3</v>
      </c>
      <c r="G62" s="74" t="s">
        <v>4</v>
      </c>
      <c r="H62" s="74" t="s">
        <v>5</v>
      </c>
      <c r="I62" s="74" t="s">
        <v>6</v>
      </c>
      <c r="J62" s="74" t="s">
        <v>7</v>
      </c>
      <c r="K62" s="74" t="s">
        <v>8</v>
      </c>
      <c r="L62" s="74" t="s">
        <v>9</v>
      </c>
      <c r="M62" s="74" t="s">
        <v>9</v>
      </c>
      <c r="N62" s="74" t="s">
        <v>10</v>
      </c>
      <c r="O62" s="74" t="s">
        <v>11</v>
      </c>
      <c r="P62" s="74" t="s">
        <v>12</v>
      </c>
    </row>
    <row r="63" spans="1:21">
      <c r="A63" s="81" t="s">
        <v>33</v>
      </c>
      <c r="B63" s="60" t="s">
        <v>125</v>
      </c>
      <c r="C63" s="60" t="s">
        <v>75</v>
      </c>
      <c r="D63" s="60" t="str">
        <f t="array" aca="1" ref="D63" ca="1">IF(
    VLOOKUP(
        $A63,
        _xlfn._xlws.FILTER(
            INDIRECT("'"&amp;D$62&amp;"'!A2:G1000"), (INDIRECT("'"&amp;D$62&amp;"'!B2:B1000")=$B63) * (INDIRECT("'"&amp;D$62&amp;"'!C2:C1000")=$C63)
        ),
        5,
        FALSE
    )="",
    "",
    VLOOKUP(
        $A63,
        _xlfn._xlws.FILTER(
            INDIRECT("'"&amp;D$62&amp;"'!A2:G1000"), (INDIRECT("'"&amp;D$62&amp;"'!B2:B1000")=$B63) * (INDIRECT("'"&amp;D$62&amp;"'!C2:C1000")=$C63)
        ),
        7,
        FALSE
    )
)</f>
        <v>Sim</v>
      </c>
      <c r="E63" s="60" t="str">
        <f t="array" aca="1" ref="E63" ca="1">IF(
    VLOOKUP(
        $A63,
        _xlfn._xlws.FILTER(
            INDIRECT("'"&amp;E$62&amp;"'!A2:G1000"), (INDIRECT("'"&amp;E$62&amp;"'!B2:B1000")=$B63) * (INDIRECT("'"&amp;E$62&amp;"'!C2:C1000")=$C63)
        ),
        5,
        FALSE
    )="",
    "",
    VLOOKUP(
        $A63,
        _xlfn._xlws.FILTER(
            INDIRECT("'"&amp;E$62&amp;"'!A2:G1000"), (INDIRECT("'"&amp;E$62&amp;"'!B2:B1000")=$B63) * (INDIRECT("'"&amp;E$62&amp;"'!C2:C1000")=$C63)
        ),
        7,
        FALSE
    )
)</f>
        <v>Sim</v>
      </c>
      <c r="F63" s="60" t="str">
        <f t="array" aca="1" ref="F63" ca="1">IF(
    VLOOKUP(
        $A63,
        _xlfn._xlws.FILTER(
            INDIRECT("'"&amp;F$62&amp;"'!A2:G1000"), (INDIRECT("'"&amp;F$62&amp;"'!B2:B1000")=$B63) * (INDIRECT("'"&amp;F$62&amp;"'!C2:C1000")=$C63)
        ),
        5,
        FALSE
    )="",
    "",
    VLOOKUP(
        $A63,
        _xlfn._xlws.FILTER(
            INDIRECT("'"&amp;F$62&amp;"'!A2:G1000"), (INDIRECT("'"&amp;F$62&amp;"'!B2:B1000")=$B63) * (INDIRECT("'"&amp;F$62&amp;"'!C2:C1000")=$C63)
        ),
        7,
        FALSE
    )
)</f>
        <v>Sim</v>
      </c>
      <c r="G63" s="60" t="str">
        <f t="array" aca="1" ref="G63" ca="1">IF(
    VLOOKUP(
        $A63,
        _xlfn._xlws.FILTER(
            INDIRECT("'"&amp;G$62&amp;"'!A2:G1000"), (INDIRECT("'"&amp;G$62&amp;"'!B2:B1000")=$B63) * (INDIRECT("'"&amp;G$62&amp;"'!C2:C1000")=$C63)
        ),
        5,
        FALSE
    )="",
    "",
    VLOOKUP(
        $A63,
        _xlfn._xlws.FILTER(
            INDIRECT("'"&amp;G$62&amp;"'!A2:G1000"), (INDIRECT("'"&amp;G$62&amp;"'!B2:B1000")=$B63) * (INDIRECT("'"&amp;G$62&amp;"'!C2:C1000")=$C63)
        ),
        7,
        FALSE
    )
)</f>
        <v>Sim</v>
      </c>
      <c r="H63" s="60" t="str">
        <f t="array" aca="1" ref="H63" ca="1">IF(
    VLOOKUP(
        $A63,
        _xlfn._xlws.FILTER(
            INDIRECT("'"&amp;H$62&amp;"'!A2:G1000"), (INDIRECT("'"&amp;H$62&amp;"'!B2:B1000")=$B63) * (INDIRECT("'"&amp;H$62&amp;"'!C2:C1000")=$C63)
        ),
        5,
        FALSE
    )="",
    "",
    VLOOKUP(
        $A63,
        _xlfn._xlws.FILTER(
            INDIRECT("'"&amp;H$62&amp;"'!A2:G1000"), (INDIRECT("'"&amp;H$62&amp;"'!B2:B1000")=$B63) * (INDIRECT("'"&amp;H$62&amp;"'!C2:C1000")=$C63)
        ),
        7,
        FALSE
    )
)</f>
        <v>Sim</v>
      </c>
      <c r="I63" s="60" t="str">
        <f t="array" aca="1" ref="I63" ca="1">IF(
    VLOOKUP(
        $A63,
        _xlfn._xlws.FILTER(
            INDIRECT("'"&amp;I$62&amp;"'!A2:G1000"), (INDIRECT("'"&amp;I$62&amp;"'!B2:B1000")=$B63) * (INDIRECT("'"&amp;I$62&amp;"'!C2:C1000")=$C63)
        ),
        5,
        FALSE
    )="",
    "",
    VLOOKUP(
        $A63,
        _xlfn._xlws.FILTER(
            INDIRECT("'"&amp;I$62&amp;"'!A2:G1000"), (INDIRECT("'"&amp;I$62&amp;"'!B2:B1000")=$B63) * (INDIRECT("'"&amp;I$62&amp;"'!C2:C1000")=$C63)
        ),
        7,
        FALSE
    )
)</f>
        <v>Sim</v>
      </c>
      <c r="J63" s="60" t="str">
        <f t="array" aca="1" ref="J63" ca="1">IF(
    VLOOKUP(
        $A63,
        _xlfn._xlws.FILTER(
            INDIRECT("'"&amp;J$62&amp;"'!A2:G1000"), (INDIRECT("'"&amp;J$62&amp;"'!B2:B1000")=$B63) * (INDIRECT("'"&amp;J$62&amp;"'!C2:C1000")=$C63)
        ),
        5,
        FALSE
    )="",
    "",
    VLOOKUP(
        $A63,
        _xlfn._xlws.FILTER(
            INDIRECT("'"&amp;J$62&amp;"'!A2:G1000"), (INDIRECT("'"&amp;J$62&amp;"'!B2:B1000")=$B63) * (INDIRECT("'"&amp;J$62&amp;"'!C2:C1000")=$C63)
        ),
        7,
        FALSE
    )
)</f>
        <v>Sim</v>
      </c>
      <c r="K63" s="60" t="str">
        <f t="array" aca="1" ref="K63" ca="1">IF(
    VLOOKUP(
        $A63,
        _xlfn._xlws.FILTER(
            INDIRECT("'"&amp;K$62&amp;"'!A2:G1000"), (INDIRECT("'"&amp;K$62&amp;"'!B2:B1000")=$B63) * (INDIRECT("'"&amp;K$62&amp;"'!C2:C1000")=$C63)
        ),
        5,
        FALSE
    )="",
    "",
    VLOOKUP(
        $A63,
        _xlfn._xlws.FILTER(
            INDIRECT("'"&amp;K$62&amp;"'!A2:G1000"), (INDIRECT("'"&amp;K$62&amp;"'!B2:B1000")=$B63) * (INDIRECT("'"&amp;K$62&amp;"'!C2:C1000")=$C63)
        ),
        7,
        FALSE
    )
)</f>
        <v>Sim</v>
      </c>
      <c r="L63" s="60" t="str">
        <f t="array" aca="1" ref="L63" ca="1">IF(
    VLOOKUP(
        $A63,
        _xlfn._xlws.FILTER(
            INDIRECT("'"&amp;L$62&amp;"'!A2:G1000"), (INDIRECT("'"&amp;L$62&amp;"'!B2:B1000")=$B63) * (INDIRECT("'"&amp;L$62&amp;"'!C2:C1000")=$C63)
        ),
        5,
        FALSE
    )="",
    "",
    VLOOKUP(
        $A63,
        _xlfn._xlws.FILTER(
            INDIRECT("'"&amp;L$62&amp;"'!A2:G1000"), (INDIRECT("'"&amp;L$62&amp;"'!B2:B1000")=$B63) * (INDIRECT("'"&amp;L$62&amp;"'!C2:C1000")=$C63)
        ),
        7,
        FALSE
    )
)</f>
        <v>Não</v>
      </c>
      <c r="M63" s="60" t="str">
        <f t="array" aca="1" ref="M63" ca="1">IF(
    VLOOKUP(
        $A63,
        _xlfn._xlws.FILTER(
            INDIRECT("'"&amp;M$62&amp;"'!A2:G1000"), (INDIRECT("'"&amp;M$62&amp;"'!B2:B1000")=$B63) * (INDIRECT("'"&amp;M$62&amp;"'!C2:C1000")=$C63)
        ),
        5,
        FALSE
    )="",
    "",
    VLOOKUP(
        $A63,
        _xlfn._xlws.FILTER(
            INDIRECT("'"&amp;M$62&amp;"'!A2:G1000"), (INDIRECT("'"&amp;M$62&amp;"'!B2:B1000")=$B63) * (INDIRECT("'"&amp;M$62&amp;"'!C2:C1000")=$C63)
        ),
        7,
        FALSE
    )
)</f>
        <v>Não</v>
      </c>
      <c r="N63" s="60" t="str">
        <f t="array" aca="1" ref="N63" ca="1">IF(
    VLOOKUP(
        $A63,
        _xlfn._xlws.FILTER(
            INDIRECT("'"&amp;N$62&amp;"'!A2:G1000"), (INDIRECT("'"&amp;N$62&amp;"'!B2:B1000")=$B63) * (INDIRECT("'"&amp;N$62&amp;"'!C2:C1000")=$C63)
        ),
        5,
        FALSE
    )="",
    "",
    VLOOKUP(
        $A63,
        _xlfn._xlws.FILTER(
            INDIRECT("'"&amp;N$62&amp;"'!A2:G1000"), (INDIRECT("'"&amp;N$62&amp;"'!B2:B1000")=$B63) * (INDIRECT("'"&amp;N$62&amp;"'!C2:C1000")=$C63)
        ),
        7,
        FALSE
    )
)</f>
        <v>Não</v>
      </c>
      <c r="O63" s="60" t="str">
        <f t="array" aca="1" ref="O63" ca="1">IF(
    VLOOKUP(
        $A63,
        _xlfn._xlws.FILTER(
            INDIRECT("'"&amp;O$62&amp;"'!A2:G1000"), (INDIRECT("'"&amp;O$62&amp;"'!B2:B1000")=$B63) * (INDIRECT("'"&amp;O$62&amp;"'!C2:C1000")=$C63)
        ),
        5,
        FALSE
    )="",
    "",
    VLOOKUP(
        $A63,
        _xlfn._xlws.FILTER(
            INDIRECT("'"&amp;O$62&amp;"'!A2:G1000"), (INDIRECT("'"&amp;O$62&amp;"'!B2:B1000")=$B63) * (INDIRECT("'"&amp;O$62&amp;"'!C2:C1000")=$C63)
        ),
        7,
        FALSE
    )
)</f>
        <v>Não</v>
      </c>
      <c r="P63" s="60" t="str">
        <f t="array" aca="1" ref="P63" ca="1">IF(
    VLOOKUP(
        $A63,
        _xlfn._xlws.FILTER(
            INDIRECT("'"&amp;P$62&amp;"'!A2:G1000"), (INDIRECT("'"&amp;P$62&amp;"'!B2:B1000")=$B63) * (INDIRECT("'"&amp;P$62&amp;"'!C2:C1000")=$C63)
        ),
        5,
        FALSE
    )="",
    "",
    VLOOKUP(
        $A63,
        _xlfn._xlws.FILTER(
            INDIRECT("'"&amp;P$62&amp;"'!A2:G1000"), (INDIRECT("'"&amp;P$62&amp;"'!B2:B1000")=$B63) * (INDIRECT("'"&amp;P$62&amp;"'!C2:C1000")=$C63)
        ),
        7,
        FALSE
    )
)</f>
        <v>Não</v>
      </c>
      <c r="R63" s="82"/>
      <c r="S63" s="83" t="s">
        <v>126</v>
      </c>
      <c r="T63" s="84" t="s">
        <v>33</v>
      </c>
      <c r="U63" s="85"/>
    </row>
    <row r="64" spans="1:21">
      <c r="A64" s="81" t="s">
        <v>33</v>
      </c>
      <c r="B64" s="60" t="s">
        <v>127</v>
      </c>
      <c r="C64" s="60" t="s">
        <v>75</v>
      </c>
      <c r="D64" s="60" t="str">
        <f t="array" aca="1" ref="D64" ca="1">IF(
    VLOOKUP(
        $A64,
        _xlfn._xlws.FILTER(
            INDIRECT("'"&amp;D$62&amp;"'!A2:G1000"), (INDIRECT("'"&amp;D$62&amp;"'!B2:B1000")=$B64) * (INDIRECT("'"&amp;D$62&amp;"'!C2:C1000")=$C64)
        ),
        5,
        FALSE
    )="",
    "",
    VLOOKUP(
        $A64,
        _xlfn._xlws.FILTER(
            INDIRECT("'"&amp;D$62&amp;"'!A2:G1000"), (INDIRECT("'"&amp;D$62&amp;"'!B2:B1000")=$B64) * (INDIRECT("'"&amp;D$62&amp;"'!C2:C1000")=$C64)
        ),
        7,
        FALSE
    )
)</f>
        <v>Sim</v>
      </c>
      <c r="E64" s="60" t="str">
        <f t="array" aca="1" ref="E64" ca="1">IF(
    VLOOKUP(
        $A64,
        _xlfn._xlws.FILTER(
            INDIRECT("'"&amp;E$62&amp;"'!A2:G1000"), (INDIRECT("'"&amp;E$62&amp;"'!B2:B1000")=$B64) * (INDIRECT("'"&amp;E$62&amp;"'!C2:C1000")=$C64)
        ),
        5,
        FALSE
    )="",
    "",
    VLOOKUP(
        $A64,
        _xlfn._xlws.FILTER(
            INDIRECT("'"&amp;E$62&amp;"'!A2:G1000"), (INDIRECT("'"&amp;E$62&amp;"'!B2:B1000")=$B64) * (INDIRECT("'"&amp;E$62&amp;"'!C2:C1000")=$C64)
        ),
        7,
        FALSE
    )
)</f>
        <v>Sim</v>
      </c>
      <c r="F64" s="60" t="str">
        <f t="array" aca="1" ref="F64" ca="1">IF(
    VLOOKUP(
        $A64,
        _xlfn._xlws.FILTER(
            INDIRECT("'"&amp;F$62&amp;"'!A2:G1000"), (INDIRECT("'"&amp;F$62&amp;"'!B2:B1000")=$B64) * (INDIRECT("'"&amp;F$62&amp;"'!C2:C1000")=$C64)
        ),
        5,
        FALSE
    )="",
    "",
    VLOOKUP(
        $A64,
        _xlfn._xlws.FILTER(
            INDIRECT("'"&amp;F$62&amp;"'!A2:G1000"), (INDIRECT("'"&amp;F$62&amp;"'!B2:B1000")=$B64) * (INDIRECT("'"&amp;F$62&amp;"'!C2:C1000")=$C64)
        ),
        7,
        FALSE
    )
)</f>
        <v>Sim</v>
      </c>
      <c r="G64" s="60" t="str">
        <f t="array" aca="1" ref="G64" ca="1">IF(
    VLOOKUP(
        $A64,
        _xlfn._xlws.FILTER(
            INDIRECT("'"&amp;G$62&amp;"'!A2:G1000"), (INDIRECT("'"&amp;G$62&amp;"'!B2:B1000")=$B64) * (INDIRECT("'"&amp;G$62&amp;"'!C2:C1000")=$C64)
        ),
        5,
        FALSE
    )="",
    "",
    VLOOKUP(
        $A64,
        _xlfn._xlws.FILTER(
            INDIRECT("'"&amp;G$62&amp;"'!A2:G1000"), (INDIRECT("'"&amp;G$62&amp;"'!B2:B1000")=$B64) * (INDIRECT("'"&amp;G$62&amp;"'!C2:C1000")=$C64)
        ),
        7,
        FALSE
    )
)</f>
        <v>Sim</v>
      </c>
      <c r="H64" s="60" t="str">
        <f t="array" aca="1" ref="H64" ca="1">IF(
    VLOOKUP(
        $A64,
        _xlfn._xlws.FILTER(
            INDIRECT("'"&amp;H$62&amp;"'!A2:G1000"), (INDIRECT("'"&amp;H$62&amp;"'!B2:B1000")=$B64) * (INDIRECT("'"&amp;H$62&amp;"'!C2:C1000")=$C64)
        ),
        5,
        FALSE
    )="",
    "",
    VLOOKUP(
        $A64,
        _xlfn._xlws.FILTER(
            INDIRECT("'"&amp;H$62&amp;"'!A2:G1000"), (INDIRECT("'"&amp;H$62&amp;"'!B2:B1000")=$B64) * (INDIRECT("'"&amp;H$62&amp;"'!C2:C1000")=$C64)
        ),
        7,
        FALSE
    )
)</f>
        <v>Sim</v>
      </c>
      <c r="I64" s="60" t="str">
        <f t="array" aca="1" ref="I64" ca="1">IF(
    VLOOKUP(
        $A64,
        _xlfn._xlws.FILTER(
            INDIRECT("'"&amp;I$62&amp;"'!A2:G1000"), (INDIRECT("'"&amp;I$62&amp;"'!B2:B1000")=$B64) * (INDIRECT("'"&amp;I$62&amp;"'!C2:C1000")=$C64)
        ),
        5,
        FALSE
    )="",
    "",
    VLOOKUP(
        $A64,
        _xlfn._xlws.FILTER(
            INDIRECT("'"&amp;I$62&amp;"'!A2:G1000"), (INDIRECT("'"&amp;I$62&amp;"'!B2:B1000")=$B64) * (INDIRECT("'"&amp;I$62&amp;"'!C2:C1000")=$C64)
        ),
        7,
        FALSE
    )
)</f>
        <v>Sim</v>
      </c>
      <c r="J64" s="60" t="str">
        <f t="array" aca="1" ref="J64" ca="1">IF(
    VLOOKUP(
        $A64,
        _xlfn._xlws.FILTER(
            INDIRECT("'"&amp;J$62&amp;"'!A2:G1000"), (INDIRECT("'"&amp;J$62&amp;"'!B2:B1000")=$B64) * (INDIRECT("'"&amp;J$62&amp;"'!C2:C1000")=$C64)
        ),
        5,
        FALSE
    )="",
    "",
    VLOOKUP(
        $A64,
        _xlfn._xlws.FILTER(
            INDIRECT("'"&amp;J$62&amp;"'!A2:G1000"), (INDIRECT("'"&amp;J$62&amp;"'!B2:B1000")=$B64) * (INDIRECT("'"&amp;J$62&amp;"'!C2:C1000")=$C64)
        ),
        7,
        FALSE
    )
)</f>
        <v>Sim</v>
      </c>
      <c r="K64" s="60" t="str">
        <f t="array" aca="1" ref="K64" ca="1">IF(
    VLOOKUP(
        $A64,
        _xlfn._xlws.FILTER(
            INDIRECT("'"&amp;K$62&amp;"'!A2:G1000"), (INDIRECT("'"&amp;K$62&amp;"'!B2:B1000")=$B64) * (INDIRECT("'"&amp;K$62&amp;"'!C2:C1000")=$C64)
        ),
        5,
        FALSE
    )="",
    "",
    VLOOKUP(
        $A64,
        _xlfn._xlws.FILTER(
            INDIRECT("'"&amp;K$62&amp;"'!A2:G1000"), (INDIRECT("'"&amp;K$62&amp;"'!B2:B1000")=$B64) * (INDIRECT("'"&amp;K$62&amp;"'!C2:C1000")=$C64)
        ),
        7,
        FALSE
    )
)</f>
        <v>Sim</v>
      </c>
      <c r="L64" s="60" t="str">
        <f t="array" aca="1" ref="L64" ca="1">IF(
    VLOOKUP(
        $A64,
        _xlfn._xlws.FILTER(
            INDIRECT("'"&amp;L$62&amp;"'!A2:G1000"), (INDIRECT("'"&amp;L$62&amp;"'!B2:B1000")=$B64) * (INDIRECT("'"&amp;L$62&amp;"'!C2:C1000")=$C64)
        ),
        5,
        FALSE
    )="",
    "",
    VLOOKUP(
        $A64,
        _xlfn._xlws.FILTER(
            INDIRECT("'"&amp;L$62&amp;"'!A2:G1000"), (INDIRECT("'"&amp;L$62&amp;"'!B2:B1000")=$B64) * (INDIRECT("'"&amp;L$62&amp;"'!C2:C1000")=$C64)
        ),
        7,
        FALSE
    )
)</f>
        <v>Sim</v>
      </c>
      <c r="M64" s="60" t="str">
        <f t="array" aca="1" ref="M64" ca="1">IF(
    VLOOKUP(
        $A64,
        _xlfn._xlws.FILTER(
            INDIRECT("'"&amp;M$62&amp;"'!A2:G1000"), (INDIRECT("'"&amp;M$62&amp;"'!B2:B1000")=$B64) * (INDIRECT("'"&amp;M$62&amp;"'!C2:C1000")=$C64)
        ),
        5,
        FALSE
    )="",
    "",
    VLOOKUP(
        $A64,
        _xlfn._xlws.FILTER(
            INDIRECT("'"&amp;M$62&amp;"'!A2:G1000"), (INDIRECT("'"&amp;M$62&amp;"'!B2:B1000")=$B64) * (INDIRECT("'"&amp;M$62&amp;"'!C2:C1000")=$C64)
        ),
        7,
        FALSE
    )
)</f>
        <v>Sim</v>
      </c>
      <c r="N64" s="60" t="str">
        <f t="array" aca="1" ref="N64" ca="1">IF(
    VLOOKUP(
        $A64,
        _xlfn._xlws.FILTER(
            INDIRECT("'"&amp;N$62&amp;"'!A2:G1000"), (INDIRECT("'"&amp;N$62&amp;"'!B2:B1000")=$B64) * (INDIRECT("'"&amp;N$62&amp;"'!C2:C1000")=$C64)
        ),
        5,
        FALSE
    )="",
    "",
    VLOOKUP(
        $A64,
        _xlfn._xlws.FILTER(
            INDIRECT("'"&amp;N$62&amp;"'!A2:G1000"), (INDIRECT("'"&amp;N$62&amp;"'!B2:B1000")=$B64) * (INDIRECT("'"&amp;N$62&amp;"'!C2:C1000")=$C64)
        ),
        7,
        FALSE
    )
)</f>
        <v>Não</v>
      </c>
      <c r="O64" s="60" t="str">
        <f t="array" aca="1" ref="O64" ca="1">IF(
    VLOOKUP(
        $A64,
        _xlfn._xlws.FILTER(
            INDIRECT("'"&amp;O$62&amp;"'!A2:G1000"), (INDIRECT("'"&amp;O$62&amp;"'!B2:B1000")=$B64) * (INDIRECT("'"&amp;O$62&amp;"'!C2:C1000")=$C64)
        ),
        5,
        FALSE
    )="",
    "",
    VLOOKUP(
        $A64,
        _xlfn._xlws.FILTER(
            INDIRECT("'"&amp;O$62&amp;"'!A2:G1000"), (INDIRECT("'"&amp;O$62&amp;"'!B2:B1000")=$B64) * (INDIRECT("'"&amp;O$62&amp;"'!C2:C1000")=$C64)
        ),
        7,
        FALSE
    )
)</f>
        <v/>
      </c>
      <c r="P64" s="60" t="str">
        <f t="array" aca="1" ref="P64" ca="1">IF(
    VLOOKUP(
        $A64,
        _xlfn._xlws.FILTER(
            INDIRECT("'"&amp;P$62&amp;"'!A2:G1000"), (INDIRECT("'"&amp;P$62&amp;"'!B2:B1000")=$B64) * (INDIRECT("'"&amp;P$62&amp;"'!C2:C1000")=$C64)
        ),
        5,
        FALSE
    )="",
    "",
    VLOOKUP(
        $A64,
        _xlfn._xlws.FILTER(
            INDIRECT("'"&amp;P$62&amp;"'!A2:G1000"), (INDIRECT("'"&amp;P$62&amp;"'!B2:B1000")=$B64) * (INDIRECT("'"&amp;P$62&amp;"'!C2:C1000")=$C64)
        ),
        7,
        FALSE
    )
)</f>
        <v/>
      </c>
      <c r="R64" s="86"/>
      <c r="S64" s="87" t="s">
        <v>35</v>
      </c>
      <c r="T64" s="88" t="s">
        <v>35</v>
      </c>
      <c r="U64" s="86"/>
    </row>
    <row r="65" spans="1:21">
      <c r="A65" s="81" t="s">
        <v>33</v>
      </c>
      <c r="B65" s="60" t="s">
        <v>128</v>
      </c>
      <c r="C65" s="60" t="s">
        <v>75</v>
      </c>
      <c r="D65" s="60" t="str">
        <f t="array" aca="1" ref="D65" ca="1">IF(
    VLOOKUP(
        $A65,
        _xlfn._xlws.FILTER(
            INDIRECT("'"&amp;D$62&amp;"'!A2:G1000"), (INDIRECT("'"&amp;D$62&amp;"'!B2:B1000")=$B65) * (INDIRECT("'"&amp;D$62&amp;"'!C2:C1000")=$C65)
        ),
        5,
        FALSE
    )="",
    "",
    VLOOKUP(
        $A65,
        _xlfn._xlws.FILTER(
            INDIRECT("'"&amp;D$62&amp;"'!A2:G1000"), (INDIRECT("'"&amp;D$62&amp;"'!B2:B1000")=$B65) * (INDIRECT("'"&amp;D$62&amp;"'!C2:C1000")=$C65)
        ),
        7,
        FALSE
    )
)</f>
        <v>Sim</v>
      </c>
      <c r="E65" s="60" t="str">
        <f t="array" aca="1" ref="E65" ca="1">IF(
    VLOOKUP(
        $A65,
        _xlfn._xlws.FILTER(
            INDIRECT("'"&amp;E$62&amp;"'!A2:G1000"), (INDIRECT("'"&amp;E$62&amp;"'!B2:B1000")=$B65) * (INDIRECT("'"&amp;E$62&amp;"'!C2:C1000")=$C65)
        ),
        5,
        FALSE
    )="",
    "",
    VLOOKUP(
        $A65,
        _xlfn._xlws.FILTER(
            INDIRECT("'"&amp;E$62&amp;"'!A2:G1000"), (INDIRECT("'"&amp;E$62&amp;"'!B2:B1000")=$B65) * (INDIRECT("'"&amp;E$62&amp;"'!C2:C1000")=$C65)
        ),
        7,
        FALSE
    )
)</f>
        <v>Sim</v>
      </c>
      <c r="F65" s="60" t="str">
        <f t="array" aca="1" ref="F65" ca="1">IF(
    VLOOKUP(
        $A65,
        _xlfn._xlws.FILTER(
            INDIRECT("'"&amp;F$62&amp;"'!A2:G1000"), (INDIRECT("'"&amp;F$62&amp;"'!B2:B1000")=$B65) * (INDIRECT("'"&amp;F$62&amp;"'!C2:C1000")=$C65)
        ),
        5,
        FALSE
    )="",
    "",
    VLOOKUP(
        $A65,
        _xlfn._xlws.FILTER(
            INDIRECT("'"&amp;F$62&amp;"'!A2:G1000"), (INDIRECT("'"&amp;F$62&amp;"'!B2:B1000")=$B65) * (INDIRECT("'"&amp;F$62&amp;"'!C2:C1000")=$C65)
        ),
        7,
        FALSE
    )
)</f>
        <v>Sim</v>
      </c>
      <c r="G65" s="60" t="str">
        <f t="array" aca="1" ref="G65" ca="1">IF(
    VLOOKUP(
        $A65,
        _xlfn._xlws.FILTER(
            INDIRECT("'"&amp;G$62&amp;"'!A2:G1000"), (INDIRECT("'"&amp;G$62&amp;"'!B2:B1000")=$B65) * (INDIRECT("'"&amp;G$62&amp;"'!C2:C1000")=$C65)
        ),
        5,
        FALSE
    )="",
    "",
    VLOOKUP(
        $A65,
        _xlfn._xlws.FILTER(
            INDIRECT("'"&amp;G$62&amp;"'!A2:G1000"), (INDIRECT("'"&amp;G$62&amp;"'!B2:B1000")=$B65) * (INDIRECT("'"&amp;G$62&amp;"'!C2:C1000")=$C65)
        ),
        7,
        FALSE
    )
)</f>
        <v>Sim</v>
      </c>
      <c r="H65" s="60" t="str">
        <f t="array" aca="1" ref="H65" ca="1">IF(
    VLOOKUP(
        $A65,
        _xlfn._xlws.FILTER(
            INDIRECT("'"&amp;H$62&amp;"'!A2:G1000"), (INDIRECT("'"&amp;H$62&amp;"'!B2:B1000")=$B65) * (INDIRECT("'"&amp;H$62&amp;"'!C2:C1000")=$C65)
        ),
        5,
        FALSE
    )="",
    "",
    VLOOKUP(
        $A65,
        _xlfn._xlws.FILTER(
            INDIRECT("'"&amp;H$62&amp;"'!A2:G1000"), (INDIRECT("'"&amp;H$62&amp;"'!B2:B1000")=$B65) * (INDIRECT("'"&amp;H$62&amp;"'!C2:C1000")=$C65)
        ),
        7,
        FALSE
    )
)</f>
        <v>Sim</v>
      </c>
      <c r="I65" s="60" t="str">
        <f t="array" aca="1" ref="I65" ca="1">IF(
    VLOOKUP(
        $A65,
        _xlfn._xlws.FILTER(
            INDIRECT("'"&amp;I$62&amp;"'!A2:G1000"), (INDIRECT("'"&amp;I$62&amp;"'!B2:B1000")=$B65) * (INDIRECT("'"&amp;I$62&amp;"'!C2:C1000")=$C65)
        ),
        5,
        FALSE
    )="",
    "",
    VLOOKUP(
        $A65,
        _xlfn._xlws.FILTER(
            INDIRECT("'"&amp;I$62&amp;"'!A2:G1000"), (INDIRECT("'"&amp;I$62&amp;"'!B2:B1000")=$B65) * (INDIRECT("'"&amp;I$62&amp;"'!C2:C1000")=$C65)
        ),
        7,
        FALSE
    )
)</f>
        <v>Sim</v>
      </c>
      <c r="J65" s="60" t="str">
        <f t="array" aca="1" ref="J65" ca="1">IF(
    VLOOKUP(
        $A65,
        _xlfn._xlws.FILTER(
            INDIRECT("'"&amp;J$62&amp;"'!A2:G1000"), (INDIRECT("'"&amp;J$62&amp;"'!B2:B1000")=$B65) * (INDIRECT("'"&amp;J$62&amp;"'!C2:C1000")=$C65)
        ),
        5,
        FALSE
    )="",
    "",
    VLOOKUP(
        $A65,
        _xlfn._xlws.FILTER(
            INDIRECT("'"&amp;J$62&amp;"'!A2:G1000"), (INDIRECT("'"&amp;J$62&amp;"'!B2:B1000")=$B65) * (INDIRECT("'"&amp;J$62&amp;"'!C2:C1000")=$C65)
        ),
        7,
        FALSE
    )
)</f>
        <v>Sim</v>
      </c>
      <c r="K65" s="60" t="str">
        <f t="array" aca="1" ref="K65" ca="1">IF(
    VLOOKUP(
        $A65,
        _xlfn._xlws.FILTER(
            INDIRECT("'"&amp;K$62&amp;"'!A2:G1000"), (INDIRECT("'"&amp;K$62&amp;"'!B2:B1000")=$B65) * (INDIRECT("'"&amp;K$62&amp;"'!C2:C1000")=$C65)
        ),
        5,
        FALSE
    )="",
    "",
    VLOOKUP(
        $A65,
        _xlfn._xlws.FILTER(
            INDIRECT("'"&amp;K$62&amp;"'!A2:G1000"), (INDIRECT("'"&amp;K$62&amp;"'!B2:B1000")=$B65) * (INDIRECT("'"&amp;K$62&amp;"'!C2:C1000")=$C65)
        ),
        7,
        FALSE
    )
)</f>
        <v>Sim</v>
      </c>
      <c r="L65" s="60" t="str">
        <f t="array" aca="1" ref="L65" ca="1">IF(
    VLOOKUP(
        $A65,
        _xlfn._xlws.FILTER(
            INDIRECT("'"&amp;L$62&amp;"'!A2:G1000"), (INDIRECT("'"&amp;L$62&amp;"'!B2:B1000")=$B65) * (INDIRECT("'"&amp;L$62&amp;"'!C2:C1000")=$C65)
        ),
        5,
        FALSE
    )="",
    "",
    VLOOKUP(
        $A65,
        _xlfn._xlws.FILTER(
            INDIRECT("'"&amp;L$62&amp;"'!A2:G1000"), (INDIRECT("'"&amp;L$62&amp;"'!B2:B1000")=$B65) * (INDIRECT("'"&amp;L$62&amp;"'!C2:C1000")=$C65)
        ),
        7,
        FALSE
    )
)</f>
        <v>Sim</v>
      </c>
      <c r="M65" s="60" t="str">
        <f t="array" aca="1" ref="M65" ca="1">IF(
    VLOOKUP(
        $A65,
        _xlfn._xlws.FILTER(
            INDIRECT("'"&amp;M$62&amp;"'!A2:G1000"), (INDIRECT("'"&amp;M$62&amp;"'!B2:B1000")=$B65) * (INDIRECT("'"&amp;M$62&amp;"'!C2:C1000")=$C65)
        ),
        5,
        FALSE
    )="",
    "",
    VLOOKUP(
        $A65,
        _xlfn._xlws.FILTER(
            INDIRECT("'"&amp;M$62&amp;"'!A2:G1000"), (INDIRECT("'"&amp;M$62&amp;"'!B2:B1000")=$B65) * (INDIRECT("'"&amp;M$62&amp;"'!C2:C1000")=$C65)
        ),
        7,
        FALSE
    )
)</f>
        <v>Sim</v>
      </c>
      <c r="N65" s="60" t="str">
        <f t="array" aca="1" ref="N65" ca="1">IF(
    VLOOKUP(
        $A65,
        _xlfn._xlws.FILTER(
            INDIRECT("'"&amp;N$62&amp;"'!A2:G1000"), (INDIRECT("'"&amp;N$62&amp;"'!B2:B1000")=$B65) * (INDIRECT("'"&amp;N$62&amp;"'!C2:C1000")=$C65)
        ),
        5,
        FALSE
    )="",
    "",
    VLOOKUP(
        $A65,
        _xlfn._xlws.FILTER(
            INDIRECT("'"&amp;N$62&amp;"'!A2:G1000"), (INDIRECT("'"&amp;N$62&amp;"'!B2:B1000")=$B65) * (INDIRECT("'"&amp;N$62&amp;"'!C2:C1000")=$C65)
        ),
        7,
        FALSE
    )
)</f>
        <v>Não</v>
      </c>
      <c r="O65" s="60" t="str">
        <f t="array" aca="1" ref="O65" ca="1">IF(
    VLOOKUP(
        $A65,
        _xlfn._xlws.FILTER(
            INDIRECT("'"&amp;O$62&amp;"'!A2:G1000"), (INDIRECT("'"&amp;O$62&amp;"'!B2:B1000")=$B65) * (INDIRECT("'"&amp;O$62&amp;"'!C2:C1000")=$C65)
        ),
        5,
        FALSE
    )="",
    "",
    VLOOKUP(
        $A65,
        _xlfn._xlws.FILTER(
            INDIRECT("'"&amp;O$62&amp;"'!A2:G1000"), (INDIRECT("'"&amp;O$62&amp;"'!B2:B1000")=$B65) * (INDIRECT("'"&amp;O$62&amp;"'!C2:C1000")=$C65)
        ),
        7,
        FALSE
    )
)</f>
        <v/>
      </c>
      <c r="P65" s="60" t="str">
        <f t="array" aca="1" ref="P65" ca="1">IF(
    VLOOKUP(
        $A65,
        _xlfn._xlws.FILTER(
            INDIRECT("'"&amp;P$62&amp;"'!A2:G1000"), (INDIRECT("'"&amp;P$62&amp;"'!B2:B1000")=$B65) * (INDIRECT("'"&amp;P$62&amp;"'!C2:C1000")=$C65)
        ),
        5,
        FALSE
    )="",
    "",
    VLOOKUP(
        $A65,
        _xlfn._xlws.FILTER(
            INDIRECT("'"&amp;P$62&amp;"'!A2:G1000"), (INDIRECT("'"&amp;P$62&amp;"'!B2:B1000")=$B65) * (INDIRECT("'"&amp;P$62&amp;"'!C2:C1000")=$C65)
        ),
        7,
        FALSE
    )
)</f>
        <v/>
      </c>
      <c r="R65" s="89"/>
      <c r="S65" s="90" t="s">
        <v>37</v>
      </c>
      <c r="T65" s="91" t="s">
        <v>37</v>
      </c>
      <c r="U65" s="92"/>
    </row>
    <row r="66" spans="1:21">
      <c r="A66" s="81" t="s">
        <v>33</v>
      </c>
      <c r="B66" s="60" t="s">
        <v>129</v>
      </c>
      <c r="C66" s="60" t="s">
        <v>75</v>
      </c>
      <c r="D66" s="60" t="str">
        <f t="array" aca="1" ref="D66" ca="1">IF(
    VLOOKUP(
        $A66,
        _xlfn._xlws.FILTER(
            INDIRECT("'"&amp;D$62&amp;"'!A2:G1000"), (INDIRECT("'"&amp;D$62&amp;"'!B2:B1000")=$B66) * (INDIRECT("'"&amp;D$62&amp;"'!C2:C1000")=$C66)
        ),
        5,
        FALSE
    )="",
    "",
    VLOOKUP(
        $A66,
        _xlfn._xlws.FILTER(
            INDIRECT("'"&amp;D$62&amp;"'!A2:G1000"), (INDIRECT("'"&amp;D$62&amp;"'!B2:B1000")=$B66) * (INDIRECT("'"&amp;D$62&amp;"'!C2:C1000")=$C66)
        ),
        7,
        FALSE
    )
)</f>
        <v>Não</v>
      </c>
      <c r="E66" s="60" t="str">
        <f t="array" aca="1" ref="E66" ca="1">IF(
    VLOOKUP(
        $A66,
        _xlfn._xlws.FILTER(
            INDIRECT("'"&amp;E$62&amp;"'!A2:G1000"), (INDIRECT("'"&amp;E$62&amp;"'!B2:B1000")=$B66) * (INDIRECT("'"&amp;E$62&amp;"'!C2:C1000")=$C66)
        ),
        5,
        FALSE
    )="",
    "",
    VLOOKUP(
        $A66,
        _xlfn._xlws.FILTER(
            INDIRECT("'"&amp;E$62&amp;"'!A2:G1000"), (INDIRECT("'"&amp;E$62&amp;"'!B2:B1000")=$B66) * (INDIRECT("'"&amp;E$62&amp;"'!C2:C1000")=$C66)
        ),
        7,
        FALSE
    )
)</f>
        <v>Sim</v>
      </c>
      <c r="F66" s="60" t="str">
        <f t="array" aca="1" ref="F66" ca="1">IF(
    VLOOKUP(
        $A66,
        _xlfn._xlws.FILTER(
            INDIRECT("'"&amp;F$62&amp;"'!A2:G1000"), (INDIRECT("'"&amp;F$62&amp;"'!B2:B1000")=$B66) * (INDIRECT("'"&amp;F$62&amp;"'!C2:C1000")=$C66)
        ),
        5,
        FALSE
    )="",
    "",
    VLOOKUP(
        $A66,
        _xlfn._xlws.FILTER(
            INDIRECT("'"&amp;F$62&amp;"'!A2:G1000"), (INDIRECT("'"&amp;F$62&amp;"'!B2:B1000")=$B66) * (INDIRECT("'"&amp;F$62&amp;"'!C2:C1000")=$C66)
        ),
        7,
        FALSE
    )
)</f>
        <v>Sim</v>
      </c>
      <c r="G66" s="60" t="str">
        <f t="array" aca="1" ref="G66" ca="1">IF(
    VLOOKUP(
        $A66,
        _xlfn._xlws.FILTER(
            INDIRECT("'"&amp;G$62&amp;"'!A2:G1000"), (INDIRECT("'"&amp;G$62&amp;"'!B2:B1000")=$B66) * (INDIRECT("'"&amp;G$62&amp;"'!C2:C1000")=$C66)
        ),
        5,
        FALSE
    )="",
    "",
    VLOOKUP(
        $A66,
        _xlfn._xlws.FILTER(
            INDIRECT("'"&amp;G$62&amp;"'!A2:G1000"), (INDIRECT("'"&amp;G$62&amp;"'!B2:B1000")=$B66) * (INDIRECT("'"&amp;G$62&amp;"'!C2:C1000")=$C66)
        ),
        7,
        FALSE
    )
)</f>
        <v>Sim</v>
      </c>
      <c r="H66" s="60" t="str">
        <f t="array" aca="1" ref="H66" ca="1">IF(
    VLOOKUP(
        $A66,
        _xlfn._xlws.FILTER(
            INDIRECT("'"&amp;H$62&amp;"'!A2:G1000"), (INDIRECT("'"&amp;H$62&amp;"'!B2:B1000")=$B66) * (INDIRECT("'"&amp;H$62&amp;"'!C2:C1000")=$C66)
        ),
        5,
        FALSE
    )="",
    "",
    VLOOKUP(
        $A66,
        _xlfn._xlws.FILTER(
            INDIRECT("'"&amp;H$62&amp;"'!A2:G1000"), (INDIRECT("'"&amp;H$62&amp;"'!B2:B1000")=$B66) * (INDIRECT("'"&amp;H$62&amp;"'!C2:C1000")=$C66)
        ),
        7,
        FALSE
    )
)</f>
        <v>Sim</v>
      </c>
      <c r="I66" s="60" t="str">
        <f t="array" aca="1" ref="I66" ca="1">IF(
    VLOOKUP(
        $A66,
        _xlfn._xlws.FILTER(
            INDIRECT("'"&amp;I$62&amp;"'!A2:G1000"), (INDIRECT("'"&amp;I$62&amp;"'!B2:B1000")=$B66) * (INDIRECT("'"&amp;I$62&amp;"'!C2:C1000")=$C66)
        ),
        5,
        FALSE
    )="",
    "",
    VLOOKUP(
        $A66,
        _xlfn._xlws.FILTER(
            INDIRECT("'"&amp;I$62&amp;"'!A2:G1000"), (INDIRECT("'"&amp;I$62&amp;"'!B2:B1000")=$B66) * (INDIRECT("'"&amp;I$62&amp;"'!C2:C1000")=$C66)
        ),
        7,
        FALSE
    )
)</f>
        <v>Sim</v>
      </c>
      <c r="J66" s="60" t="str">
        <f t="array" aca="1" ref="J66" ca="1">IF(
    VLOOKUP(
        $A66,
        _xlfn._xlws.FILTER(
            INDIRECT("'"&amp;J$62&amp;"'!A2:G1000"), (INDIRECT("'"&amp;J$62&amp;"'!B2:B1000")=$B66) * (INDIRECT("'"&amp;J$62&amp;"'!C2:C1000")=$C66)
        ),
        5,
        FALSE
    )="",
    "",
    VLOOKUP(
        $A66,
        _xlfn._xlws.FILTER(
            INDIRECT("'"&amp;J$62&amp;"'!A2:G1000"), (INDIRECT("'"&amp;J$62&amp;"'!B2:B1000")=$B66) * (INDIRECT("'"&amp;J$62&amp;"'!C2:C1000")=$C66)
        ),
        7,
        FALSE
    )
)</f>
        <v>Não</v>
      </c>
      <c r="K66" s="60" t="str">
        <f t="array" aca="1" ref="K66" ca="1">IF(
    VLOOKUP(
        $A66,
        _xlfn._xlws.FILTER(
            INDIRECT("'"&amp;K$62&amp;"'!A2:G1000"), (INDIRECT("'"&amp;K$62&amp;"'!B2:B1000")=$B66) * (INDIRECT("'"&amp;K$62&amp;"'!C2:C1000")=$C66)
        ),
        5,
        FALSE
    )="",
    "",
    VLOOKUP(
        $A66,
        _xlfn._xlws.FILTER(
            INDIRECT("'"&amp;K$62&amp;"'!A2:G1000"), (INDIRECT("'"&amp;K$62&amp;"'!B2:B1000")=$B66) * (INDIRECT("'"&amp;K$62&amp;"'!C2:C1000")=$C66)
        ),
        7,
        FALSE
    )
)</f>
        <v>Sim</v>
      </c>
      <c r="L66" s="60" t="str">
        <f t="array" aca="1" ref="L66" ca="1">IF(
    VLOOKUP(
        $A66,
        _xlfn._xlws.FILTER(
            INDIRECT("'"&amp;L$62&amp;"'!A2:G1000"), (INDIRECT("'"&amp;L$62&amp;"'!B2:B1000")=$B66) * (INDIRECT("'"&amp;L$62&amp;"'!C2:C1000")=$C66)
        ),
        5,
        FALSE
    )="",
    "",
    VLOOKUP(
        $A66,
        _xlfn._xlws.FILTER(
            INDIRECT("'"&amp;L$62&amp;"'!A2:G1000"), (INDIRECT("'"&amp;L$62&amp;"'!B2:B1000")=$B66) * (INDIRECT("'"&amp;L$62&amp;"'!C2:C1000")=$C66)
        ),
        7,
        FALSE
    )
)</f>
        <v>Sim</v>
      </c>
      <c r="M66" s="60" t="str">
        <f t="array" aca="1" ref="M66" ca="1">IF(
    VLOOKUP(
        $A66,
        _xlfn._xlws.FILTER(
            INDIRECT("'"&amp;M$62&amp;"'!A2:G1000"), (INDIRECT("'"&amp;M$62&amp;"'!B2:B1000")=$B66) * (INDIRECT("'"&amp;M$62&amp;"'!C2:C1000")=$C66)
        ),
        5,
        FALSE
    )="",
    "",
    VLOOKUP(
        $A66,
        _xlfn._xlws.FILTER(
            INDIRECT("'"&amp;M$62&amp;"'!A2:G1000"), (INDIRECT("'"&amp;M$62&amp;"'!B2:B1000")=$B66) * (INDIRECT("'"&amp;M$62&amp;"'!C2:C1000")=$C66)
        ),
        7,
        FALSE
    )
)</f>
        <v>Sim</v>
      </c>
      <c r="N66" s="60" t="str">
        <f t="array" aca="1" ref="N66" ca="1">IF(
    VLOOKUP(
        $A66,
        _xlfn._xlws.FILTER(
            INDIRECT("'"&amp;N$62&amp;"'!A2:G1000"), (INDIRECT("'"&amp;N$62&amp;"'!B2:B1000")=$B66) * (INDIRECT("'"&amp;N$62&amp;"'!C2:C1000")=$C66)
        ),
        5,
        FALSE
    )="",
    "",
    VLOOKUP(
        $A66,
        _xlfn._xlws.FILTER(
            INDIRECT("'"&amp;N$62&amp;"'!A2:G1000"), (INDIRECT("'"&amp;N$62&amp;"'!B2:B1000")=$B66) * (INDIRECT("'"&amp;N$62&amp;"'!C2:C1000")=$C66)
        ),
        7,
        FALSE
    )
)</f>
        <v>Não</v>
      </c>
      <c r="O66" s="60" t="str">
        <f t="array" aca="1" ref="O66" ca="1">IF(
    VLOOKUP(
        $A66,
        _xlfn._xlws.FILTER(
            INDIRECT("'"&amp;O$62&amp;"'!A2:G1000"), (INDIRECT("'"&amp;O$62&amp;"'!B2:B1000")=$B66) * (INDIRECT("'"&amp;O$62&amp;"'!C2:C1000")=$C66)
        ),
        5,
        FALSE
    )="",
    "",
    VLOOKUP(
        $A66,
        _xlfn._xlws.FILTER(
            INDIRECT("'"&amp;O$62&amp;"'!A2:G1000"), (INDIRECT("'"&amp;O$62&amp;"'!B2:B1000")=$B66) * (INDIRECT("'"&amp;O$62&amp;"'!C2:C1000")=$C66)
        ),
        7,
        FALSE
    )
)</f>
        <v/>
      </c>
      <c r="P66" s="60" t="str">
        <f t="array" aca="1" ref="P66" ca="1">IF(
    VLOOKUP(
        $A66,
        _xlfn._xlws.FILTER(
            INDIRECT("'"&amp;P$62&amp;"'!A2:G1000"), (INDIRECT("'"&amp;P$62&amp;"'!B2:B1000")=$B66) * (INDIRECT("'"&amp;P$62&amp;"'!C2:C1000")=$C66)
        ),
        5,
        FALSE
    )="",
    "",
    VLOOKUP(
        $A66,
        _xlfn._xlws.FILTER(
            INDIRECT("'"&amp;P$62&amp;"'!A2:G1000"), (INDIRECT("'"&amp;P$62&amp;"'!B2:B1000")=$B66) * (INDIRECT("'"&amp;P$62&amp;"'!C2:C1000")=$C66)
        ),
        7,
        FALSE
    )
)</f>
        <v/>
      </c>
      <c r="R66" s="93"/>
      <c r="S66" s="94" t="s">
        <v>39</v>
      </c>
      <c r="T66" s="95" t="s">
        <v>39</v>
      </c>
      <c r="U66" s="96"/>
    </row>
    <row r="67" spans="1:21">
      <c r="A67" s="81" t="s">
        <v>33</v>
      </c>
      <c r="B67" s="60" t="s">
        <v>130</v>
      </c>
      <c r="C67" s="60" t="s">
        <v>75</v>
      </c>
      <c r="D67" s="60" t="str">
        <f t="array" aca="1" ref="D67" ca="1">IF(
    VLOOKUP(
        $A67,
        _xlfn._xlws.FILTER(
            INDIRECT("'"&amp;D$62&amp;"'!A2:G1000"), (INDIRECT("'"&amp;D$62&amp;"'!B2:B1000")=$B67) * (INDIRECT("'"&amp;D$62&amp;"'!C2:C1000")=$C67)
        ),
        5,
        FALSE
    )="",
    "",
    VLOOKUP(
        $A67,
        _xlfn._xlws.FILTER(
            INDIRECT("'"&amp;D$62&amp;"'!A2:G1000"), (INDIRECT("'"&amp;D$62&amp;"'!B2:B1000")=$B67) * (INDIRECT("'"&amp;D$62&amp;"'!C2:C1000")=$C67)
        ),
        7,
        FALSE
    )
)</f>
        <v>Sim</v>
      </c>
      <c r="E67" s="60" t="str">
        <f t="array" aca="1" ref="E67" ca="1">IF(
    VLOOKUP(
        $A67,
        _xlfn._xlws.FILTER(
            INDIRECT("'"&amp;E$62&amp;"'!A2:G1000"), (INDIRECT("'"&amp;E$62&amp;"'!B2:B1000")=$B67) * (INDIRECT("'"&amp;E$62&amp;"'!C2:C1000")=$C67)
        ),
        5,
        FALSE
    )="",
    "",
    VLOOKUP(
        $A67,
        _xlfn._xlws.FILTER(
            INDIRECT("'"&amp;E$62&amp;"'!A2:G1000"), (INDIRECT("'"&amp;E$62&amp;"'!B2:B1000")=$B67) * (INDIRECT("'"&amp;E$62&amp;"'!C2:C1000")=$C67)
        ),
        7,
        FALSE
    )
)</f>
        <v>Sim</v>
      </c>
      <c r="F67" s="60" t="str">
        <f t="array" aca="1" ref="F67" ca="1">IF(
    VLOOKUP(
        $A67,
        _xlfn._xlws.FILTER(
            INDIRECT("'"&amp;F$62&amp;"'!A2:G1000"), (INDIRECT("'"&amp;F$62&amp;"'!B2:B1000")=$B67) * (INDIRECT("'"&amp;F$62&amp;"'!C2:C1000")=$C67)
        ),
        5,
        FALSE
    )="",
    "",
    VLOOKUP(
        $A67,
        _xlfn._xlws.FILTER(
            INDIRECT("'"&amp;F$62&amp;"'!A2:G1000"), (INDIRECT("'"&amp;F$62&amp;"'!B2:B1000")=$B67) * (INDIRECT("'"&amp;F$62&amp;"'!C2:C1000")=$C67)
        ),
        7,
        FALSE
    )
)</f>
        <v>Sim</v>
      </c>
      <c r="G67" s="60" t="str">
        <f t="array" aca="1" ref="G67" ca="1">IF(
    VLOOKUP(
        $A67,
        _xlfn._xlws.FILTER(
            INDIRECT("'"&amp;G$62&amp;"'!A2:G1000"), (INDIRECT("'"&amp;G$62&amp;"'!B2:B1000")=$B67) * (INDIRECT("'"&amp;G$62&amp;"'!C2:C1000")=$C67)
        ),
        5,
        FALSE
    )="",
    "",
    VLOOKUP(
        $A67,
        _xlfn._xlws.FILTER(
            INDIRECT("'"&amp;G$62&amp;"'!A2:G1000"), (INDIRECT("'"&amp;G$62&amp;"'!B2:B1000")=$B67) * (INDIRECT("'"&amp;G$62&amp;"'!C2:C1000")=$C67)
        ),
        7,
        FALSE
    )
)</f>
        <v>Sim</v>
      </c>
      <c r="H67" s="60" t="str">
        <f t="array" aca="1" ref="H67" ca="1">IF(
    VLOOKUP(
        $A67,
        _xlfn._xlws.FILTER(
            INDIRECT("'"&amp;H$62&amp;"'!A2:G1000"), (INDIRECT("'"&amp;H$62&amp;"'!B2:B1000")=$B67) * (INDIRECT("'"&amp;H$62&amp;"'!C2:C1000")=$C67)
        ),
        5,
        FALSE
    )="",
    "",
    VLOOKUP(
        $A67,
        _xlfn._xlws.FILTER(
            INDIRECT("'"&amp;H$62&amp;"'!A2:G1000"), (INDIRECT("'"&amp;H$62&amp;"'!B2:B1000")=$B67) * (INDIRECT("'"&amp;H$62&amp;"'!C2:C1000")=$C67)
        ),
        7,
        FALSE
    )
)</f>
        <v>Sim</v>
      </c>
      <c r="I67" s="60" t="str">
        <f t="array" aca="1" ref="I67" ca="1">IF(
    VLOOKUP(
        $A67,
        _xlfn._xlws.FILTER(
            INDIRECT("'"&amp;I$62&amp;"'!A2:G1000"), (INDIRECT("'"&amp;I$62&amp;"'!B2:B1000")=$B67) * (INDIRECT("'"&amp;I$62&amp;"'!C2:C1000")=$C67)
        ),
        5,
        FALSE
    )="",
    "",
    VLOOKUP(
        $A67,
        _xlfn._xlws.FILTER(
            INDIRECT("'"&amp;I$62&amp;"'!A2:G1000"), (INDIRECT("'"&amp;I$62&amp;"'!B2:B1000")=$B67) * (INDIRECT("'"&amp;I$62&amp;"'!C2:C1000")=$C67)
        ),
        7,
        FALSE
    )
)</f>
        <v>Sim</v>
      </c>
      <c r="J67" s="60" t="str">
        <f t="array" aca="1" ref="J67" ca="1">IF(
    VLOOKUP(
        $A67,
        _xlfn._xlws.FILTER(
            INDIRECT("'"&amp;J$62&amp;"'!A2:G1000"), (INDIRECT("'"&amp;J$62&amp;"'!B2:B1000")=$B67) * (INDIRECT("'"&amp;J$62&amp;"'!C2:C1000")=$C67)
        ),
        5,
        FALSE
    )="",
    "",
    VLOOKUP(
        $A67,
        _xlfn._xlws.FILTER(
            INDIRECT("'"&amp;J$62&amp;"'!A2:G1000"), (INDIRECT("'"&amp;J$62&amp;"'!B2:B1000")=$B67) * (INDIRECT("'"&amp;J$62&amp;"'!C2:C1000")=$C67)
        ),
        7,
        FALSE
    )
)</f>
        <v>Sim</v>
      </c>
      <c r="K67" s="60" t="str">
        <f t="array" aca="1" ref="K67" ca="1">IF(
    VLOOKUP(
        $A67,
        _xlfn._xlws.FILTER(
            INDIRECT("'"&amp;K$62&amp;"'!A2:G1000"), (INDIRECT("'"&amp;K$62&amp;"'!B2:B1000")=$B67) * (INDIRECT("'"&amp;K$62&amp;"'!C2:C1000")=$C67)
        ),
        5,
        FALSE
    )="",
    "",
    VLOOKUP(
        $A67,
        _xlfn._xlws.FILTER(
            INDIRECT("'"&amp;K$62&amp;"'!A2:G1000"), (INDIRECT("'"&amp;K$62&amp;"'!B2:B1000")=$B67) * (INDIRECT("'"&amp;K$62&amp;"'!C2:C1000")=$C67)
        ),
        7,
        FALSE
    )
)</f>
        <v>Sim</v>
      </c>
      <c r="L67" s="60" t="str">
        <f t="array" aca="1" ref="L67" ca="1">IF(
    VLOOKUP(
        $A67,
        _xlfn._xlws.FILTER(
            INDIRECT("'"&amp;L$62&amp;"'!A2:G1000"), (INDIRECT("'"&amp;L$62&amp;"'!B2:B1000")=$B67) * (INDIRECT("'"&amp;L$62&amp;"'!C2:C1000")=$C67)
        ),
        5,
        FALSE
    )="",
    "",
    VLOOKUP(
        $A67,
        _xlfn._xlws.FILTER(
            INDIRECT("'"&amp;L$62&amp;"'!A2:G1000"), (INDIRECT("'"&amp;L$62&amp;"'!B2:B1000")=$B67) * (INDIRECT("'"&amp;L$62&amp;"'!C2:C1000")=$C67)
        ),
        7,
        FALSE
    )
)</f>
        <v>Sim</v>
      </c>
      <c r="M67" s="60" t="str">
        <f t="array" aca="1" ref="M67" ca="1">IF(
    VLOOKUP(
        $A67,
        _xlfn._xlws.FILTER(
            INDIRECT("'"&amp;M$62&amp;"'!A2:G1000"), (INDIRECT("'"&amp;M$62&amp;"'!B2:B1000")=$B67) * (INDIRECT("'"&amp;M$62&amp;"'!C2:C1000")=$C67)
        ),
        5,
        FALSE
    )="",
    "",
    VLOOKUP(
        $A67,
        _xlfn._xlws.FILTER(
            INDIRECT("'"&amp;M$62&amp;"'!A2:G1000"), (INDIRECT("'"&amp;M$62&amp;"'!B2:B1000")=$B67) * (INDIRECT("'"&amp;M$62&amp;"'!C2:C1000")=$C67)
        ),
        7,
        FALSE
    )
)</f>
        <v>Sim</v>
      </c>
      <c r="N67" s="60" t="str">
        <f t="array" aca="1" ref="N67" ca="1">IF(
    VLOOKUP(
        $A67,
        _xlfn._xlws.FILTER(
            INDIRECT("'"&amp;N$62&amp;"'!A2:G1000"), (INDIRECT("'"&amp;N$62&amp;"'!B2:B1000")=$B67) * (INDIRECT("'"&amp;N$62&amp;"'!C2:C1000")=$C67)
        ),
        5,
        FALSE
    )="",
    "",
    VLOOKUP(
        $A67,
        _xlfn._xlws.FILTER(
            INDIRECT("'"&amp;N$62&amp;"'!A2:G1000"), (INDIRECT("'"&amp;N$62&amp;"'!B2:B1000")=$B67) * (INDIRECT("'"&amp;N$62&amp;"'!C2:C1000")=$C67)
        ),
        7,
        FALSE
    )
)</f>
        <v>Sim</v>
      </c>
      <c r="O67" s="60" t="str">
        <f t="array" aca="1" ref="O67" ca="1">IF(
    VLOOKUP(
        $A67,
        _xlfn._xlws.FILTER(
            INDIRECT("'"&amp;O$62&amp;"'!A2:G1000"), (INDIRECT("'"&amp;O$62&amp;"'!B2:B1000")=$B67) * (INDIRECT("'"&amp;O$62&amp;"'!C2:C1000")=$C67)
        ),
        5,
        FALSE
    )="",
    "",
    VLOOKUP(
        $A67,
        _xlfn._xlws.FILTER(
            INDIRECT("'"&amp;O$62&amp;"'!A2:G1000"), (INDIRECT("'"&amp;O$62&amp;"'!B2:B1000")=$B67) * (INDIRECT("'"&amp;O$62&amp;"'!C2:C1000")=$C67)
        ),
        7,
        FALSE
    )
)</f>
        <v/>
      </c>
      <c r="P67" s="60" t="str">
        <f t="array" aca="1" ref="P67" ca="1">IF(
    VLOOKUP(
        $A67,
        _xlfn._xlws.FILTER(
            INDIRECT("'"&amp;P$62&amp;"'!A2:G1000"), (INDIRECT("'"&amp;P$62&amp;"'!B2:B1000")=$B67) * (INDIRECT("'"&amp;P$62&amp;"'!C2:C1000")=$C67)
        ),
        5,
        FALSE
    )="",
    "",
    VLOOKUP(
        $A67,
        _xlfn._xlws.FILTER(
            INDIRECT("'"&amp;P$62&amp;"'!A2:G1000"), (INDIRECT("'"&amp;P$62&amp;"'!B2:B1000")=$B67) * (INDIRECT("'"&amp;P$62&amp;"'!C2:C1000")=$C67)
        ),
        7,
        FALSE
    )
)</f>
        <v/>
      </c>
      <c r="R67" s="97"/>
      <c r="S67" s="98" t="s">
        <v>26</v>
      </c>
      <c r="T67" s="99" t="s">
        <v>26</v>
      </c>
      <c r="U67" s="100"/>
    </row>
    <row r="68" spans="1:21">
      <c r="A68" s="81" t="s">
        <v>33</v>
      </c>
      <c r="B68" s="60" t="s">
        <v>131</v>
      </c>
      <c r="C68" s="60" t="s">
        <v>75</v>
      </c>
      <c r="D68" s="60" t="str">
        <f t="array" aca="1" ref="D68" ca="1">IF(
    VLOOKUP(
        $A68,
        _xlfn._xlws.FILTER(
            INDIRECT("'"&amp;D$62&amp;"'!A2:G1000"), (INDIRECT("'"&amp;D$62&amp;"'!B2:B1000")=$B68) * (INDIRECT("'"&amp;D$62&amp;"'!C2:C1000")=$C68)
        ),
        5,
        FALSE
    )="",
    "",
    VLOOKUP(
        $A68,
        _xlfn._xlws.FILTER(
            INDIRECT("'"&amp;D$62&amp;"'!A2:G1000"), (INDIRECT("'"&amp;D$62&amp;"'!B2:B1000")=$B68) * (INDIRECT("'"&amp;D$62&amp;"'!C2:C1000")=$C68)
        ),
        7,
        FALSE
    )
)</f>
        <v>Sim</v>
      </c>
      <c r="E68" s="60" t="str">
        <f t="array" aca="1" ref="E68" ca="1">IF(
    VLOOKUP(
        $A68,
        _xlfn._xlws.FILTER(
            INDIRECT("'"&amp;E$62&amp;"'!A2:G1000"), (INDIRECT("'"&amp;E$62&amp;"'!B2:B1000")=$B68) * (INDIRECT("'"&amp;E$62&amp;"'!C2:C1000")=$C68)
        ),
        5,
        FALSE
    )="",
    "",
    VLOOKUP(
        $A68,
        _xlfn._xlws.FILTER(
            INDIRECT("'"&amp;E$62&amp;"'!A2:G1000"), (INDIRECT("'"&amp;E$62&amp;"'!B2:B1000")=$B68) * (INDIRECT("'"&amp;E$62&amp;"'!C2:C1000")=$C68)
        ),
        7,
        FALSE
    )
)</f>
        <v>Sim</v>
      </c>
      <c r="F68" s="60" t="str">
        <f t="array" aca="1" ref="F68" ca="1">IF(
    VLOOKUP(
        $A68,
        _xlfn._xlws.FILTER(
            INDIRECT("'"&amp;F$62&amp;"'!A2:G1000"), (INDIRECT("'"&amp;F$62&amp;"'!B2:B1000")=$B68) * (INDIRECT("'"&amp;F$62&amp;"'!C2:C1000")=$C68)
        ),
        5,
        FALSE
    )="",
    "",
    VLOOKUP(
        $A68,
        _xlfn._xlws.FILTER(
            INDIRECT("'"&amp;F$62&amp;"'!A2:G1000"), (INDIRECT("'"&amp;F$62&amp;"'!B2:B1000")=$B68) * (INDIRECT("'"&amp;F$62&amp;"'!C2:C1000")=$C68)
        ),
        7,
        FALSE
    )
)</f>
        <v>Sim</v>
      </c>
      <c r="G68" s="60" t="str">
        <f t="array" aca="1" ref="G68" ca="1">IF(
    VLOOKUP(
        $A68,
        _xlfn._xlws.FILTER(
            INDIRECT("'"&amp;G$62&amp;"'!A2:G1000"), (INDIRECT("'"&amp;G$62&amp;"'!B2:B1000")=$B68) * (INDIRECT("'"&amp;G$62&amp;"'!C2:C1000")=$C68)
        ),
        5,
        FALSE
    )="",
    "",
    VLOOKUP(
        $A68,
        _xlfn._xlws.FILTER(
            INDIRECT("'"&amp;G$62&amp;"'!A2:G1000"), (INDIRECT("'"&amp;G$62&amp;"'!B2:B1000")=$B68) * (INDIRECT("'"&amp;G$62&amp;"'!C2:C1000")=$C68)
        ),
        7,
        FALSE
    )
)</f>
        <v>Não</v>
      </c>
      <c r="H68" s="60" t="str">
        <f t="array" aca="1" ref="H68" ca="1">IF(
    VLOOKUP(
        $A68,
        _xlfn._xlws.FILTER(
            INDIRECT("'"&amp;H$62&amp;"'!A2:G1000"), (INDIRECT("'"&amp;H$62&amp;"'!B2:B1000")=$B68) * (INDIRECT("'"&amp;H$62&amp;"'!C2:C1000")=$C68)
        ),
        5,
        FALSE
    )="",
    "",
    VLOOKUP(
        $A68,
        _xlfn._xlws.FILTER(
            INDIRECT("'"&amp;H$62&amp;"'!A2:G1000"), (INDIRECT("'"&amp;H$62&amp;"'!B2:B1000")=$B68) * (INDIRECT("'"&amp;H$62&amp;"'!C2:C1000")=$C68)
        ),
        7,
        FALSE
    )
)</f>
        <v>Sim</v>
      </c>
      <c r="I68" s="60" t="str">
        <f t="array" aca="1" ref="I68" ca="1">IF(
    VLOOKUP(
        $A68,
        _xlfn._xlws.FILTER(
            INDIRECT("'"&amp;I$62&amp;"'!A2:G1000"), (INDIRECT("'"&amp;I$62&amp;"'!B2:B1000")=$B68) * (INDIRECT("'"&amp;I$62&amp;"'!C2:C1000")=$C68)
        ),
        5,
        FALSE
    )="",
    "",
    VLOOKUP(
        $A68,
        _xlfn._xlws.FILTER(
            INDIRECT("'"&amp;I$62&amp;"'!A2:G1000"), (INDIRECT("'"&amp;I$62&amp;"'!B2:B1000")=$B68) * (INDIRECT("'"&amp;I$62&amp;"'!C2:C1000")=$C68)
        ),
        7,
        FALSE
    )
)</f>
        <v>Sim</v>
      </c>
      <c r="J68" s="60" t="str">
        <f t="array" aca="1" ref="J68" ca="1">IF(
    VLOOKUP(
        $A68,
        _xlfn._xlws.FILTER(
            INDIRECT("'"&amp;J$62&amp;"'!A2:G1000"), (INDIRECT("'"&amp;J$62&amp;"'!B2:B1000")=$B68) * (INDIRECT("'"&amp;J$62&amp;"'!C2:C1000")=$C68)
        ),
        5,
        FALSE
    )="",
    "",
    VLOOKUP(
        $A68,
        _xlfn._xlws.FILTER(
            INDIRECT("'"&amp;J$62&amp;"'!A2:G1000"), (INDIRECT("'"&amp;J$62&amp;"'!B2:B1000")=$B68) * (INDIRECT("'"&amp;J$62&amp;"'!C2:C1000")=$C68)
        ),
        7,
        FALSE
    )
)</f>
        <v>Sim</v>
      </c>
      <c r="K68" s="60" t="str">
        <f t="array" aca="1" ref="K68" ca="1">IF(
    VLOOKUP(
        $A68,
        _xlfn._xlws.FILTER(
            INDIRECT("'"&amp;K$62&amp;"'!A2:G1000"), (INDIRECT("'"&amp;K$62&amp;"'!B2:B1000")=$B68) * (INDIRECT("'"&amp;K$62&amp;"'!C2:C1000")=$C68)
        ),
        5,
        FALSE
    )="",
    "",
    VLOOKUP(
        $A68,
        _xlfn._xlws.FILTER(
            INDIRECT("'"&amp;K$62&amp;"'!A2:G1000"), (INDIRECT("'"&amp;K$62&amp;"'!B2:B1000")=$B68) * (INDIRECT("'"&amp;K$62&amp;"'!C2:C1000")=$C68)
        ),
        7,
        FALSE
    )
)</f>
        <v>Sim</v>
      </c>
      <c r="L68" s="60" t="str">
        <f t="array" aca="1" ref="L68" ca="1">IF(
    VLOOKUP(
        $A68,
        _xlfn._xlws.FILTER(
            INDIRECT("'"&amp;L$62&amp;"'!A2:G1000"), (INDIRECT("'"&amp;L$62&amp;"'!B2:B1000")=$B68) * (INDIRECT("'"&amp;L$62&amp;"'!C2:C1000")=$C68)
        ),
        5,
        FALSE
    )="",
    "",
    VLOOKUP(
        $A68,
        _xlfn._xlws.FILTER(
            INDIRECT("'"&amp;L$62&amp;"'!A2:G1000"), (INDIRECT("'"&amp;L$62&amp;"'!B2:B1000")=$B68) * (INDIRECT("'"&amp;L$62&amp;"'!C2:C1000")=$C68)
        ),
        7,
        FALSE
    )
)</f>
        <v>Sim</v>
      </c>
      <c r="M68" s="60" t="str">
        <f t="array" aca="1" ref="M68" ca="1">IF(
    VLOOKUP(
        $A68,
        _xlfn._xlws.FILTER(
            INDIRECT("'"&amp;M$62&amp;"'!A2:G1000"), (INDIRECT("'"&amp;M$62&amp;"'!B2:B1000")=$B68) * (INDIRECT("'"&amp;M$62&amp;"'!C2:C1000")=$C68)
        ),
        5,
        FALSE
    )="",
    "",
    VLOOKUP(
        $A68,
        _xlfn._xlws.FILTER(
            INDIRECT("'"&amp;M$62&amp;"'!A2:G1000"), (INDIRECT("'"&amp;M$62&amp;"'!B2:B1000")=$B68) * (INDIRECT("'"&amp;M$62&amp;"'!C2:C1000")=$C68)
        ),
        7,
        FALSE
    )
)</f>
        <v>Sim</v>
      </c>
      <c r="N68" s="60" t="str">
        <f t="array" aca="1" ref="N68" ca="1">IF(
    VLOOKUP(
        $A68,
        _xlfn._xlws.FILTER(
            INDIRECT("'"&amp;N$62&amp;"'!A2:G1000"), (INDIRECT("'"&amp;N$62&amp;"'!B2:B1000")=$B68) * (INDIRECT("'"&amp;N$62&amp;"'!C2:C1000")=$C68)
        ),
        5,
        FALSE
    )="",
    "",
    VLOOKUP(
        $A68,
        _xlfn._xlws.FILTER(
            INDIRECT("'"&amp;N$62&amp;"'!A2:G1000"), (INDIRECT("'"&amp;N$62&amp;"'!B2:B1000")=$B68) * (INDIRECT("'"&amp;N$62&amp;"'!C2:C1000")=$C68)
        ),
        7,
        FALSE
    )
)</f>
        <v>Sim</v>
      </c>
      <c r="O68" s="60" t="str">
        <f t="array" aca="1" ref="O68" ca="1">IF(
    VLOOKUP(
        $A68,
        _xlfn._xlws.FILTER(
            INDIRECT("'"&amp;O$62&amp;"'!A2:G1000"), (INDIRECT("'"&amp;O$62&amp;"'!B2:B1000")=$B68) * (INDIRECT("'"&amp;O$62&amp;"'!C2:C1000")=$C68)
        ),
        5,
        FALSE
    )="",
    "",
    VLOOKUP(
        $A68,
        _xlfn._xlws.FILTER(
            INDIRECT("'"&amp;O$62&amp;"'!A2:G1000"), (INDIRECT("'"&amp;O$62&amp;"'!B2:B1000")=$B68) * (INDIRECT("'"&amp;O$62&amp;"'!C2:C1000")=$C68)
        ),
        7,
        FALSE
    )
)</f>
        <v/>
      </c>
      <c r="P68" s="60" t="str">
        <f t="array" aca="1" ref="P68" ca="1">IF(
    VLOOKUP(
        $A68,
        _xlfn._xlws.FILTER(
            INDIRECT("'"&amp;P$62&amp;"'!A2:G1000"), (INDIRECT("'"&amp;P$62&amp;"'!B2:B1000")=$B68) * (INDIRECT("'"&amp;P$62&amp;"'!C2:C1000")=$C68)
        ),
        5,
        FALSE
    )="",
    "",
    VLOOKUP(
        $A68,
        _xlfn._xlws.FILTER(
            INDIRECT("'"&amp;P$62&amp;"'!A2:G1000"), (INDIRECT("'"&amp;P$62&amp;"'!B2:B1000")=$B68) * (INDIRECT("'"&amp;P$62&amp;"'!C2:C1000")=$C68)
        ),
        7,
        FALSE
    )
)</f>
        <v/>
      </c>
      <c r="R68" s="101"/>
      <c r="S68" s="102" t="s">
        <v>42</v>
      </c>
      <c r="T68" s="103" t="s">
        <v>42</v>
      </c>
      <c r="U68" s="101"/>
    </row>
    <row r="69" spans="1:21">
      <c r="A69" s="81" t="s">
        <v>33</v>
      </c>
      <c r="B69" s="60" t="s">
        <v>132</v>
      </c>
      <c r="C69" s="60" t="s">
        <v>75</v>
      </c>
      <c r="D69" s="60" t="str">
        <f t="array" aca="1" ref="D69" ca="1">IF(
    VLOOKUP(
        $A69,
        _xlfn._xlws.FILTER(
            INDIRECT("'"&amp;D$62&amp;"'!A2:G1000"), (INDIRECT("'"&amp;D$62&amp;"'!B2:B1000")=$B69) * (INDIRECT("'"&amp;D$62&amp;"'!C2:C1000")=$C69)
        ),
        5,
        FALSE
    )="",
    "",
    VLOOKUP(
        $A69,
        _xlfn._xlws.FILTER(
            INDIRECT("'"&amp;D$62&amp;"'!A2:G1000"), (INDIRECT("'"&amp;D$62&amp;"'!B2:B1000")=$B69) * (INDIRECT("'"&amp;D$62&amp;"'!C2:C1000")=$C69)
        ),
        7,
        FALSE
    )
)</f>
        <v>Sim</v>
      </c>
      <c r="E69" s="60" t="str">
        <f t="array" aca="1" ref="E69" ca="1">IF(
    VLOOKUP(
        $A69,
        _xlfn._xlws.FILTER(
            INDIRECT("'"&amp;E$62&amp;"'!A2:G1000"), (INDIRECT("'"&amp;E$62&amp;"'!B2:B1000")=$B69) * (INDIRECT("'"&amp;E$62&amp;"'!C2:C1000")=$C69)
        ),
        5,
        FALSE
    )="",
    "",
    VLOOKUP(
        $A69,
        _xlfn._xlws.FILTER(
            INDIRECT("'"&amp;E$62&amp;"'!A2:G1000"), (INDIRECT("'"&amp;E$62&amp;"'!B2:B1000")=$B69) * (INDIRECT("'"&amp;E$62&amp;"'!C2:C1000")=$C69)
        ),
        7,
        FALSE
    )
)</f>
        <v>Sim</v>
      </c>
      <c r="F69" s="60" t="str">
        <f t="array" aca="1" ref="F69" ca="1">IF(
    VLOOKUP(
        $A69,
        _xlfn._xlws.FILTER(
            INDIRECT("'"&amp;F$62&amp;"'!A2:G1000"), (INDIRECT("'"&amp;F$62&amp;"'!B2:B1000")=$B69) * (INDIRECT("'"&amp;F$62&amp;"'!C2:C1000")=$C69)
        ),
        5,
        FALSE
    )="",
    "",
    VLOOKUP(
        $A69,
        _xlfn._xlws.FILTER(
            INDIRECT("'"&amp;F$62&amp;"'!A2:G1000"), (INDIRECT("'"&amp;F$62&amp;"'!B2:B1000")=$B69) * (INDIRECT("'"&amp;F$62&amp;"'!C2:C1000")=$C69)
        ),
        7,
        FALSE
    )
)</f>
        <v>Sim</v>
      </c>
      <c r="G69" s="60" t="str">
        <f t="array" aca="1" ref="G69" ca="1">IF(
    VLOOKUP(
        $A69,
        _xlfn._xlws.FILTER(
            INDIRECT("'"&amp;G$62&amp;"'!A2:G1000"), (INDIRECT("'"&amp;G$62&amp;"'!B2:B1000")=$B69) * (INDIRECT("'"&amp;G$62&amp;"'!C2:C1000")=$C69)
        ),
        5,
        FALSE
    )="",
    "",
    VLOOKUP(
        $A69,
        _xlfn._xlws.FILTER(
            INDIRECT("'"&amp;G$62&amp;"'!A2:G1000"), (INDIRECT("'"&amp;G$62&amp;"'!B2:B1000")=$B69) * (INDIRECT("'"&amp;G$62&amp;"'!C2:C1000")=$C69)
        ),
        7,
        FALSE
    )
)</f>
        <v>Sim</v>
      </c>
      <c r="H69" s="60" t="str">
        <f t="array" aca="1" ref="H69" ca="1">IF(
    VLOOKUP(
        $A69,
        _xlfn._xlws.FILTER(
            INDIRECT("'"&amp;H$62&amp;"'!A2:G1000"), (INDIRECT("'"&amp;H$62&amp;"'!B2:B1000")=$B69) * (INDIRECT("'"&amp;H$62&amp;"'!C2:C1000")=$C69)
        ),
        5,
        FALSE
    )="",
    "",
    VLOOKUP(
        $A69,
        _xlfn._xlws.FILTER(
            INDIRECT("'"&amp;H$62&amp;"'!A2:G1000"), (INDIRECT("'"&amp;H$62&amp;"'!B2:B1000")=$B69) * (INDIRECT("'"&amp;H$62&amp;"'!C2:C1000")=$C69)
        ),
        7,
        FALSE
    )
)</f>
        <v>Sim</v>
      </c>
      <c r="I69" s="60" t="str">
        <f t="array" aca="1" ref="I69" ca="1">IF(
    VLOOKUP(
        $A69,
        _xlfn._xlws.FILTER(
            INDIRECT("'"&amp;I$62&amp;"'!A2:G1000"), (INDIRECT("'"&amp;I$62&amp;"'!B2:B1000")=$B69) * (INDIRECT("'"&amp;I$62&amp;"'!C2:C1000")=$C69)
        ),
        5,
        FALSE
    )="",
    "",
    VLOOKUP(
        $A69,
        _xlfn._xlws.FILTER(
            INDIRECT("'"&amp;I$62&amp;"'!A2:G1000"), (INDIRECT("'"&amp;I$62&amp;"'!B2:B1000")=$B69) * (INDIRECT("'"&amp;I$62&amp;"'!C2:C1000")=$C69)
        ),
        7,
        FALSE
    )
)</f>
        <v>Sim</v>
      </c>
      <c r="J69" s="60" t="str">
        <f t="array" aca="1" ref="J69" ca="1">IF(
    VLOOKUP(
        $A69,
        _xlfn._xlws.FILTER(
            INDIRECT("'"&amp;J$62&amp;"'!A2:G1000"), (INDIRECT("'"&amp;J$62&amp;"'!B2:B1000")=$B69) * (INDIRECT("'"&amp;J$62&amp;"'!C2:C1000")=$C69)
        ),
        5,
        FALSE
    )="",
    "",
    VLOOKUP(
        $A69,
        _xlfn._xlws.FILTER(
            INDIRECT("'"&amp;J$62&amp;"'!A2:G1000"), (INDIRECT("'"&amp;J$62&amp;"'!B2:B1000")=$B69) * (INDIRECT("'"&amp;J$62&amp;"'!C2:C1000")=$C69)
        ),
        7,
        FALSE
    )
)</f>
        <v>Sim</v>
      </c>
      <c r="K69" s="60" t="str">
        <f t="array" aca="1" ref="K69" ca="1">IF(
    VLOOKUP(
        $A69,
        _xlfn._xlws.FILTER(
            INDIRECT("'"&amp;K$62&amp;"'!A2:G1000"), (INDIRECT("'"&amp;K$62&amp;"'!B2:B1000")=$B69) * (INDIRECT("'"&amp;K$62&amp;"'!C2:C1000")=$C69)
        ),
        5,
        FALSE
    )="",
    "",
    VLOOKUP(
        $A69,
        _xlfn._xlws.FILTER(
            INDIRECT("'"&amp;K$62&amp;"'!A2:G1000"), (INDIRECT("'"&amp;K$62&amp;"'!B2:B1000")=$B69) * (INDIRECT("'"&amp;K$62&amp;"'!C2:C1000")=$C69)
        ),
        7,
        FALSE
    )
)</f>
        <v>Sim</v>
      </c>
      <c r="L69" s="60" t="str">
        <f t="array" aca="1" ref="L69" ca="1">IF(
    VLOOKUP(
        $A69,
        _xlfn._xlws.FILTER(
            INDIRECT("'"&amp;L$62&amp;"'!A2:G1000"), (INDIRECT("'"&amp;L$62&amp;"'!B2:B1000")=$B69) * (INDIRECT("'"&amp;L$62&amp;"'!C2:C1000")=$C69)
        ),
        5,
        FALSE
    )="",
    "",
    VLOOKUP(
        $A69,
        _xlfn._xlws.FILTER(
            INDIRECT("'"&amp;L$62&amp;"'!A2:G1000"), (INDIRECT("'"&amp;L$62&amp;"'!B2:B1000")=$B69) * (INDIRECT("'"&amp;L$62&amp;"'!C2:C1000")=$C69)
        ),
        7,
        FALSE
    )
)</f>
        <v>Sim</v>
      </c>
      <c r="M69" s="60" t="str">
        <f t="array" aca="1" ref="M69" ca="1">IF(
    VLOOKUP(
        $A69,
        _xlfn._xlws.FILTER(
            INDIRECT("'"&amp;M$62&amp;"'!A2:G1000"), (INDIRECT("'"&amp;M$62&amp;"'!B2:B1000")=$B69) * (INDIRECT("'"&amp;M$62&amp;"'!C2:C1000")=$C69)
        ),
        5,
        FALSE
    )="",
    "",
    VLOOKUP(
        $A69,
        _xlfn._xlws.FILTER(
            INDIRECT("'"&amp;M$62&amp;"'!A2:G1000"), (INDIRECT("'"&amp;M$62&amp;"'!B2:B1000")=$B69) * (INDIRECT("'"&amp;M$62&amp;"'!C2:C1000")=$C69)
        ),
        7,
        FALSE
    )
)</f>
        <v>Sim</v>
      </c>
      <c r="N69" s="60" t="str">
        <f t="array" aca="1" ref="N69" ca="1">IF(
    VLOOKUP(
        $A69,
        _xlfn._xlws.FILTER(
            INDIRECT("'"&amp;N$62&amp;"'!A2:G1000"), (INDIRECT("'"&amp;N$62&amp;"'!B2:B1000")=$B69) * (INDIRECT("'"&amp;N$62&amp;"'!C2:C1000")=$C69)
        ),
        5,
        FALSE
    )="",
    "",
    VLOOKUP(
        $A69,
        _xlfn._xlws.FILTER(
            INDIRECT("'"&amp;N$62&amp;"'!A2:G1000"), (INDIRECT("'"&amp;N$62&amp;"'!B2:B1000")=$B69) * (INDIRECT("'"&amp;N$62&amp;"'!C2:C1000")=$C69)
        ),
        7,
        FALSE
    )
)</f>
        <v>Sim</v>
      </c>
      <c r="O69" s="60" t="str">
        <f t="array" aca="1" ref="O69" ca="1">IF(
    VLOOKUP(
        $A69,
        _xlfn._xlws.FILTER(
            INDIRECT("'"&amp;O$62&amp;"'!A2:G1000"), (INDIRECT("'"&amp;O$62&amp;"'!B2:B1000")=$B69) * (INDIRECT("'"&amp;O$62&amp;"'!C2:C1000")=$C69)
        ),
        5,
        FALSE
    )="",
    "",
    VLOOKUP(
        $A69,
        _xlfn._xlws.FILTER(
            INDIRECT("'"&amp;O$62&amp;"'!A2:G1000"), (INDIRECT("'"&amp;O$62&amp;"'!B2:B1000")=$B69) * (INDIRECT("'"&amp;O$62&amp;"'!C2:C1000")=$C69)
        ),
        7,
        FALSE
    )
)</f>
        <v/>
      </c>
      <c r="P69" s="60" t="str">
        <f t="array" aca="1" ref="P69" ca="1">IF(
    VLOOKUP(
        $A69,
        _xlfn._xlws.FILTER(
            INDIRECT("'"&amp;P$62&amp;"'!A2:G1000"), (INDIRECT("'"&amp;P$62&amp;"'!B2:B1000")=$B69) * (INDIRECT("'"&amp;P$62&amp;"'!C2:C1000")=$C69)
        ),
        5,
        FALSE
    )="",
    "",
    VLOOKUP(
        $A69,
        _xlfn._xlws.FILTER(
            INDIRECT("'"&amp;P$62&amp;"'!A2:G1000"), (INDIRECT("'"&amp;P$62&amp;"'!B2:B1000")=$B69) * (INDIRECT("'"&amp;P$62&amp;"'!C2:C1000")=$C69)
        ),
        7,
        FALSE
    )
)</f>
        <v/>
      </c>
      <c r="R69" s="104"/>
      <c r="S69" s="105" t="s">
        <v>43</v>
      </c>
      <c r="T69" s="105" t="s">
        <v>43</v>
      </c>
      <c r="U69" s="106"/>
    </row>
    <row r="70" spans="1:21">
      <c r="A70" s="81" t="s">
        <v>33</v>
      </c>
      <c r="B70" s="60" t="s">
        <v>133</v>
      </c>
      <c r="C70" s="60" t="s">
        <v>75</v>
      </c>
      <c r="D70" s="60" t="str">
        <f t="array" aca="1" ref="D70" ca="1">IF(
    VLOOKUP(
        $A70,
        _xlfn._xlws.FILTER(
            INDIRECT("'"&amp;D$62&amp;"'!A2:G1000"), (INDIRECT("'"&amp;D$62&amp;"'!B2:B1000")=$B70) * (INDIRECT("'"&amp;D$62&amp;"'!C2:C1000")=$C70)
        ),
        5,
        FALSE
    )="",
    "",
    VLOOKUP(
        $A70,
        _xlfn._xlws.FILTER(
            INDIRECT("'"&amp;D$62&amp;"'!A2:G1000"), (INDIRECT("'"&amp;D$62&amp;"'!B2:B1000")=$B70) * (INDIRECT("'"&amp;D$62&amp;"'!C2:C1000")=$C70)
        ),
        7,
        FALSE
    )
)</f>
        <v>Sim</v>
      </c>
      <c r="E70" s="60" t="str">
        <f t="array" aca="1" ref="E70" ca="1">IF(
    VLOOKUP(
        $A70,
        _xlfn._xlws.FILTER(
            INDIRECT("'"&amp;E$62&amp;"'!A2:G1000"), (INDIRECT("'"&amp;E$62&amp;"'!B2:B1000")=$B70) * (INDIRECT("'"&amp;E$62&amp;"'!C2:C1000")=$C70)
        ),
        5,
        FALSE
    )="",
    "",
    VLOOKUP(
        $A70,
        _xlfn._xlws.FILTER(
            INDIRECT("'"&amp;E$62&amp;"'!A2:G1000"), (INDIRECT("'"&amp;E$62&amp;"'!B2:B1000")=$B70) * (INDIRECT("'"&amp;E$62&amp;"'!C2:C1000")=$C70)
        ),
        7,
        FALSE
    )
)</f>
        <v>Sim</v>
      </c>
      <c r="F70" s="60" t="str">
        <f t="array" aca="1" ref="F70" ca="1">IF(
    VLOOKUP(
        $A70,
        _xlfn._xlws.FILTER(
            INDIRECT("'"&amp;F$62&amp;"'!A2:G1000"), (INDIRECT("'"&amp;F$62&amp;"'!B2:B1000")=$B70) * (INDIRECT("'"&amp;F$62&amp;"'!C2:C1000")=$C70)
        ),
        5,
        FALSE
    )="",
    "",
    VLOOKUP(
        $A70,
        _xlfn._xlws.FILTER(
            INDIRECT("'"&amp;F$62&amp;"'!A2:G1000"), (INDIRECT("'"&amp;F$62&amp;"'!B2:B1000")=$B70) * (INDIRECT("'"&amp;F$62&amp;"'!C2:C1000")=$C70)
        ),
        7,
        FALSE
    )
)</f>
        <v>Sim</v>
      </c>
      <c r="G70" s="60" t="str">
        <f t="array" aca="1" ref="G70" ca="1">IF(
    VLOOKUP(
        $A70,
        _xlfn._xlws.FILTER(
            INDIRECT("'"&amp;G$62&amp;"'!A2:G1000"), (INDIRECT("'"&amp;G$62&amp;"'!B2:B1000")=$B70) * (INDIRECT("'"&amp;G$62&amp;"'!C2:C1000")=$C70)
        ),
        5,
        FALSE
    )="",
    "",
    VLOOKUP(
        $A70,
        _xlfn._xlws.FILTER(
            INDIRECT("'"&amp;G$62&amp;"'!A2:G1000"), (INDIRECT("'"&amp;G$62&amp;"'!B2:B1000")=$B70) * (INDIRECT("'"&amp;G$62&amp;"'!C2:C1000")=$C70)
        ),
        7,
        FALSE
    )
)</f>
        <v>Sim</v>
      </c>
      <c r="H70" s="60" t="str">
        <f t="array" aca="1" ref="H70" ca="1">IF(
    VLOOKUP(
        $A70,
        _xlfn._xlws.FILTER(
            INDIRECT("'"&amp;H$62&amp;"'!A2:G1000"), (INDIRECT("'"&amp;H$62&amp;"'!B2:B1000")=$B70) * (INDIRECT("'"&amp;H$62&amp;"'!C2:C1000")=$C70)
        ),
        5,
        FALSE
    )="",
    "",
    VLOOKUP(
        $A70,
        _xlfn._xlws.FILTER(
            INDIRECT("'"&amp;H$62&amp;"'!A2:G1000"), (INDIRECT("'"&amp;H$62&amp;"'!B2:B1000")=$B70) * (INDIRECT("'"&amp;H$62&amp;"'!C2:C1000")=$C70)
        ),
        7,
        FALSE
    )
)</f>
        <v>Sim</v>
      </c>
      <c r="I70" s="60" t="str">
        <f t="array" aca="1" ref="I70" ca="1">IF(
    VLOOKUP(
        $A70,
        _xlfn._xlws.FILTER(
            INDIRECT("'"&amp;I$62&amp;"'!A2:G1000"), (INDIRECT("'"&amp;I$62&amp;"'!B2:B1000")=$B70) * (INDIRECT("'"&amp;I$62&amp;"'!C2:C1000")=$C70)
        ),
        5,
        FALSE
    )="",
    "",
    VLOOKUP(
        $A70,
        _xlfn._xlws.FILTER(
            INDIRECT("'"&amp;I$62&amp;"'!A2:G1000"), (INDIRECT("'"&amp;I$62&amp;"'!B2:B1000")=$B70) * (INDIRECT("'"&amp;I$62&amp;"'!C2:C1000")=$C70)
        ),
        7,
        FALSE
    )
)</f>
        <v>Sim</v>
      </c>
      <c r="J70" s="60" t="str">
        <f t="array" aca="1" ref="J70" ca="1">IF(
    VLOOKUP(
        $A70,
        _xlfn._xlws.FILTER(
            INDIRECT("'"&amp;J$62&amp;"'!A2:G1000"), (INDIRECT("'"&amp;J$62&amp;"'!B2:B1000")=$B70) * (INDIRECT("'"&amp;J$62&amp;"'!C2:C1000")=$C70)
        ),
        5,
        FALSE
    )="",
    "",
    VLOOKUP(
        $A70,
        _xlfn._xlws.FILTER(
            INDIRECT("'"&amp;J$62&amp;"'!A2:G1000"), (INDIRECT("'"&amp;J$62&amp;"'!B2:B1000")=$B70) * (INDIRECT("'"&amp;J$62&amp;"'!C2:C1000")=$C70)
        ),
        7,
        FALSE
    )
)</f>
        <v>Sim</v>
      </c>
      <c r="K70" s="60" t="str">
        <f t="array" aca="1" ref="K70" ca="1">IF(
    VLOOKUP(
        $A70,
        _xlfn._xlws.FILTER(
            INDIRECT("'"&amp;K$62&amp;"'!A2:G1000"), (INDIRECT("'"&amp;K$62&amp;"'!B2:B1000")=$B70) * (INDIRECT("'"&amp;K$62&amp;"'!C2:C1000")=$C70)
        ),
        5,
        FALSE
    )="",
    "",
    VLOOKUP(
        $A70,
        _xlfn._xlws.FILTER(
            INDIRECT("'"&amp;K$62&amp;"'!A2:G1000"), (INDIRECT("'"&amp;K$62&amp;"'!B2:B1000")=$B70) * (INDIRECT("'"&amp;K$62&amp;"'!C2:C1000")=$C70)
        ),
        7,
        FALSE
    )
)</f>
        <v>Sim</v>
      </c>
      <c r="L70" s="60" t="str">
        <f t="array" aca="1" ref="L70" ca="1">IF(
    VLOOKUP(
        $A70,
        _xlfn._xlws.FILTER(
            INDIRECT("'"&amp;L$62&amp;"'!A2:G1000"), (INDIRECT("'"&amp;L$62&amp;"'!B2:B1000")=$B70) * (INDIRECT("'"&amp;L$62&amp;"'!C2:C1000")=$C70)
        ),
        5,
        FALSE
    )="",
    "",
    VLOOKUP(
        $A70,
        _xlfn._xlws.FILTER(
            INDIRECT("'"&amp;L$62&amp;"'!A2:G1000"), (INDIRECT("'"&amp;L$62&amp;"'!B2:B1000")=$B70) * (INDIRECT("'"&amp;L$62&amp;"'!C2:C1000")=$C70)
        ),
        7,
        FALSE
    )
)</f>
        <v>Sim</v>
      </c>
      <c r="M70" s="60" t="str">
        <f t="array" aca="1" ref="M70" ca="1">IF(
    VLOOKUP(
        $A70,
        _xlfn._xlws.FILTER(
            INDIRECT("'"&amp;M$62&amp;"'!A2:G1000"), (INDIRECT("'"&amp;M$62&amp;"'!B2:B1000")=$B70) * (INDIRECT("'"&amp;M$62&amp;"'!C2:C1000")=$C70)
        ),
        5,
        FALSE
    )="",
    "",
    VLOOKUP(
        $A70,
        _xlfn._xlws.FILTER(
            INDIRECT("'"&amp;M$62&amp;"'!A2:G1000"), (INDIRECT("'"&amp;M$62&amp;"'!B2:B1000")=$B70) * (INDIRECT("'"&amp;M$62&amp;"'!C2:C1000")=$C70)
        ),
        7,
        FALSE
    )
)</f>
        <v>Sim</v>
      </c>
      <c r="N70" s="60" t="str">
        <f t="array" aca="1" ref="N70" ca="1">IF(
    VLOOKUP(
        $A70,
        _xlfn._xlws.FILTER(
            INDIRECT("'"&amp;N$62&amp;"'!A2:G1000"), (INDIRECT("'"&amp;N$62&amp;"'!B2:B1000")=$B70) * (INDIRECT("'"&amp;N$62&amp;"'!C2:C1000")=$C70)
        ),
        5,
        FALSE
    )="",
    "",
    VLOOKUP(
        $A70,
        _xlfn._xlws.FILTER(
            INDIRECT("'"&amp;N$62&amp;"'!A2:G1000"), (INDIRECT("'"&amp;N$62&amp;"'!B2:B1000")=$B70) * (INDIRECT("'"&amp;N$62&amp;"'!C2:C1000")=$C70)
        ),
        7,
        FALSE
    )
)</f>
        <v>Sim</v>
      </c>
      <c r="O70" s="60" t="str">
        <f t="array" aca="1" ref="O70" ca="1">IF(
    VLOOKUP(
        $A70,
        _xlfn._xlws.FILTER(
            INDIRECT("'"&amp;O$62&amp;"'!A2:G1000"), (INDIRECT("'"&amp;O$62&amp;"'!B2:B1000")=$B70) * (INDIRECT("'"&amp;O$62&amp;"'!C2:C1000")=$C70)
        ),
        5,
        FALSE
    )="",
    "",
    VLOOKUP(
        $A70,
        _xlfn._xlws.FILTER(
            INDIRECT("'"&amp;O$62&amp;"'!A2:G1000"), (INDIRECT("'"&amp;O$62&amp;"'!B2:B1000")=$B70) * (INDIRECT("'"&amp;O$62&amp;"'!C2:C1000")=$C70)
        ),
        7,
        FALSE
    )
)</f>
        <v/>
      </c>
      <c r="P70" s="60" t="str">
        <f t="array" aca="1" ref="P70" ca="1">IF(
    VLOOKUP(
        $A70,
        _xlfn._xlws.FILTER(
            INDIRECT("'"&amp;P$62&amp;"'!A2:G1000"), (INDIRECT("'"&amp;P$62&amp;"'!B2:B1000")=$B70) * (INDIRECT("'"&amp;P$62&amp;"'!C2:C1000")=$C70)
        ),
        5,
        FALSE
    )="",
    "",
    VLOOKUP(
        $A70,
        _xlfn._xlws.FILTER(
            INDIRECT("'"&amp;P$62&amp;"'!A2:G1000"), (INDIRECT("'"&amp;P$62&amp;"'!B2:B1000")=$B70) * (INDIRECT("'"&amp;P$62&amp;"'!C2:C1000")=$C70)
        ),
        7,
        FALSE
    )
)</f>
        <v/>
      </c>
    </row>
  </sheetData>
  <conditionalFormatting sqref="D64:P70 E63:P63">
    <cfRule type="cellIs" dxfId="273" priority="109" operator="equal">
      <formula>"Duplicado"</formula>
    </cfRule>
    <cfRule type="cellIs" dxfId="272" priority="110" operator="equal">
      <formula>"UVR Sem Técnico"</formula>
    </cfRule>
    <cfRule type="cellIs" dxfId="271" priority="111" operator="equal">
      <formula>"Outras Ocorrências"</formula>
    </cfRule>
    <cfRule type="cellIs" dxfId="270" priority="112" operator="equal">
      <formula>"Atrasado &gt;= 2"</formula>
    </cfRule>
    <cfRule type="cellIs" dxfId="269" priority="113" operator="equal">
      <formula>"Atrasado"</formula>
    </cfRule>
    <cfRule type="cellIs" dxfId="268" priority="114" operator="equal">
      <formula>"Enviado"</formula>
    </cfRule>
    <cfRule type="cellIs" dxfId="267" priority="139" operator="equal">
      <formula>"Duplicado"</formula>
    </cfRule>
    <cfRule type="cellIs" dxfId="266" priority="140" operator="equal">
      <formula>"UVR Sem Técnico"</formula>
    </cfRule>
    <cfRule type="cellIs" dxfId="265" priority="141" operator="equal">
      <formula>"Outras Ocorrências"</formula>
    </cfRule>
    <cfRule type="cellIs" dxfId="264" priority="142" operator="equal">
      <formula>"Atrasado &gt;= 2"</formula>
    </cfRule>
    <cfRule type="cellIs" dxfId="263" priority="143" operator="equal">
      <formula>"Atrasado"</formula>
    </cfRule>
    <cfRule type="cellIs" dxfId="262" priority="144" operator="equal">
      <formula>"Enviado"</formula>
    </cfRule>
  </conditionalFormatting>
  <conditionalFormatting sqref="M63:M70">
    <cfRule type="cellIs" dxfId="261" priority="133" operator="equal">
      <formula>"Duplicado"</formula>
    </cfRule>
    <cfRule type="cellIs" dxfId="260" priority="134" operator="equal">
      <formula>"UVR Sem Técnico"</formula>
    </cfRule>
    <cfRule type="cellIs" dxfId="259" priority="135" operator="equal">
      <formula>"Outras Ocorrências"</formula>
    </cfRule>
    <cfRule type="cellIs" dxfId="258" priority="136" operator="equal">
      <formula>"Atrasado &gt;= 2"</formula>
    </cfRule>
    <cfRule type="cellIs" dxfId="257" priority="137" operator="equal">
      <formula>"Atrasado"</formula>
    </cfRule>
    <cfRule type="cellIs" dxfId="256" priority="138" operator="equal">
      <formula>"Enviado"</formula>
    </cfRule>
  </conditionalFormatting>
  <conditionalFormatting sqref="N63:N70">
    <cfRule type="cellIs" dxfId="255" priority="127" operator="equal">
      <formula>"Duplicado"</formula>
    </cfRule>
    <cfRule type="cellIs" dxfId="254" priority="128" operator="equal">
      <formula>"UVR Sem Técnico"</formula>
    </cfRule>
    <cfRule type="cellIs" dxfId="253" priority="129" operator="equal">
      <formula>"Outras Ocorrências"</formula>
    </cfRule>
    <cfRule type="cellIs" dxfId="252" priority="130" operator="equal">
      <formula>"Atrasado &gt;= 2"</formula>
    </cfRule>
    <cfRule type="cellIs" dxfId="251" priority="131" operator="equal">
      <formula>"Atrasado"</formula>
    </cfRule>
    <cfRule type="cellIs" dxfId="250" priority="132" operator="equal">
      <formula>"Enviado"</formula>
    </cfRule>
  </conditionalFormatting>
  <conditionalFormatting sqref="O63:O70">
    <cfRule type="cellIs" dxfId="249" priority="121" operator="equal">
      <formula>"Duplicado"</formula>
    </cfRule>
    <cfRule type="cellIs" dxfId="248" priority="122" operator="equal">
      <formula>"UVR Sem Técnico"</formula>
    </cfRule>
    <cfRule type="cellIs" dxfId="247" priority="123" operator="equal">
      <formula>"Outras Ocorrências"</formula>
    </cfRule>
    <cfRule type="cellIs" dxfId="246" priority="124" operator="equal">
      <formula>"Atrasado &gt;= 2"</formula>
    </cfRule>
    <cfRule type="cellIs" dxfId="245" priority="125" operator="equal">
      <formula>"Atrasado"</formula>
    </cfRule>
    <cfRule type="cellIs" dxfId="244" priority="126" operator="equal">
      <formula>"Enviado"</formula>
    </cfRule>
  </conditionalFormatting>
  <conditionalFormatting sqref="P63:P70">
    <cfRule type="cellIs" dxfId="243" priority="115" operator="equal">
      <formula>"Duplicado"</formula>
    </cfRule>
    <cfRule type="cellIs" dxfId="242" priority="116" operator="equal">
      <formula>"UVR Sem Técnico"</formula>
    </cfRule>
    <cfRule type="cellIs" dxfId="241" priority="117" operator="equal">
      <formula>"Outras Ocorrências"</formula>
    </cfRule>
    <cfRule type="cellIs" dxfId="240" priority="118" operator="equal">
      <formula>"Atrasado &gt;= 2"</formula>
    </cfRule>
    <cfRule type="cellIs" dxfId="239" priority="119" operator="equal">
      <formula>"Atrasado"</formula>
    </cfRule>
    <cfRule type="cellIs" dxfId="238" priority="120" operator="equal">
      <formula>"Enviado"</formula>
    </cfRule>
  </conditionalFormatting>
  <conditionalFormatting sqref="D63:P70">
    <cfRule type="cellIs" dxfId="237" priority="101" operator="equal">
      <formula>"Sim"</formula>
    </cfRule>
    <cfRule type="cellIs" dxfId="236" priority="102" operator="equal">
      <formula>"Não"</formula>
    </cfRule>
  </conditionalFormatting>
  <conditionalFormatting sqref="D2:P14">
    <cfRule type="cellIs" dxfId="235" priority="99" operator="equal">
      <formula>"Sim"</formula>
    </cfRule>
    <cfRule type="cellIs" dxfId="234" priority="100" operator="equal">
      <formula>"Não"</formula>
    </cfRule>
  </conditionalFormatting>
  <conditionalFormatting sqref="D17:P25">
    <cfRule type="cellIs" dxfId="233" priority="97" operator="equal">
      <formula>"Sim"</formula>
    </cfRule>
    <cfRule type="cellIs" dxfId="232" priority="98" operator="equal">
      <formula>"Não"</formula>
    </cfRule>
  </conditionalFormatting>
  <conditionalFormatting sqref="D28:P30">
    <cfRule type="cellIs" dxfId="231" priority="95" operator="equal">
      <formula>"Sim"</formula>
    </cfRule>
    <cfRule type="cellIs" dxfId="230" priority="96" operator="equal">
      <formula>"Não"</formula>
    </cfRule>
  </conditionalFormatting>
  <conditionalFormatting sqref="D43:P50">
    <cfRule type="cellIs" dxfId="229" priority="93" operator="equal">
      <formula>"Sim"</formula>
    </cfRule>
    <cfRule type="cellIs" dxfId="228" priority="94" operator="equal">
      <formula>"Não"</formula>
    </cfRule>
  </conditionalFormatting>
  <conditionalFormatting sqref="D53:P60">
    <cfRule type="cellIs" dxfId="227" priority="91" operator="equal">
      <formula>"Sim"</formula>
    </cfRule>
    <cfRule type="cellIs" dxfId="226" priority="92" operator="equal">
      <formula>"Não"</formula>
    </cfRule>
  </conditionalFormatting>
  <conditionalFormatting sqref="D33:D40">
    <cfRule type="cellIs" dxfId="225" priority="89" operator="equal">
      <formula>"Sim"</formula>
    </cfRule>
    <cfRule type="cellIs" dxfId="224" priority="90" operator="equal">
      <formula>"Não"</formula>
    </cfRule>
  </conditionalFormatting>
  <conditionalFormatting sqref="E33">
    <cfRule type="cellIs" dxfId="223" priority="87" operator="equal">
      <formula>"Sim"</formula>
    </cfRule>
    <cfRule type="cellIs" dxfId="222" priority="88" operator="equal">
      <formula>"Não"</formula>
    </cfRule>
  </conditionalFormatting>
  <conditionalFormatting sqref="E34">
    <cfRule type="cellIs" dxfId="221" priority="85" operator="equal">
      <formula>"Sim"</formula>
    </cfRule>
    <cfRule type="cellIs" dxfId="220" priority="86" operator="equal">
      <formula>"Não"</formula>
    </cfRule>
  </conditionalFormatting>
  <conditionalFormatting sqref="E35">
    <cfRule type="cellIs" dxfId="219" priority="83" operator="equal">
      <formula>"Sim"</formula>
    </cfRule>
    <cfRule type="cellIs" dxfId="218" priority="84" operator="equal">
      <formula>"Não"</formula>
    </cfRule>
  </conditionalFormatting>
  <conditionalFormatting sqref="E36">
    <cfRule type="cellIs" dxfId="217" priority="81" operator="equal">
      <formula>"Sim"</formula>
    </cfRule>
    <cfRule type="cellIs" dxfId="216" priority="82" operator="equal">
      <formula>"Não"</formula>
    </cfRule>
  </conditionalFormatting>
  <conditionalFormatting sqref="E37">
    <cfRule type="cellIs" dxfId="215" priority="79" operator="equal">
      <formula>"Sim"</formula>
    </cfRule>
    <cfRule type="cellIs" dxfId="214" priority="80" operator="equal">
      <formula>"Não"</formula>
    </cfRule>
  </conditionalFormatting>
  <conditionalFormatting sqref="E38">
    <cfRule type="cellIs" dxfId="213" priority="77" operator="equal">
      <formula>"Sim"</formula>
    </cfRule>
    <cfRule type="cellIs" dxfId="212" priority="78" operator="equal">
      <formula>"Não"</formula>
    </cfRule>
  </conditionalFormatting>
  <conditionalFormatting sqref="E39">
    <cfRule type="cellIs" dxfId="211" priority="75" operator="equal">
      <formula>"Sim"</formula>
    </cfRule>
    <cfRule type="cellIs" dxfId="210" priority="76" operator="equal">
      <formula>"Não"</formula>
    </cfRule>
  </conditionalFormatting>
  <conditionalFormatting sqref="E40">
    <cfRule type="cellIs" dxfId="209" priority="73" operator="equal">
      <formula>"Sim"</formula>
    </cfRule>
    <cfRule type="cellIs" dxfId="208" priority="74" operator="equal">
      <formula>"Não"</formula>
    </cfRule>
  </conditionalFormatting>
  <conditionalFormatting sqref="F33">
    <cfRule type="cellIs" dxfId="207" priority="71" operator="equal">
      <formula>"Sim"</formula>
    </cfRule>
    <cfRule type="cellIs" dxfId="206" priority="72" operator="equal">
      <formula>"Não"</formula>
    </cfRule>
  </conditionalFormatting>
  <conditionalFormatting sqref="F34">
    <cfRule type="cellIs" dxfId="205" priority="69" operator="equal">
      <formula>"Sim"</formula>
    </cfRule>
    <cfRule type="cellIs" dxfId="204" priority="70" operator="equal">
      <formula>"Não"</formula>
    </cfRule>
  </conditionalFormatting>
  <conditionalFormatting sqref="F35">
    <cfRule type="cellIs" dxfId="203" priority="67" operator="equal">
      <formula>"Sim"</formula>
    </cfRule>
    <cfRule type="cellIs" dxfId="202" priority="68" operator="equal">
      <formula>"Não"</formula>
    </cfRule>
  </conditionalFormatting>
  <conditionalFormatting sqref="F36">
    <cfRule type="cellIs" dxfId="201" priority="65" operator="equal">
      <formula>"Sim"</formula>
    </cfRule>
    <cfRule type="cellIs" dxfId="200" priority="66" operator="equal">
      <formula>"Não"</formula>
    </cfRule>
  </conditionalFormatting>
  <conditionalFormatting sqref="F37">
    <cfRule type="cellIs" dxfId="199" priority="63" operator="equal">
      <formula>"Sim"</formula>
    </cfRule>
    <cfRule type="cellIs" dxfId="198" priority="64" operator="equal">
      <formula>"Não"</formula>
    </cfRule>
  </conditionalFormatting>
  <conditionalFormatting sqref="F38">
    <cfRule type="cellIs" dxfId="197" priority="61" operator="equal">
      <formula>"Sim"</formula>
    </cfRule>
    <cfRule type="cellIs" dxfId="196" priority="62" operator="equal">
      <formula>"Não"</formula>
    </cfRule>
  </conditionalFormatting>
  <conditionalFormatting sqref="F39">
    <cfRule type="cellIs" dxfId="195" priority="59" operator="equal">
      <formula>"Sim"</formula>
    </cfRule>
    <cfRule type="cellIs" dxfId="194" priority="60" operator="equal">
      <formula>"Não"</formula>
    </cfRule>
  </conditionalFormatting>
  <conditionalFormatting sqref="F40">
    <cfRule type="cellIs" dxfId="193" priority="57" operator="equal">
      <formula>"Sim"</formula>
    </cfRule>
    <cfRule type="cellIs" dxfId="192" priority="58" operator="equal">
      <formula>"Não"</formula>
    </cfRule>
  </conditionalFormatting>
  <conditionalFormatting sqref="G33">
    <cfRule type="cellIs" dxfId="191" priority="55" operator="equal">
      <formula>"Sim"</formula>
    </cfRule>
    <cfRule type="cellIs" dxfId="190" priority="56" operator="equal">
      <formula>"Não"</formula>
    </cfRule>
  </conditionalFormatting>
  <conditionalFormatting sqref="G34">
    <cfRule type="cellIs" dxfId="189" priority="53" operator="equal">
      <formula>"Sim"</formula>
    </cfRule>
    <cfRule type="cellIs" dxfId="188" priority="54" operator="equal">
      <formula>"Não"</formula>
    </cfRule>
  </conditionalFormatting>
  <conditionalFormatting sqref="G35">
    <cfRule type="cellIs" dxfId="187" priority="51" operator="equal">
      <formula>"Sim"</formula>
    </cfRule>
    <cfRule type="cellIs" dxfId="186" priority="52" operator="equal">
      <formula>"Não"</formula>
    </cfRule>
  </conditionalFormatting>
  <conditionalFormatting sqref="G36">
    <cfRule type="cellIs" dxfId="185" priority="49" operator="equal">
      <formula>"Sim"</formula>
    </cfRule>
    <cfRule type="cellIs" dxfId="184" priority="50" operator="equal">
      <formula>"Não"</formula>
    </cfRule>
  </conditionalFormatting>
  <conditionalFormatting sqref="G37">
    <cfRule type="cellIs" dxfId="183" priority="47" operator="equal">
      <formula>"Sim"</formula>
    </cfRule>
    <cfRule type="cellIs" dxfId="182" priority="48" operator="equal">
      <formula>"Não"</formula>
    </cfRule>
  </conditionalFormatting>
  <conditionalFormatting sqref="G38">
    <cfRule type="cellIs" dxfId="181" priority="45" operator="equal">
      <formula>"Sim"</formula>
    </cfRule>
    <cfRule type="cellIs" dxfId="180" priority="46" operator="equal">
      <formula>"Não"</formula>
    </cfRule>
  </conditionalFormatting>
  <conditionalFormatting sqref="G39">
    <cfRule type="cellIs" dxfId="179" priority="43" operator="equal">
      <formula>"Sim"</formula>
    </cfRule>
    <cfRule type="cellIs" dxfId="178" priority="44" operator="equal">
      <formula>"Não"</formula>
    </cfRule>
  </conditionalFormatting>
  <conditionalFormatting sqref="G40">
    <cfRule type="cellIs" dxfId="177" priority="41" operator="equal">
      <formula>"Sim"</formula>
    </cfRule>
    <cfRule type="cellIs" dxfId="176" priority="42" operator="equal">
      <formula>"Não"</formula>
    </cfRule>
  </conditionalFormatting>
  <conditionalFormatting sqref="H33">
    <cfRule type="cellIs" dxfId="175" priority="39" operator="equal">
      <formula>"Sim"</formula>
    </cfRule>
    <cfRule type="cellIs" dxfId="174" priority="40" operator="equal">
      <formula>"Não"</formula>
    </cfRule>
  </conditionalFormatting>
  <conditionalFormatting sqref="H34">
    <cfRule type="cellIs" dxfId="173" priority="37" operator="equal">
      <formula>"Sim"</formula>
    </cfRule>
    <cfRule type="cellIs" dxfId="172" priority="38" operator="equal">
      <formula>"Não"</formula>
    </cfRule>
  </conditionalFormatting>
  <conditionalFormatting sqref="H35">
    <cfRule type="cellIs" dxfId="171" priority="35" operator="equal">
      <formula>"Sim"</formula>
    </cfRule>
    <cfRule type="cellIs" dxfId="170" priority="36" operator="equal">
      <formula>"Não"</formula>
    </cfRule>
  </conditionalFormatting>
  <conditionalFormatting sqref="H36">
    <cfRule type="cellIs" dxfId="169" priority="33" operator="equal">
      <formula>"Sim"</formula>
    </cfRule>
    <cfRule type="cellIs" dxfId="168" priority="34" operator="equal">
      <formula>"Não"</formula>
    </cfRule>
  </conditionalFormatting>
  <conditionalFormatting sqref="H37">
    <cfRule type="cellIs" dxfId="167" priority="31" operator="equal">
      <formula>"Sim"</formula>
    </cfRule>
    <cfRule type="cellIs" dxfId="166" priority="32" operator="equal">
      <formula>"Não"</formula>
    </cfRule>
  </conditionalFormatting>
  <conditionalFormatting sqref="H38">
    <cfRule type="cellIs" dxfId="165" priority="29" operator="equal">
      <formula>"Sim"</formula>
    </cfRule>
    <cfRule type="cellIs" dxfId="164" priority="30" operator="equal">
      <formula>"Não"</formula>
    </cfRule>
  </conditionalFormatting>
  <conditionalFormatting sqref="H39">
    <cfRule type="cellIs" dxfId="163" priority="27" operator="equal">
      <formula>"Sim"</formula>
    </cfRule>
    <cfRule type="cellIs" dxfId="162" priority="28" operator="equal">
      <formula>"Não"</formula>
    </cfRule>
  </conditionalFormatting>
  <conditionalFormatting sqref="H40">
    <cfRule type="cellIs" dxfId="161" priority="25" operator="equal">
      <formula>"Sim"</formula>
    </cfRule>
    <cfRule type="cellIs" dxfId="160" priority="26" operator="equal">
      <formula>"Não"</formula>
    </cfRule>
  </conditionalFormatting>
  <conditionalFormatting sqref="I33">
    <cfRule type="cellIs" dxfId="159" priority="23" operator="equal">
      <formula>"Sim"</formula>
    </cfRule>
    <cfRule type="cellIs" dxfId="158" priority="24" operator="equal">
      <formula>"Não"</formula>
    </cfRule>
  </conditionalFormatting>
  <conditionalFormatting sqref="I34">
    <cfRule type="cellIs" dxfId="157" priority="21" operator="equal">
      <formula>"Sim"</formula>
    </cfRule>
    <cfRule type="cellIs" dxfId="156" priority="22" operator="equal">
      <formula>"Não"</formula>
    </cfRule>
  </conditionalFormatting>
  <conditionalFormatting sqref="I35">
    <cfRule type="cellIs" dxfId="155" priority="19" operator="equal">
      <formula>"Sim"</formula>
    </cfRule>
    <cfRule type="cellIs" dxfId="154" priority="20" operator="equal">
      <formula>"Não"</formula>
    </cfRule>
  </conditionalFormatting>
  <conditionalFormatting sqref="I36">
    <cfRule type="cellIs" dxfId="153" priority="17" operator="equal">
      <formula>"Sim"</formula>
    </cfRule>
    <cfRule type="cellIs" dxfId="152" priority="18" operator="equal">
      <formula>"Não"</formula>
    </cfRule>
  </conditionalFormatting>
  <conditionalFormatting sqref="I37">
    <cfRule type="cellIs" dxfId="151" priority="15" operator="equal">
      <formula>"Sim"</formula>
    </cfRule>
    <cfRule type="cellIs" dxfId="150" priority="16" operator="equal">
      <formula>"Não"</formula>
    </cfRule>
  </conditionalFormatting>
  <conditionalFormatting sqref="I38">
    <cfRule type="cellIs" dxfId="149" priority="13" operator="equal">
      <formula>"Sim"</formula>
    </cfRule>
    <cfRule type="cellIs" dxfId="148" priority="14" operator="equal">
      <formula>"Não"</formula>
    </cfRule>
  </conditionalFormatting>
  <conditionalFormatting sqref="I39">
    <cfRule type="cellIs" dxfId="147" priority="11" operator="equal">
      <formula>"Sim"</formula>
    </cfRule>
    <cfRule type="cellIs" dxfId="146" priority="12" operator="equal">
      <formula>"Não"</formula>
    </cfRule>
  </conditionalFormatting>
  <conditionalFormatting sqref="I40">
    <cfRule type="cellIs" dxfId="145" priority="9" operator="equal">
      <formula>"Sim"</formula>
    </cfRule>
    <cfRule type="cellIs" dxfId="144" priority="10" operator="equal">
      <formula>"Não"</formula>
    </cfRule>
  </conditionalFormatting>
  <conditionalFormatting sqref="J36">
    <cfRule type="cellIs" dxfId="143" priority="7" operator="equal">
      <formula>"Sim"</formula>
    </cfRule>
    <cfRule type="cellIs" dxfId="142" priority="8" operator="equal">
      <formula>"Não"</formula>
    </cfRule>
  </conditionalFormatting>
  <conditionalFormatting sqref="J33:J35">
    <cfRule type="cellIs" dxfId="141" priority="5" operator="equal">
      <formula>"Sim"</formula>
    </cfRule>
    <cfRule type="cellIs" dxfId="140" priority="6" operator="equal">
      <formula>"Não"</formula>
    </cfRule>
  </conditionalFormatting>
  <conditionalFormatting sqref="J37:J40">
    <cfRule type="cellIs" dxfId="139" priority="3" operator="equal">
      <formula>"Sim"</formula>
    </cfRule>
    <cfRule type="cellIs" dxfId="138" priority="4" operator="equal">
      <formula>"Não"</formula>
    </cfRule>
  </conditionalFormatting>
  <conditionalFormatting sqref="K33:P40">
    <cfRule type="cellIs" dxfId="137" priority="1" operator="equal">
      <formula>"Sim"</formula>
    </cfRule>
    <cfRule type="cellIs" dxfId="136" priority="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87" customWidth="1"/>
    <col min="9" max="9" width="34" customWidth="1"/>
    <col min="10" max="10" width="25" customWidth="1"/>
    <col min="11" max="11" width="64"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
        <v>143</v>
      </c>
      <c r="E2" s="25" t="s">
        <v>18</v>
      </c>
      <c r="F2" s="24"/>
      <c r="G2" s="26" t="s">
        <v>144</v>
      </c>
      <c r="H2" s="24" t="s">
        <v>145</v>
      </c>
      <c r="I2" s="24"/>
      <c r="J2" s="24" t="s">
        <v>146</v>
      </c>
      <c r="K2" s="24"/>
    </row>
    <row r="3" spans="1:11">
      <c r="A3" s="23" t="s">
        <v>33</v>
      </c>
      <c r="B3" s="24" t="s">
        <v>127</v>
      </c>
      <c r="C3" s="24" t="s">
        <v>75</v>
      </c>
      <c r="D3" s="24" t="s">
        <v>147</v>
      </c>
      <c r="E3" s="27" t="s">
        <v>14</v>
      </c>
      <c r="F3" s="24" t="s">
        <v>148</v>
      </c>
      <c r="G3" s="26" t="s">
        <v>144</v>
      </c>
      <c r="H3" s="24" t="s">
        <v>149</v>
      </c>
      <c r="I3" s="24"/>
      <c r="J3" s="24" t="s">
        <v>146</v>
      </c>
      <c r="K3" s="24"/>
    </row>
    <row r="4" spans="1:11">
      <c r="A4" s="28" t="s">
        <v>42</v>
      </c>
      <c r="B4" s="24" t="s">
        <v>116</v>
      </c>
      <c r="C4" s="24" t="s">
        <v>75</v>
      </c>
      <c r="D4" s="24" t="s">
        <v>150</v>
      </c>
      <c r="E4" s="27" t="s">
        <v>14</v>
      </c>
      <c r="F4" s="24" t="s">
        <v>151</v>
      </c>
      <c r="G4" s="26" t="s">
        <v>144</v>
      </c>
      <c r="H4" s="24"/>
      <c r="I4" s="24"/>
      <c r="J4" s="24" t="s">
        <v>146</v>
      </c>
      <c r="K4" s="24"/>
    </row>
    <row r="5" spans="1:11">
      <c r="A5" s="23" t="s">
        <v>33</v>
      </c>
      <c r="B5" s="24" t="s">
        <v>128</v>
      </c>
      <c r="C5" s="24" t="s">
        <v>75</v>
      </c>
      <c r="D5" s="24" t="s">
        <v>152</v>
      </c>
      <c r="E5" s="27" t="s">
        <v>14</v>
      </c>
      <c r="F5" s="24" t="s">
        <v>153</v>
      </c>
      <c r="G5" s="26" t="s">
        <v>144</v>
      </c>
      <c r="H5" s="24"/>
      <c r="I5" s="24"/>
      <c r="J5" s="24" t="s">
        <v>146</v>
      </c>
      <c r="K5" s="24"/>
    </row>
    <row r="6" spans="1:11">
      <c r="A6" s="29" t="s">
        <v>37</v>
      </c>
      <c r="B6" s="24" t="s">
        <v>88</v>
      </c>
      <c r="C6" s="24" t="s">
        <v>75</v>
      </c>
      <c r="D6" s="24" t="s">
        <v>154</v>
      </c>
      <c r="E6" s="27" t="s">
        <v>14</v>
      </c>
      <c r="F6" s="24" t="s">
        <v>151</v>
      </c>
      <c r="G6" s="26" t="s">
        <v>144</v>
      </c>
      <c r="H6" s="24"/>
      <c r="I6" s="24"/>
      <c r="J6" s="24" t="s">
        <v>146</v>
      </c>
      <c r="K6" s="24"/>
    </row>
    <row r="7" spans="1:11">
      <c r="A7" s="28" t="s">
        <v>42</v>
      </c>
      <c r="B7" s="24" t="s">
        <v>117</v>
      </c>
      <c r="C7" s="24" t="s">
        <v>75</v>
      </c>
      <c r="D7" s="24" t="s">
        <v>155</v>
      </c>
      <c r="E7" s="27" t="s">
        <v>14</v>
      </c>
      <c r="F7" s="24" t="s">
        <v>153</v>
      </c>
      <c r="G7" s="26" t="s">
        <v>144</v>
      </c>
      <c r="H7" s="24"/>
      <c r="I7" s="24"/>
      <c r="J7" s="24" t="s">
        <v>146</v>
      </c>
      <c r="K7" s="24"/>
    </row>
    <row r="8" spans="1:11">
      <c r="A8" s="30" t="s">
        <v>26</v>
      </c>
      <c r="B8" s="24" t="s">
        <v>107</v>
      </c>
      <c r="C8" s="24" t="s">
        <v>75</v>
      </c>
      <c r="D8" s="24" t="s">
        <v>156</v>
      </c>
      <c r="E8" s="27" t="s">
        <v>14</v>
      </c>
      <c r="F8" s="24" t="s">
        <v>153</v>
      </c>
      <c r="G8" s="26" t="s">
        <v>144</v>
      </c>
      <c r="H8" s="24"/>
      <c r="I8" s="24"/>
      <c r="J8" s="24" t="s">
        <v>146</v>
      </c>
      <c r="K8" s="24"/>
    </row>
    <row r="9" spans="1:11">
      <c r="A9" s="31" t="s">
        <v>39</v>
      </c>
      <c r="B9" s="24" t="s">
        <v>95</v>
      </c>
      <c r="C9" s="24" t="s">
        <v>75</v>
      </c>
      <c r="D9" s="24" t="s">
        <v>157</v>
      </c>
      <c r="E9" s="27" t="s">
        <v>14</v>
      </c>
      <c r="F9" s="24" t="s">
        <v>158</v>
      </c>
      <c r="G9" s="26" t="s">
        <v>144</v>
      </c>
      <c r="H9" s="24"/>
      <c r="I9" s="24"/>
      <c r="J9" s="24" t="s">
        <v>146</v>
      </c>
      <c r="K9" s="24"/>
    </row>
    <row r="10" spans="1:11">
      <c r="A10" s="32" t="s">
        <v>35</v>
      </c>
      <c r="B10" s="24" t="s">
        <v>74</v>
      </c>
      <c r="C10" s="24" t="s">
        <v>75</v>
      </c>
      <c r="D10" s="24" t="s">
        <v>159</v>
      </c>
      <c r="E10" s="27" t="s">
        <v>14</v>
      </c>
      <c r="F10" s="24" t="s">
        <v>148</v>
      </c>
      <c r="G10" s="26" t="s">
        <v>144</v>
      </c>
      <c r="H10" s="24"/>
      <c r="I10" s="24"/>
      <c r="J10" s="24" t="s">
        <v>146</v>
      </c>
      <c r="K10" s="24"/>
    </row>
    <row r="11" spans="1:11">
      <c r="A11" s="32" t="s">
        <v>35</v>
      </c>
      <c r="B11" s="24" t="s">
        <v>74</v>
      </c>
      <c r="C11" s="24" t="s">
        <v>76</v>
      </c>
      <c r="D11" s="24" t="s">
        <v>159</v>
      </c>
      <c r="E11" s="27" t="s">
        <v>14</v>
      </c>
      <c r="F11" s="24" t="s">
        <v>160</v>
      </c>
      <c r="G11" s="26" t="s">
        <v>144</v>
      </c>
      <c r="H11" s="24"/>
      <c r="I11" s="24"/>
      <c r="J11" s="24" t="s">
        <v>146</v>
      </c>
      <c r="K11" s="24"/>
    </row>
    <row r="12" spans="1:11">
      <c r="A12" s="32" t="s">
        <v>35</v>
      </c>
      <c r="B12" s="24" t="s">
        <v>74</v>
      </c>
      <c r="C12" s="24" t="s">
        <v>77</v>
      </c>
      <c r="D12" s="24" t="s">
        <v>159</v>
      </c>
      <c r="E12" s="27" t="s">
        <v>14</v>
      </c>
      <c r="F12" s="24" t="s">
        <v>148</v>
      </c>
      <c r="G12" s="26" t="s">
        <v>144</v>
      </c>
      <c r="H12" s="24"/>
      <c r="I12" s="24"/>
      <c r="J12" s="24" t="s">
        <v>146</v>
      </c>
      <c r="K12" s="24"/>
    </row>
    <row r="13" spans="1:11">
      <c r="A13" s="32" t="s">
        <v>35</v>
      </c>
      <c r="B13" s="24" t="s">
        <v>74</v>
      </c>
      <c r="C13" s="24" t="s">
        <v>78</v>
      </c>
      <c r="D13" s="24" t="s">
        <v>159</v>
      </c>
      <c r="E13" s="27" t="s">
        <v>14</v>
      </c>
      <c r="F13" s="24" t="s">
        <v>161</v>
      </c>
      <c r="G13" s="26" t="s">
        <v>144</v>
      </c>
      <c r="H13" s="24" t="s">
        <v>162</v>
      </c>
      <c r="I13" s="24" t="s">
        <v>163</v>
      </c>
      <c r="J13" s="24" t="s">
        <v>144</v>
      </c>
      <c r="K13" s="24" t="s">
        <v>164</v>
      </c>
    </row>
    <row r="14" spans="1:11">
      <c r="A14" s="32" t="s">
        <v>35</v>
      </c>
      <c r="B14" s="24" t="s">
        <v>74</v>
      </c>
      <c r="C14" s="24" t="s">
        <v>79</v>
      </c>
      <c r="D14" s="24" t="s">
        <v>159</v>
      </c>
      <c r="E14" s="27" t="s">
        <v>14</v>
      </c>
      <c r="F14" s="24" t="s">
        <v>161</v>
      </c>
      <c r="G14" s="26" t="s">
        <v>144</v>
      </c>
      <c r="H14" s="24"/>
      <c r="I14" s="24"/>
      <c r="J14" s="24" t="s">
        <v>146</v>
      </c>
      <c r="K14" s="24"/>
    </row>
    <row r="15" spans="1:11">
      <c r="A15" s="32" t="s">
        <v>35</v>
      </c>
      <c r="B15" s="24" t="s">
        <v>80</v>
      </c>
      <c r="C15" s="24" t="s">
        <v>75</v>
      </c>
      <c r="D15" s="24" t="s">
        <v>165</v>
      </c>
      <c r="E15" s="27" t="s">
        <v>14</v>
      </c>
      <c r="F15" s="24" t="s">
        <v>153</v>
      </c>
      <c r="G15" s="26" t="s">
        <v>144</v>
      </c>
      <c r="H15" s="24"/>
      <c r="I15" s="24"/>
      <c r="J15" s="24" t="s">
        <v>146</v>
      </c>
      <c r="K15" s="24"/>
    </row>
    <row r="16" spans="1:11">
      <c r="A16" s="29" t="s">
        <v>37</v>
      </c>
      <c r="B16" s="24" t="s">
        <v>89</v>
      </c>
      <c r="C16" s="24" t="s">
        <v>75</v>
      </c>
      <c r="D16" s="24" t="s">
        <v>166</v>
      </c>
      <c r="E16" s="27" t="s">
        <v>14</v>
      </c>
      <c r="F16" s="24" t="s">
        <v>151</v>
      </c>
      <c r="G16" s="26" t="s">
        <v>144</v>
      </c>
      <c r="H16" s="24"/>
      <c r="I16" s="24"/>
      <c r="J16" s="24" t="s">
        <v>146</v>
      </c>
      <c r="K16" s="24"/>
    </row>
    <row r="17" spans="1:11">
      <c r="A17" s="32" t="s">
        <v>35</v>
      </c>
      <c r="B17" s="24" t="s">
        <v>81</v>
      </c>
      <c r="C17" s="24" t="s">
        <v>75</v>
      </c>
      <c r="D17" s="24" t="s">
        <v>167</v>
      </c>
      <c r="E17" s="27" t="s">
        <v>14</v>
      </c>
      <c r="F17" s="24" t="s">
        <v>148</v>
      </c>
      <c r="G17" s="26" t="s">
        <v>144</v>
      </c>
      <c r="H17" s="24" t="s">
        <v>168</v>
      </c>
      <c r="I17" s="24"/>
      <c r="J17" s="24" t="s">
        <v>146</v>
      </c>
      <c r="K17" s="24"/>
    </row>
    <row r="18" spans="1:11">
      <c r="A18" s="23" t="s">
        <v>33</v>
      </c>
      <c r="B18" s="24" t="s">
        <v>129</v>
      </c>
      <c r="C18" s="24" t="s">
        <v>75</v>
      </c>
      <c r="D18" s="24" t="s">
        <v>169</v>
      </c>
      <c r="E18" s="27" t="s">
        <v>14</v>
      </c>
      <c r="F18" s="24" t="s">
        <v>170</v>
      </c>
      <c r="G18" s="33" t="s">
        <v>146</v>
      </c>
      <c r="H18" s="24" t="s">
        <v>171</v>
      </c>
      <c r="I18" s="24"/>
      <c r="J18" s="24" t="s">
        <v>146</v>
      </c>
      <c r="K18" s="24"/>
    </row>
    <row r="19" spans="1:11">
      <c r="A19" s="34" t="s">
        <v>43</v>
      </c>
      <c r="B19" s="24" t="s">
        <v>98</v>
      </c>
      <c r="C19" s="24" t="s">
        <v>75</v>
      </c>
      <c r="D19" s="24" t="s">
        <v>172</v>
      </c>
      <c r="E19" s="25" t="s">
        <v>18</v>
      </c>
      <c r="F19" s="24"/>
      <c r="G19" s="26" t="s">
        <v>144</v>
      </c>
      <c r="H19" s="24" t="s">
        <v>173</v>
      </c>
      <c r="I19" s="24"/>
      <c r="J19" s="24" t="s">
        <v>146</v>
      </c>
      <c r="K19" s="24"/>
    </row>
    <row r="20" spans="1:11">
      <c r="A20" s="23" t="s">
        <v>33</v>
      </c>
      <c r="B20" s="24" t="s">
        <v>130</v>
      </c>
      <c r="C20" s="24" t="s">
        <v>75</v>
      </c>
      <c r="D20" s="24" t="s">
        <v>174</v>
      </c>
      <c r="E20" s="27" t="s">
        <v>14</v>
      </c>
      <c r="F20" s="24" t="s">
        <v>175</v>
      </c>
      <c r="G20" s="26" t="s">
        <v>144</v>
      </c>
      <c r="H20" s="24"/>
      <c r="I20" s="24"/>
      <c r="J20" s="24" t="s">
        <v>146</v>
      </c>
      <c r="K20" s="24"/>
    </row>
    <row r="21" spans="1:11">
      <c r="A21" s="29" t="s">
        <v>37</v>
      </c>
      <c r="B21" s="24" t="s">
        <v>90</v>
      </c>
      <c r="C21" s="24" t="s">
        <v>75</v>
      </c>
      <c r="D21" s="24" t="s">
        <v>176</v>
      </c>
      <c r="E21" s="27" t="s">
        <v>14</v>
      </c>
      <c r="F21" s="24" t="s">
        <v>177</v>
      </c>
      <c r="G21" s="26" t="s">
        <v>144</v>
      </c>
      <c r="H21" s="24"/>
      <c r="I21" s="24"/>
      <c r="J21" s="24" t="s">
        <v>146</v>
      </c>
      <c r="K21" s="24"/>
    </row>
    <row r="22" spans="1:11">
      <c r="A22" s="29" t="s">
        <v>37</v>
      </c>
      <c r="B22" s="24" t="s">
        <v>37</v>
      </c>
      <c r="C22" s="24" t="s">
        <v>75</v>
      </c>
      <c r="D22" s="24" t="s">
        <v>178</v>
      </c>
      <c r="E22" s="27" t="s">
        <v>14</v>
      </c>
      <c r="F22" s="24" t="s">
        <v>179</v>
      </c>
      <c r="G22" s="26" t="s">
        <v>144</v>
      </c>
      <c r="H22" s="24"/>
      <c r="I22" s="24"/>
      <c r="J22" s="24" t="s">
        <v>146</v>
      </c>
      <c r="K22" s="24"/>
    </row>
    <row r="23" spans="1:11">
      <c r="A23" s="29" t="s">
        <v>37</v>
      </c>
      <c r="B23" s="24" t="s">
        <v>37</v>
      </c>
      <c r="C23" s="24" t="s">
        <v>76</v>
      </c>
      <c r="D23" s="24" t="s">
        <v>178</v>
      </c>
      <c r="E23" s="27" t="s">
        <v>14</v>
      </c>
      <c r="F23" s="24" t="s">
        <v>179</v>
      </c>
      <c r="G23" s="26" t="s">
        <v>144</v>
      </c>
      <c r="H23" s="24"/>
      <c r="I23" s="24"/>
      <c r="J23" s="24" t="s">
        <v>146</v>
      </c>
      <c r="K23" s="24"/>
    </row>
    <row r="24" spans="1:11">
      <c r="A24" s="29" t="s">
        <v>37</v>
      </c>
      <c r="B24" s="24" t="s">
        <v>37</v>
      </c>
      <c r="C24" s="24" t="s">
        <v>77</v>
      </c>
      <c r="D24" s="24" t="s">
        <v>178</v>
      </c>
      <c r="E24" s="27" t="s">
        <v>14</v>
      </c>
      <c r="F24" s="24" t="s">
        <v>179</v>
      </c>
      <c r="G24" s="26" t="s">
        <v>144</v>
      </c>
      <c r="H24" s="24"/>
      <c r="I24" s="24"/>
      <c r="J24" s="24" t="s">
        <v>146</v>
      </c>
      <c r="K24" s="24"/>
    </row>
    <row r="25" spans="1:11">
      <c r="A25" s="34" t="s">
        <v>43</v>
      </c>
      <c r="B25" s="24" t="s">
        <v>99</v>
      </c>
      <c r="C25" s="24" t="s">
        <v>75</v>
      </c>
      <c r="D25" s="24" t="s">
        <v>180</v>
      </c>
      <c r="E25" s="27" t="s">
        <v>14</v>
      </c>
      <c r="F25" s="24" t="s">
        <v>148</v>
      </c>
      <c r="G25" s="33" t="s">
        <v>146</v>
      </c>
      <c r="H25" s="24"/>
      <c r="I25" s="24"/>
      <c r="J25" s="24" t="s">
        <v>146</v>
      </c>
      <c r="K25" s="24"/>
    </row>
    <row r="26" spans="1:11">
      <c r="A26" s="30" t="s">
        <v>26</v>
      </c>
      <c r="B26" s="24" t="s">
        <v>108</v>
      </c>
      <c r="C26" s="24" t="s">
        <v>75</v>
      </c>
      <c r="D26" s="24" t="s">
        <v>181</v>
      </c>
      <c r="E26" s="27" t="s">
        <v>14</v>
      </c>
      <c r="F26" s="24" t="s">
        <v>182</v>
      </c>
      <c r="G26" s="26" t="s">
        <v>144</v>
      </c>
      <c r="H26" s="24"/>
      <c r="I26" s="24"/>
      <c r="J26" s="24" t="s">
        <v>146</v>
      </c>
      <c r="K26" s="24"/>
    </row>
    <row r="27" spans="1:11">
      <c r="A27" s="30" t="s">
        <v>26</v>
      </c>
      <c r="B27" s="24" t="s">
        <v>109</v>
      </c>
      <c r="C27" s="24" t="s">
        <v>75</v>
      </c>
      <c r="D27" s="24" t="s">
        <v>183</v>
      </c>
      <c r="E27" s="27" t="s">
        <v>14</v>
      </c>
      <c r="F27" s="24" t="s">
        <v>184</v>
      </c>
      <c r="G27" s="26" t="s">
        <v>144</v>
      </c>
      <c r="H27" s="24" t="s">
        <v>185</v>
      </c>
      <c r="I27" s="24"/>
      <c r="J27" s="24" t="s">
        <v>146</v>
      </c>
      <c r="K27" s="24"/>
    </row>
    <row r="28" spans="1:11">
      <c r="A28" s="30" t="s">
        <v>26</v>
      </c>
      <c r="B28" s="24" t="s">
        <v>110</v>
      </c>
      <c r="C28" s="24" t="s">
        <v>75</v>
      </c>
      <c r="D28" s="24" t="s">
        <v>186</v>
      </c>
      <c r="E28" s="27" t="s">
        <v>14</v>
      </c>
      <c r="F28" s="24" t="s">
        <v>175</v>
      </c>
      <c r="G28" s="26" t="s">
        <v>144</v>
      </c>
      <c r="H28" s="24"/>
      <c r="I28" s="24"/>
      <c r="J28" s="24" t="s">
        <v>146</v>
      </c>
      <c r="K28" s="24"/>
    </row>
    <row r="29" spans="1:11">
      <c r="A29" s="28" t="s">
        <v>42</v>
      </c>
      <c r="B29" s="24" t="s">
        <v>118</v>
      </c>
      <c r="C29" s="24" t="s">
        <v>75</v>
      </c>
      <c r="D29" s="24" t="s">
        <v>187</v>
      </c>
      <c r="E29" s="27" t="s">
        <v>14</v>
      </c>
      <c r="F29" s="24" t="s">
        <v>175</v>
      </c>
      <c r="G29" s="26" t="s">
        <v>144</v>
      </c>
      <c r="H29" s="24"/>
      <c r="I29" s="24"/>
      <c r="J29" s="24" t="s">
        <v>146</v>
      </c>
      <c r="K29" s="24"/>
    </row>
    <row r="30" spans="1:11">
      <c r="A30" s="28" t="s">
        <v>42</v>
      </c>
      <c r="B30" s="24" t="s">
        <v>119</v>
      </c>
      <c r="C30" s="24" t="s">
        <v>75</v>
      </c>
      <c r="D30" s="24" t="s">
        <v>188</v>
      </c>
      <c r="E30" s="27" t="s">
        <v>14</v>
      </c>
      <c r="F30" s="24" t="s">
        <v>175</v>
      </c>
      <c r="G30" s="26" t="s">
        <v>144</v>
      </c>
      <c r="H30" s="24"/>
      <c r="I30" s="24"/>
      <c r="J30" s="24" t="s">
        <v>146</v>
      </c>
      <c r="K30" s="24"/>
    </row>
    <row r="31" spans="1:11">
      <c r="A31" s="32" t="s">
        <v>35</v>
      </c>
      <c r="B31" s="24" t="s">
        <v>82</v>
      </c>
      <c r="C31" s="24" t="s">
        <v>75</v>
      </c>
      <c r="D31" s="24" t="s">
        <v>189</v>
      </c>
      <c r="E31" s="27" t="s">
        <v>14</v>
      </c>
      <c r="F31" s="24" t="s">
        <v>158</v>
      </c>
      <c r="G31" s="26" t="s">
        <v>144</v>
      </c>
      <c r="H31" s="24"/>
      <c r="I31" s="24"/>
      <c r="J31" s="24" t="s">
        <v>146</v>
      </c>
      <c r="K31" s="24"/>
    </row>
    <row r="32" spans="1:11">
      <c r="A32" s="34" t="s">
        <v>43</v>
      </c>
      <c r="B32" s="24" t="s">
        <v>100</v>
      </c>
      <c r="C32" s="24" t="s">
        <v>75</v>
      </c>
      <c r="D32" s="24" t="s">
        <v>190</v>
      </c>
      <c r="E32" s="27" t="s">
        <v>14</v>
      </c>
      <c r="F32" s="24" t="s">
        <v>153</v>
      </c>
      <c r="G32" s="26" t="s">
        <v>144</v>
      </c>
      <c r="H32" s="24"/>
      <c r="I32" s="24"/>
      <c r="J32" s="24" t="s">
        <v>146</v>
      </c>
      <c r="K32" s="24"/>
    </row>
    <row r="33" spans="1:11">
      <c r="A33" s="28" t="s">
        <v>42</v>
      </c>
      <c r="B33" s="24" t="s">
        <v>120</v>
      </c>
      <c r="C33" s="24" t="s">
        <v>75</v>
      </c>
      <c r="D33" s="24" t="s">
        <v>191</v>
      </c>
      <c r="E33" s="27" t="s">
        <v>14</v>
      </c>
      <c r="F33" s="24" t="s">
        <v>151</v>
      </c>
      <c r="G33" s="26" t="s">
        <v>144</v>
      </c>
      <c r="H33" s="24"/>
      <c r="I33" s="24"/>
      <c r="J33" s="24" t="s">
        <v>146</v>
      </c>
      <c r="K33" s="24"/>
    </row>
    <row r="34" spans="1:11">
      <c r="A34" s="28" t="s">
        <v>42</v>
      </c>
      <c r="B34" s="24" t="s">
        <v>121</v>
      </c>
      <c r="C34" s="24" t="s">
        <v>75</v>
      </c>
      <c r="D34" s="24" t="s">
        <v>192</v>
      </c>
      <c r="E34" s="27" t="s">
        <v>14</v>
      </c>
      <c r="F34" s="24" t="s">
        <v>151</v>
      </c>
      <c r="G34" s="26" t="s">
        <v>144</v>
      </c>
      <c r="H34" s="24"/>
      <c r="I34" s="24"/>
      <c r="J34" s="24" t="s">
        <v>146</v>
      </c>
      <c r="K34" s="24"/>
    </row>
    <row r="35" spans="1:11">
      <c r="A35" s="29" t="s">
        <v>37</v>
      </c>
      <c r="B35" s="24" t="s">
        <v>91</v>
      </c>
      <c r="C35" s="24" t="s">
        <v>75</v>
      </c>
      <c r="D35" s="24" t="s">
        <v>193</v>
      </c>
      <c r="E35" s="27" t="s">
        <v>14</v>
      </c>
      <c r="F35" s="24" t="s">
        <v>158</v>
      </c>
      <c r="G35" s="26" t="s">
        <v>144</v>
      </c>
      <c r="H35" s="24"/>
      <c r="I35" s="24"/>
      <c r="J35" s="24" t="s">
        <v>146</v>
      </c>
      <c r="K35" s="24"/>
    </row>
    <row r="36" spans="1:11">
      <c r="A36" s="31" t="s">
        <v>39</v>
      </c>
      <c r="B36" s="24" t="s">
        <v>96</v>
      </c>
      <c r="C36" s="24" t="s">
        <v>75</v>
      </c>
      <c r="D36" s="24" t="s">
        <v>194</v>
      </c>
      <c r="E36" s="27" t="s">
        <v>14</v>
      </c>
      <c r="F36" s="24" t="s">
        <v>151</v>
      </c>
      <c r="G36" s="26" t="s">
        <v>144</v>
      </c>
      <c r="H36" s="24"/>
      <c r="I36" s="24"/>
      <c r="J36" s="24" t="s">
        <v>146</v>
      </c>
      <c r="K36" s="24"/>
    </row>
    <row r="37" spans="1:11">
      <c r="A37" s="31" t="s">
        <v>39</v>
      </c>
      <c r="B37" s="24" t="s">
        <v>97</v>
      </c>
      <c r="C37" s="24" t="s">
        <v>75</v>
      </c>
      <c r="D37" s="24" t="s">
        <v>195</v>
      </c>
      <c r="E37" s="27" t="s">
        <v>14</v>
      </c>
      <c r="F37" s="24" t="s">
        <v>153</v>
      </c>
      <c r="G37" s="26" t="s">
        <v>144</v>
      </c>
      <c r="H37" s="24"/>
      <c r="I37" s="24"/>
      <c r="J37" s="24" t="s">
        <v>146</v>
      </c>
      <c r="K37" s="24"/>
    </row>
    <row r="38" spans="1:11">
      <c r="A38" s="30" t="s">
        <v>26</v>
      </c>
      <c r="B38" s="24" t="s">
        <v>111</v>
      </c>
      <c r="C38" s="24" t="s">
        <v>75</v>
      </c>
      <c r="D38" s="24" t="s">
        <v>196</v>
      </c>
      <c r="E38" s="27" t="s">
        <v>14</v>
      </c>
      <c r="F38" s="24" t="s">
        <v>148</v>
      </c>
      <c r="G38" s="26" t="s">
        <v>144</v>
      </c>
      <c r="H38" s="24"/>
      <c r="I38" s="24"/>
      <c r="J38" s="24" t="s">
        <v>146</v>
      </c>
      <c r="K38" s="24"/>
    </row>
    <row r="39" spans="1:11">
      <c r="A39" s="34" t="s">
        <v>43</v>
      </c>
      <c r="B39" s="24" t="s">
        <v>101</v>
      </c>
      <c r="C39" s="24" t="s">
        <v>75</v>
      </c>
      <c r="D39" s="24" t="s">
        <v>197</v>
      </c>
      <c r="E39" s="27" t="s">
        <v>14</v>
      </c>
      <c r="F39" s="24" t="s">
        <v>160</v>
      </c>
      <c r="G39" s="33" t="s">
        <v>146</v>
      </c>
      <c r="H39" s="24"/>
      <c r="I39" s="24"/>
      <c r="J39" s="24" t="s">
        <v>146</v>
      </c>
      <c r="K39" s="24"/>
    </row>
    <row r="40" spans="1:11">
      <c r="A40" s="23" t="s">
        <v>33</v>
      </c>
      <c r="B40" s="24" t="s">
        <v>131</v>
      </c>
      <c r="C40" s="24" t="s">
        <v>75</v>
      </c>
      <c r="D40" s="24" t="s">
        <v>198</v>
      </c>
      <c r="E40" s="27" t="s">
        <v>14</v>
      </c>
      <c r="F40" s="24" t="s">
        <v>151</v>
      </c>
      <c r="G40" s="26" t="s">
        <v>144</v>
      </c>
      <c r="H40" s="24"/>
      <c r="I40" s="24"/>
      <c r="J40" s="24" t="s">
        <v>146</v>
      </c>
      <c r="K40" s="24"/>
    </row>
    <row r="41" spans="1:11">
      <c r="A41" s="28" t="s">
        <v>42</v>
      </c>
      <c r="B41" s="24" t="s">
        <v>122</v>
      </c>
      <c r="C41" s="24" t="s">
        <v>75</v>
      </c>
      <c r="D41" s="24" t="s">
        <v>199</v>
      </c>
      <c r="E41" s="27" t="s">
        <v>14</v>
      </c>
      <c r="F41" s="24" t="s">
        <v>151</v>
      </c>
      <c r="G41" s="26" t="s">
        <v>144</v>
      </c>
      <c r="H41" s="24"/>
      <c r="I41" s="24"/>
      <c r="J41" s="24" t="s">
        <v>146</v>
      </c>
      <c r="K41" s="24"/>
    </row>
    <row r="42" spans="1:11">
      <c r="A42" s="34" t="s">
        <v>43</v>
      </c>
      <c r="B42" s="24" t="s">
        <v>102</v>
      </c>
      <c r="C42" s="24" t="s">
        <v>75</v>
      </c>
      <c r="D42" s="24" t="s">
        <v>200</v>
      </c>
      <c r="E42" s="27" t="s">
        <v>14</v>
      </c>
      <c r="F42" s="24" t="s">
        <v>151</v>
      </c>
      <c r="G42" s="26" t="s">
        <v>144</v>
      </c>
      <c r="H42" s="24"/>
      <c r="I42" s="24"/>
      <c r="J42" s="24" t="s">
        <v>146</v>
      </c>
      <c r="K42" s="24"/>
    </row>
    <row r="43" spans="1:11">
      <c r="A43" s="29" t="s">
        <v>37</v>
      </c>
      <c r="B43" s="24" t="s">
        <v>92</v>
      </c>
      <c r="C43" s="24" t="s">
        <v>75</v>
      </c>
      <c r="D43" s="24" t="s">
        <v>201</v>
      </c>
      <c r="E43" s="27" t="s">
        <v>14</v>
      </c>
      <c r="F43" s="24" t="s">
        <v>158</v>
      </c>
      <c r="G43" s="26" t="s">
        <v>144</v>
      </c>
      <c r="H43" s="24"/>
      <c r="I43" s="24"/>
      <c r="J43" s="24" t="s">
        <v>146</v>
      </c>
      <c r="K43" s="24"/>
    </row>
    <row r="44" spans="1:11">
      <c r="A44" s="34" t="s">
        <v>43</v>
      </c>
      <c r="B44" s="24" t="s">
        <v>103</v>
      </c>
      <c r="C44" s="24" t="s">
        <v>75</v>
      </c>
      <c r="D44" s="24" t="s">
        <v>202</v>
      </c>
      <c r="E44" s="27" t="s">
        <v>14</v>
      </c>
      <c r="F44" s="24" t="s">
        <v>153</v>
      </c>
      <c r="G44" s="26" t="s">
        <v>144</v>
      </c>
      <c r="H44" s="24"/>
      <c r="I44" s="24"/>
      <c r="J44" s="24" t="s">
        <v>146</v>
      </c>
      <c r="K44" s="24"/>
    </row>
    <row r="45" spans="1:11">
      <c r="A45" s="30" t="s">
        <v>26</v>
      </c>
      <c r="B45" s="24" t="s">
        <v>112</v>
      </c>
      <c r="C45" s="24" t="s">
        <v>75</v>
      </c>
      <c r="D45" s="24" t="s">
        <v>203</v>
      </c>
      <c r="E45" s="27" t="s">
        <v>14</v>
      </c>
      <c r="F45" s="24" t="s">
        <v>204</v>
      </c>
      <c r="G45" s="26" t="s">
        <v>144</v>
      </c>
      <c r="H45" s="24"/>
      <c r="I45" s="24"/>
      <c r="J45" s="24" t="s">
        <v>146</v>
      </c>
      <c r="K45" s="24"/>
    </row>
    <row r="46" spans="1:11">
      <c r="A46" s="32" t="s">
        <v>35</v>
      </c>
      <c r="B46" s="24" t="s">
        <v>83</v>
      </c>
      <c r="C46" s="24" t="s">
        <v>75</v>
      </c>
      <c r="D46" s="24" t="s">
        <v>205</v>
      </c>
      <c r="E46" s="27" t="s">
        <v>14</v>
      </c>
      <c r="F46" s="24" t="s">
        <v>206</v>
      </c>
      <c r="G46" s="26" t="s">
        <v>144</v>
      </c>
      <c r="H46" s="24"/>
      <c r="I46" s="24"/>
      <c r="J46" s="24" t="s">
        <v>146</v>
      </c>
      <c r="K46" s="24"/>
    </row>
    <row r="47" spans="1:11">
      <c r="A47" s="32" t="s">
        <v>35</v>
      </c>
      <c r="B47" s="24" t="s">
        <v>83</v>
      </c>
      <c r="C47" s="24" t="s">
        <v>76</v>
      </c>
      <c r="D47" s="24" t="s">
        <v>205</v>
      </c>
      <c r="E47" s="25" t="s">
        <v>18</v>
      </c>
      <c r="F47" s="24"/>
      <c r="G47" s="26" t="s">
        <v>144</v>
      </c>
      <c r="H47" s="24" t="s">
        <v>173</v>
      </c>
      <c r="I47" s="24"/>
      <c r="J47" s="24" t="s">
        <v>146</v>
      </c>
      <c r="K47" s="24"/>
    </row>
    <row r="48" spans="1:11">
      <c r="A48" s="32" t="s">
        <v>35</v>
      </c>
      <c r="B48" s="24" t="s">
        <v>84</v>
      </c>
      <c r="C48" s="24" t="s">
        <v>75</v>
      </c>
      <c r="D48" s="24" t="s">
        <v>207</v>
      </c>
      <c r="E48" s="27" t="s">
        <v>14</v>
      </c>
      <c r="F48" s="24" t="s">
        <v>175</v>
      </c>
      <c r="G48" s="26" t="s">
        <v>144</v>
      </c>
      <c r="H48" s="24"/>
      <c r="I48" s="24"/>
      <c r="J48" s="24" t="s">
        <v>146</v>
      </c>
      <c r="K48" s="24"/>
    </row>
    <row r="49" spans="1:11">
      <c r="A49" s="29" t="s">
        <v>37</v>
      </c>
      <c r="B49" s="24" t="s">
        <v>93</v>
      </c>
      <c r="C49" s="24" t="s">
        <v>75</v>
      </c>
      <c r="D49" s="24" t="s">
        <v>208</v>
      </c>
      <c r="E49" s="27" t="s">
        <v>14</v>
      </c>
      <c r="F49" s="24" t="s">
        <v>161</v>
      </c>
      <c r="G49" s="26" t="s">
        <v>144</v>
      </c>
      <c r="H49" s="24"/>
      <c r="I49" s="24"/>
      <c r="J49" s="24" t="s">
        <v>146</v>
      </c>
      <c r="K49" s="24"/>
    </row>
    <row r="50" spans="1:11">
      <c r="A50" s="34" t="s">
        <v>43</v>
      </c>
      <c r="B50" s="24" t="s">
        <v>104</v>
      </c>
      <c r="C50" s="24" t="s">
        <v>75</v>
      </c>
      <c r="D50" s="24" t="s">
        <v>209</v>
      </c>
      <c r="E50" s="27" t="s">
        <v>14</v>
      </c>
      <c r="F50" s="24" t="s">
        <v>153</v>
      </c>
      <c r="G50" s="26" t="s">
        <v>144</v>
      </c>
      <c r="H50" s="24"/>
      <c r="I50" s="24"/>
      <c r="J50" s="24" t="s">
        <v>146</v>
      </c>
      <c r="K50" s="24"/>
    </row>
    <row r="51" spans="1:11">
      <c r="A51" s="30" t="s">
        <v>26</v>
      </c>
      <c r="B51" s="24" t="s">
        <v>113</v>
      </c>
      <c r="C51" s="24" t="s">
        <v>75</v>
      </c>
      <c r="D51" s="24" t="s">
        <v>210</v>
      </c>
      <c r="E51" s="27" t="s">
        <v>14</v>
      </c>
      <c r="F51" s="24" t="s">
        <v>153</v>
      </c>
      <c r="G51" s="26" t="s">
        <v>144</v>
      </c>
      <c r="H51" s="24"/>
      <c r="I51" s="24"/>
      <c r="J51" s="24" t="s">
        <v>146</v>
      </c>
      <c r="K51" s="24"/>
    </row>
    <row r="52" spans="1:11">
      <c r="A52" s="23" t="s">
        <v>33</v>
      </c>
      <c r="B52" s="24" t="s">
        <v>132</v>
      </c>
      <c r="C52" s="24" t="s">
        <v>75</v>
      </c>
      <c r="D52" s="24" t="s">
        <v>211</v>
      </c>
      <c r="E52" s="27" t="s">
        <v>14</v>
      </c>
      <c r="F52" s="24" t="s">
        <v>212</v>
      </c>
      <c r="G52" s="26" t="s">
        <v>144</v>
      </c>
      <c r="H52" s="24" t="s">
        <v>213</v>
      </c>
      <c r="I52" s="24"/>
      <c r="J52" s="24" t="s">
        <v>146</v>
      </c>
      <c r="K52" s="24"/>
    </row>
    <row r="53" spans="1:11">
      <c r="A53" s="30" t="s">
        <v>26</v>
      </c>
      <c r="B53" s="24" t="s">
        <v>114</v>
      </c>
      <c r="C53" s="24" t="s">
        <v>75</v>
      </c>
      <c r="D53" s="24" t="s">
        <v>214</v>
      </c>
      <c r="E53" s="27" t="s">
        <v>14</v>
      </c>
      <c r="F53" s="24" t="s">
        <v>148</v>
      </c>
      <c r="G53" s="26" t="s">
        <v>144</v>
      </c>
      <c r="H53" s="24"/>
      <c r="I53" s="24"/>
      <c r="J53" s="24" t="s">
        <v>146</v>
      </c>
      <c r="K53" s="24"/>
    </row>
    <row r="54" spans="1:11">
      <c r="A54" s="34" t="s">
        <v>43</v>
      </c>
      <c r="B54" s="24" t="s">
        <v>105</v>
      </c>
      <c r="C54" s="24" t="s">
        <v>75</v>
      </c>
      <c r="D54" s="24"/>
      <c r="E54" s="35" t="s">
        <v>19</v>
      </c>
      <c r="F54" s="24"/>
      <c r="G54" s="26" t="s">
        <v>144</v>
      </c>
      <c r="H54" s="24"/>
      <c r="I54" s="24"/>
      <c r="J54" s="24" t="s">
        <v>146</v>
      </c>
      <c r="K54" s="24"/>
    </row>
    <row r="55" spans="1:11">
      <c r="A55" s="23" t="s">
        <v>33</v>
      </c>
      <c r="B55" s="24" t="s">
        <v>133</v>
      </c>
      <c r="C55" s="24" t="s">
        <v>75</v>
      </c>
      <c r="D55" s="24" t="s">
        <v>215</v>
      </c>
      <c r="E55" s="27" t="s">
        <v>14</v>
      </c>
      <c r="F55" s="24" t="s">
        <v>212</v>
      </c>
      <c r="G55" s="26" t="s">
        <v>144</v>
      </c>
      <c r="H55" s="24"/>
      <c r="I55" s="24"/>
      <c r="J55" s="24" t="s">
        <v>146</v>
      </c>
      <c r="K55" s="24"/>
    </row>
    <row r="56" spans="1:11">
      <c r="A56" s="28" t="s">
        <v>42</v>
      </c>
      <c r="B56" s="24" t="s">
        <v>123</v>
      </c>
      <c r="C56" s="24" t="s">
        <v>75</v>
      </c>
      <c r="D56" s="24" t="s">
        <v>216</v>
      </c>
      <c r="E56" s="25" t="s">
        <v>18</v>
      </c>
      <c r="F56" s="24"/>
      <c r="G56" s="26" t="s">
        <v>144</v>
      </c>
      <c r="H56" s="24" t="s">
        <v>173</v>
      </c>
      <c r="I56" s="24"/>
      <c r="J56" s="24" t="s">
        <v>146</v>
      </c>
      <c r="K56" s="24"/>
    </row>
    <row r="57" spans="1:11">
      <c r="A57" s="32" t="s">
        <v>35</v>
      </c>
      <c r="B57" s="24" t="s">
        <v>85</v>
      </c>
      <c r="C57" s="24" t="s">
        <v>75</v>
      </c>
      <c r="D57" s="24" t="s">
        <v>217</v>
      </c>
      <c r="E57" s="27" t="s">
        <v>14</v>
      </c>
      <c r="F57" s="24" t="s">
        <v>148</v>
      </c>
      <c r="G57" s="26" t="s">
        <v>144</v>
      </c>
      <c r="H57" s="24" t="s">
        <v>218</v>
      </c>
      <c r="I57" s="24"/>
      <c r="J57" s="24" t="s">
        <v>146</v>
      </c>
      <c r="K57" s="24"/>
    </row>
    <row r="58" spans="1:11">
      <c r="A58" s="32" t="s">
        <v>35</v>
      </c>
      <c r="B58" s="24" t="s">
        <v>86</v>
      </c>
      <c r="C58" s="24" t="s">
        <v>75</v>
      </c>
      <c r="D58" s="24" t="s">
        <v>219</v>
      </c>
      <c r="E58" s="27" t="s">
        <v>14</v>
      </c>
      <c r="F58" s="24" t="s">
        <v>182</v>
      </c>
      <c r="G58" s="26" t="s">
        <v>144</v>
      </c>
      <c r="H58" s="24" t="s">
        <v>220</v>
      </c>
      <c r="I58" s="24" t="s">
        <v>221</v>
      </c>
      <c r="J58" s="24" t="s">
        <v>144</v>
      </c>
      <c r="K58" s="24" t="s">
        <v>222</v>
      </c>
    </row>
  </sheetData>
  <autoFilter ref="A1:G1" xr:uid="{00000000-0009-0000-0000-000003000000}"/>
  <conditionalFormatting sqref="G2:G58">
    <cfRule type="cellIs" dxfId="135" priority="1" stopIfTrue="1" operator="equal">
      <formula>"Sim"</formula>
    </cfRule>
    <cfRule type="cellIs" dxfId="134" priority="3" stopIfTrue="1" operator="equal">
      <formula>"Não"</formula>
    </cfRule>
  </conditionalFormatting>
  <conditionalFormatting sqref="J2:J58">
    <cfRule type="cellIs" dxfId="133" priority="4" stopIfTrue="1" operator="equal">
      <formula>"Sim"</formula>
    </cfRule>
    <cfRule type="cellIs" dxfId="132" priority="4" stopIfTrue="1" operator="equal">
      <formula>"Não"</formula>
    </cfRule>
    <cfRule type="cellIs" dxfId="131" priority="5" stopIfTrue="1" operator="equal">
      <formula>"Em Análise"</formula>
    </cfRule>
  </conditionalFormatting>
  <conditionalFormatting sqref="E2:E58">
    <cfRule type="cellIs" dxfId="130" priority="6" stopIfTrue="1" operator="equal">
      <formula>"Enviado"</formula>
    </cfRule>
    <cfRule type="cellIs" dxfId="129" priority="7" stopIfTrue="1" operator="equal">
      <formula>"Atrasado"</formula>
    </cfRule>
    <cfRule type="cellIs" dxfId="128" priority="8" stopIfTrue="1" operator="equal">
      <formula>"Atrasado &gt;= 2"</formula>
    </cfRule>
    <cfRule type="cellIs" dxfId="127" priority="9" stopIfTrue="1" operator="equal">
      <formula>"Outras Ocorrências"</formula>
    </cfRule>
    <cfRule type="cellIs" dxfId="126" priority="10" stopIfTrue="1" operator="equal">
      <formula>"Sem Técnico"</formula>
    </cfRule>
    <cfRule type="cellIs" dxfId="12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88"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26" t="s">
        <v>144</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160</v>
      </c>
      <c r="G3" s="26" t="s">
        <v>144</v>
      </c>
      <c r="H3" s="24"/>
      <c r="I3" s="24" t="s">
        <v>223</v>
      </c>
      <c r="J3" s="24" t="s">
        <v>144</v>
      </c>
      <c r="K3" s="24" t="s">
        <v>224</v>
      </c>
    </row>
    <row r="4" spans="1:11">
      <c r="A4" s="28" t="s">
        <v>42</v>
      </c>
      <c r="B4" s="24" t="s">
        <v>116</v>
      </c>
      <c r="C4" s="24" t="s">
        <v>75</v>
      </c>
      <c r="D4" s="24" t="str">
        <f>IFERROR(IF(INDEX('01.25'!D2:D500, MATCH(B4&amp;C4, INDEX('01.25'!B2:B500&amp;'01.25'!C2:C500, 0), 0))="", "", INDEX('01.25'!D2:D500, MATCH(B4&amp;C4, INDEX('01.25'!B2:B500&amp;'01.25'!C2:C500, 0), 0))), "")</f>
        <v>Claudete Rodrigues Scarpelini</v>
      </c>
      <c r="E4" s="27" t="s">
        <v>14</v>
      </c>
      <c r="F4" s="24" t="s">
        <v>225</v>
      </c>
      <c r="G4" s="26" t="s">
        <v>144</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226</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227</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225</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227</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161</v>
      </c>
      <c r="G9" s="26" t="s">
        <v>144</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148</v>
      </c>
      <c r="G10" s="26" t="s">
        <v>144</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148</v>
      </c>
      <c r="G11" s="26" t="s">
        <v>144</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148</v>
      </c>
      <c r="G12" s="26" t="s">
        <v>144</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228</v>
      </c>
      <c r="G13" s="26" t="s">
        <v>144</v>
      </c>
      <c r="H13" s="24"/>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161</v>
      </c>
      <c r="G14" s="26" t="s">
        <v>144</v>
      </c>
      <c r="H14" s="24"/>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227</v>
      </c>
      <c r="G15" s="26" t="s">
        <v>144</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226</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148</v>
      </c>
      <c r="G17" s="26" t="s">
        <v>144</v>
      </c>
      <c r="H17" s="24" t="s">
        <v>168</v>
      </c>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229</v>
      </c>
      <c r="G18" s="26" t="s">
        <v>144</v>
      </c>
      <c r="H18" s="24" t="s">
        <v>171</v>
      </c>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26" t="s">
        <v>144</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227</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160</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227</v>
      </c>
      <c r="G22" s="26" t="s">
        <v>144</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227</v>
      </c>
      <c r="G23" s="26" t="s">
        <v>144</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227</v>
      </c>
      <c r="G24" s="26" t="s">
        <v>144</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7" t="s">
        <v>14</v>
      </c>
      <c r="F25" s="24" t="s">
        <v>161</v>
      </c>
      <c r="G25" s="33" t="s">
        <v>146</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227</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148</v>
      </c>
      <c r="G27" s="26" t="s">
        <v>144</v>
      </c>
      <c r="H27" s="24" t="s">
        <v>185</v>
      </c>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227</v>
      </c>
      <c r="G28" s="26" t="s">
        <v>144</v>
      </c>
      <c r="H28" s="24" t="s">
        <v>230</v>
      </c>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231</v>
      </c>
      <c r="G29" s="26" t="s">
        <v>144</v>
      </c>
      <c r="H29" s="24" t="s">
        <v>232</v>
      </c>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229</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148</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227</v>
      </c>
      <c r="G32" s="33" t="s">
        <v>146</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233</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227</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160</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179</v>
      </c>
      <c r="G36" s="33" t="s">
        <v>146</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227</v>
      </c>
      <c r="G37" s="26" t="s">
        <v>144</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148</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160</v>
      </c>
      <c r="G39" s="26" t="s">
        <v>144</v>
      </c>
      <c r="H39" s="24" t="s">
        <v>234</v>
      </c>
      <c r="I39" s="36" t="s">
        <v>235</v>
      </c>
      <c r="J39" s="24" t="s">
        <v>144</v>
      </c>
      <c r="K39" s="24" t="s">
        <v>236</v>
      </c>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237</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227</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238</v>
      </c>
      <c r="G42" s="26" t="s">
        <v>144</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160</v>
      </c>
      <c r="G43" s="26" t="s">
        <v>144</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227</v>
      </c>
      <c r="G44" s="33" t="s">
        <v>146</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239</v>
      </c>
      <c r="G45" s="26" t="s">
        <v>144</v>
      </c>
      <c r="H45" s="24" t="s">
        <v>230</v>
      </c>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206</v>
      </c>
      <c r="G46" s="26" t="s">
        <v>144</v>
      </c>
      <c r="H46" s="24"/>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26" t="s">
        <v>144</v>
      </c>
      <c r="H47" s="24" t="s">
        <v>173</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238</v>
      </c>
      <c r="G48" s="26" t="s">
        <v>144</v>
      </c>
      <c r="H48" s="24" t="s">
        <v>240</v>
      </c>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158</v>
      </c>
      <c r="G49" s="26" t="s">
        <v>144</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227</v>
      </c>
      <c r="G50" s="33" t="s">
        <v>146</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239</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241</v>
      </c>
      <c r="G52" s="26" t="s">
        <v>144</v>
      </c>
      <c r="H52" s="24" t="s">
        <v>242</v>
      </c>
      <c r="I52" s="24" t="s">
        <v>243</v>
      </c>
      <c r="J52" s="24" t="s">
        <v>144</v>
      </c>
      <c r="K52" s="24" t="s">
        <v>244</v>
      </c>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7" t="s">
        <v>14</v>
      </c>
      <c r="F53" s="24" t="s">
        <v>161</v>
      </c>
      <c r="G53" s="26" t="s">
        <v>144</v>
      </c>
      <c r="H53" s="24"/>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26" t="s">
        <v>144</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212</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160</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158</v>
      </c>
      <c r="G57" s="26" t="s">
        <v>144</v>
      </c>
      <c r="H57" s="24" t="s">
        <v>218</v>
      </c>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239</v>
      </c>
      <c r="G58" s="26" t="s">
        <v>144</v>
      </c>
      <c r="H58" s="24"/>
      <c r="I58" s="24"/>
      <c r="J58" s="24" t="s">
        <v>146</v>
      </c>
      <c r="K58" s="24"/>
    </row>
  </sheetData>
  <autoFilter ref="A1:G1" xr:uid="{00000000-0009-0000-0000-000004000000}"/>
  <conditionalFormatting sqref="G2:G58">
    <cfRule type="cellIs" dxfId="124" priority="1" stopIfTrue="1" operator="equal">
      <formula>"Sim"</formula>
    </cfRule>
    <cfRule type="cellIs" dxfId="123" priority="3" stopIfTrue="1" operator="equal">
      <formula>"Não"</formula>
    </cfRule>
  </conditionalFormatting>
  <conditionalFormatting sqref="J2:J58">
    <cfRule type="cellIs" dxfId="122" priority="4" stopIfTrue="1" operator="equal">
      <formula>"Sim"</formula>
    </cfRule>
    <cfRule type="cellIs" dxfId="121" priority="4" stopIfTrue="1" operator="equal">
      <formula>"Não"</formula>
    </cfRule>
    <cfRule type="cellIs" dxfId="120" priority="5" stopIfTrue="1" operator="equal">
      <formula>"Em Análise"</formula>
    </cfRule>
  </conditionalFormatting>
  <conditionalFormatting sqref="E2:E58">
    <cfRule type="cellIs" dxfId="119" priority="6" stopIfTrue="1" operator="equal">
      <formula>"Enviado"</formula>
    </cfRule>
    <cfRule type="cellIs" dxfId="118" priority="7" stopIfTrue="1" operator="equal">
      <formula>"Atrasado"</formula>
    </cfRule>
    <cfRule type="cellIs" dxfId="117" priority="8" stopIfTrue="1" operator="equal">
      <formula>"Atrasado &gt;= 2"</formula>
    </cfRule>
    <cfRule type="cellIs" dxfId="116" priority="9" stopIfTrue="1" operator="equal">
      <formula>"Outras Ocorrências"</formula>
    </cfRule>
    <cfRule type="cellIs" dxfId="115" priority="10" stopIfTrue="1" operator="equal">
      <formula>"Sem Técnico"</formula>
    </cfRule>
    <cfRule type="cellIs" dxfId="11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132" customWidth="1"/>
    <col min="9" max="9" width="34" customWidth="1"/>
    <col min="10" max="10" width="25" customWidth="1"/>
    <col min="11" max="11" width="49"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26" t="s">
        <v>144</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245</v>
      </c>
      <c r="G3" s="26" t="s">
        <v>144</v>
      </c>
      <c r="H3" s="24" t="s">
        <v>246</v>
      </c>
      <c r="I3" s="24" t="s">
        <v>247</v>
      </c>
      <c r="J3" s="24" t="s">
        <v>144</v>
      </c>
      <c r="K3" s="24" t="s">
        <v>248</v>
      </c>
    </row>
    <row r="4" spans="1:11">
      <c r="A4" s="28" t="s">
        <v>42</v>
      </c>
      <c r="B4" s="24" t="s">
        <v>116</v>
      </c>
      <c r="C4" s="24" t="s">
        <v>75</v>
      </c>
      <c r="D4" s="24" t="str">
        <f>IFERROR(IF(INDEX('01.25'!D2:D500, MATCH(B4&amp;C4, INDEX('01.25'!B2:B500&amp;'01.25'!C2:C500, 0), 0))="", "", INDEX('01.25'!D2:D500, MATCH(B4&amp;C4, INDEX('01.25'!B2:B500&amp;'01.25'!C2:C500, 0), 0))), "")</f>
        <v>Claudete Rodrigues Scarpelini</v>
      </c>
      <c r="E4" s="27" t="s">
        <v>14</v>
      </c>
      <c r="F4" s="24" t="s">
        <v>249</v>
      </c>
      <c r="G4" s="33" t="s">
        <v>146</v>
      </c>
      <c r="H4" s="24" t="s">
        <v>250</v>
      </c>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241</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251</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241</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245</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161</v>
      </c>
      <c r="G9" s="26" t="s">
        <v>144</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252</v>
      </c>
      <c r="G10" s="26" t="s">
        <v>144</v>
      </c>
      <c r="H10" s="24" t="s">
        <v>253</v>
      </c>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252</v>
      </c>
      <c r="G11" s="26" t="s">
        <v>144</v>
      </c>
      <c r="H11" s="24" t="s">
        <v>254</v>
      </c>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252</v>
      </c>
      <c r="G12" s="26" t="s">
        <v>144</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252</v>
      </c>
      <c r="G13" s="26" t="s">
        <v>144</v>
      </c>
      <c r="H13" s="24"/>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252</v>
      </c>
      <c r="G14" s="26" t="s">
        <v>144</v>
      </c>
      <c r="H14" s="24" t="s">
        <v>255</v>
      </c>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252</v>
      </c>
      <c r="G15" s="26" t="s">
        <v>144</v>
      </c>
      <c r="H15" s="24" t="s">
        <v>256</v>
      </c>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245</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257</v>
      </c>
      <c r="G17" s="26" t="s">
        <v>144</v>
      </c>
      <c r="H17" s="24" t="s">
        <v>258</v>
      </c>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251</v>
      </c>
      <c r="G18" s="26" t="s">
        <v>144</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26" t="s">
        <v>144</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228</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251</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252</v>
      </c>
      <c r="G22" s="26" t="s">
        <v>144</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245</v>
      </c>
      <c r="G23" s="26" t="s">
        <v>144</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228</v>
      </c>
      <c r="G24" s="26" t="s">
        <v>144</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7" t="s">
        <v>14</v>
      </c>
      <c r="F25" s="24" t="s">
        <v>259</v>
      </c>
      <c r="G25" s="26" t="s">
        <v>144</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251</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148</v>
      </c>
      <c r="G27" s="26" t="s">
        <v>144</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251</v>
      </c>
      <c r="G28" s="26" t="s">
        <v>144</v>
      </c>
      <c r="H28" s="24" t="s">
        <v>260</v>
      </c>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206</v>
      </c>
      <c r="G29" s="26" t="s">
        <v>144</v>
      </c>
      <c r="H29" s="24"/>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228</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228</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241</v>
      </c>
      <c r="G32" s="26" t="s">
        <v>144</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251</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228</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252</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261</v>
      </c>
      <c r="G36" s="26" t="s">
        <v>144</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262</v>
      </c>
      <c r="G37" s="26" t="s">
        <v>144</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228</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252</v>
      </c>
      <c r="G39" s="26" t="s">
        <v>144</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263</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251</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241</v>
      </c>
      <c r="G42" s="26" t="s">
        <v>144</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245</v>
      </c>
      <c r="G43" s="26" t="s">
        <v>144</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228</v>
      </c>
      <c r="G44" s="26" t="s">
        <v>144</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228</v>
      </c>
      <c r="G45" s="26" t="s">
        <v>144</v>
      </c>
      <c r="H45" s="24" t="s">
        <v>264</v>
      </c>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206</v>
      </c>
      <c r="G46" s="26" t="s">
        <v>144</v>
      </c>
      <c r="H46" s="24" t="s">
        <v>265</v>
      </c>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26" t="s">
        <v>144</v>
      </c>
      <c r="H47" s="24" t="s">
        <v>266</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267</v>
      </c>
      <c r="G48" s="26" t="s">
        <v>144</v>
      </c>
      <c r="H48" s="24" t="s">
        <v>268</v>
      </c>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269</v>
      </c>
      <c r="G49" s="26" t="s">
        <v>144</v>
      </c>
      <c r="H49" s="24" t="s">
        <v>270</v>
      </c>
      <c r="I49" s="24" t="s">
        <v>271</v>
      </c>
      <c r="J49" s="24" t="s">
        <v>144</v>
      </c>
      <c r="K49" s="24" t="s">
        <v>272</v>
      </c>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241</v>
      </c>
      <c r="G50" s="26" t="s">
        <v>144</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245</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245</v>
      </c>
      <c r="G52" s="26" t="s">
        <v>144</v>
      </c>
      <c r="H52" s="24" t="s">
        <v>273</v>
      </c>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7" t="s">
        <v>14</v>
      </c>
      <c r="F53" s="24" t="s">
        <v>251</v>
      </c>
      <c r="G53" s="26" t="s">
        <v>144</v>
      </c>
      <c r="H53" s="24"/>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26" t="s">
        <v>144</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252</v>
      </c>
      <c r="G55" s="26" t="s">
        <v>144</v>
      </c>
      <c r="H55" s="24" t="s">
        <v>273</v>
      </c>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228</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241</v>
      </c>
      <c r="G57" s="26" t="s">
        <v>144</v>
      </c>
      <c r="H57" s="24" t="s">
        <v>218</v>
      </c>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257</v>
      </c>
      <c r="G58" s="26" t="s">
        <v>144</v>
      </c>
      <c r="H58" s="24"/>
      <c r="I58" s="24"/>
      <c r="J58" s="24" t="s">
        <v>146</v>
      </c>
      <c r="K58" s="24"/>
    </row>
  </sheetData>
  <autoFilter ref="A1:G1" xr:uid="{00000000-0009-0000-0000-000005000000}"/>
  <conditionalFormatting sqref="G2:G58">
    <cfRule type="cellIs" dxfId="113" priority="1" stopIfTrue="1" operator="equal">
      <formula>"Sim"</formula>
    </cfRule>
    <cfRule type="cellIs" dxfId="112" priority="3" stopIfTrue="1" operator="equal">
      <formula>"Não"</formula>
    </cfRule>
  </conditionalFormatting>
  <conditionalFormatting sqref="J2:J58">
    <cfRule type="cellIs" dxfId="111" priority="4" stopIfTrue="1" operator="equal">
      <formula>"Sim"</formula>
    </cfRule>
    <cfRule type="cellIs" dxfId="110" priority="4" stopIfTrue="1" operator="equal">
      <formula>"Não"</formula>
    </cfRule>
    <cfRule type="cellIs" dxfId="109" priority="5" stopIfTrue="1" operator="equal">
      <formula>"Em Análise"</formula>
    </cfRule>
  </conditionalFormatting>
  <conditionalFormatting sqref="E2:E58">
    <cfRule type="cellIs" dxfId="108" priority="6" stopIfTrue="1" operator="equal">
      <formula>"Enviado"</formula>
    </cfRule>
    <cfRule type="cellIs" dxfId="107" priority="7" stopIfTrue="1" operator="equal">
      <formula>"Atrasado"</formula>
    </cfRule>
    <cfRule type="cellIs" dxfId="106" priority="8" stopIfTrue="1" operator="equal">
      <formula>"Atrasado &gt;= 2"</formula>
    </cfRule>
    <cfRule type="cellIs" dxfId="105" priority="9" stopIfTrue="1" operator="equal">
      <formula>"Outras Ocorrências"</formula>
    </cfRule>
    <cfRule type="cellIs" dxfId="104" priority="10" stopIfTrue="1" operator="equal">
      <formula>"Sem Técnico"</formula>
    </cfRule>
    <cfRule type="cellIs" dxfId="10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94" customWidth="1"/>
    <col min="9" max="9" width="34" customWidth="1"/>
    <col min="10" max="10" width="25" customWidth="1"/>
    <col min="11" max="11" width="53"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26" t="s">
        <v>144</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269</v>
      </c>
      <c r="G3" s="26" t="s">
        <v>144</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35" t="s">
        <v>19</v>
      </c>
      <c r="F4" s="24"/>
      <c r="G4" s="33" t="s">
        <v>146</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274</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274</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275</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274</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276</v>
      </c>
      <c r="G9" s="26" t="s">
        <v>144</v>
      </c>
      <c r="H9" s="24" t="s">
        <v>277</v>
      </c>
      <c r="I9" s="24" t="s">
        <v>278</v>
      </c>
      <c r="J9" s="24" t="s">
        <v>144</v>
      </c>
      <c r="K9" s="24" t="s">
        <v>279</v>
      </c>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280</v>
      </c>
      <c r="G10" s="26" t="s">
        <v>144</v>
      </c>
      <c r="H10" s="24" t="s">
        <v>281</v>
      </c>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280</v>
      </c>
      <c r="G11" s="26" t="s">
        <v>144</v>
      </c>
      <c r="H11" s="24" t="s">
        <v>281</v>
      </c>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280</v>
      </c>
      <c r="G12" s="26" t="s">
        <v>144</v>
      </c>
      <c r="H12" s="24" t="s">
        <v>281</v>
      </c>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280</v>
      </c>
      <c r="G13" s="26" t="s">
        <v>144</v>
      </c>
      <c r="H13" s="24" t="s">
        <v>281</v>
      </c>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280</v>
      </c>
      <c r="G14" s="26" t="s">
        <v>144</v>
      </c>
      <c r="H14" s="24" t="s">
        <v>281</v>
      </c>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274</v>
      </c>
      <c r="G15" s="26" t="s">
        <v>144</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282</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283</v>
      </c>
      <c r="G17" s="26" t="s">
        <v>144</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269</v>
      </c>
      <c r="G18" s="26" t="s">
        <v>144</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26" t="s">
        <v>144</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284</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285</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275</v>
      </c>
      <c r="G22" s="26" t="s">
        <v>144</v>
      </c>
      <c r="H22" s="24" t="s">
        <v>286</v>
      </c>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275</v>
      </c>
      <c r="G23" s="26" t="s">
        <v>144</v>
      </c>
      <c r="H23" s="24" t="s">
        <v>286</v>
      </c>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275</v>
      </c>
      <c r="G24" s="26" t="s">
        <v>144</v>
      </c>
      <c r="H24" s="24" t="s">
        <v>286</v>
      </c>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7" t="s">
        <v>14</v>
      </c>
      <c r="F25" s="24" t="s">
        <v>287</v>
      </c>
      <c r="G25" s="26" t="s">
        <v>144</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274</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285</v>
      </c>
      <c r="G27" s="26" t="s">
        <v>144</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275</v>
      </c>
      <c r="G28" s="26" t="s">
        <v>144</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275</v>
      </c>
      <c r="G29" s="26" t="s">
        <v>144</v>
      </c>
      <c r="H29" s="24" t="s">
        <v>277</v>
      </c>
      <c r="I29" s="24" t="s">
        <v>288</v>
      </c>
      <c r="J29" s="24" t="s">
        <v>144</v>
      </c>
      <c r="K29" s="24" t="s">
        <v>289</v>
      </c>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285</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269</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285</v>
      </c>
      <c r="G32" s="26" t="s">
        <v>144</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274</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274</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285</v>
      </c>
      <c r="G35" s="26" t="s">
        <v>144</v>
      </c>
      <c r="H35" s="24" t="s">
        <v>286</v>
      </c>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290</v>
      </c>
      <c r="G36" s="26" t="s">
        <v>144</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274</v>
      </c>
      <c r="G37" s="33" t="s">
        <v>146</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284</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285</v>
      </c>
      <c r="G39" s="26" t="s">
        <v>144</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291</v>
      </c>
      <c r="G40" s="33" t="s">
        <v>146</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269</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284</v>
      </c>
      <c r="G42" s="33" t="s">
        <v>146</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283</v>
      </c>
      <c r="G43" s="26" t="s">
        <v>144</v>
      </c>
      <c r="H43" s="24" t="s">
        <v>286</v>
      </c>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285</v>
      </c>
      <c r="G44" s="26" t="s">
        <v>144</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284</v>
      </c>
      <c r="G45" s="26" t="s">
        <v>144</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274</v>
      </c>
      <c r="G46" s="26" t="s">
        <v>144</v>
      </c>
      <c r="H46" s="24" t="s">
        <v>292</v>
      </c>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26" t="s">
        <v>144</v>
      </c>
      <c r="H47" s="24" t="s">
        <v>293</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294</v>
      </c>
      <c r="G48" s="26" t="s">
        <v>144</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269</v>
      </c>
      <c r="G49" s="26" t="s">
        <v>144</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274</v>
      </c>
      <c r="G50" s="26" t="s">
        <v>144</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284</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284</v>
      </c>
      <c r="G52" s="26" t="s">
        <v>144</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7" t="s">
        <v>14</v>
      </c>
      <c r="F53" s="24" t="s">
        <v>274</v>
      </c>
      <c r="G53" s="26" t="s">
        <v>144</v>
      </c>
      <c r="H53" s="24"/>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26" t="s">
        <v>144</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274</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274</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269</v>
      </c>
      <c r="G57" s="26" t="s">
        <v>144</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291</v>
      </c>
      <c r="G58" s="26" t="s">
        <v>144</v>
      </c>
      <c r="H58" s="24" t="s">
        <v>295</v>
      </c>
      <c r="I58" s="24"/>
      <c r="J58" s="24" t="s">
        <v>146</v>
      </c>
      <c r="K58" s="24"/>
    </row>
  </sheetData>
  <autoFilter ref="A1:G1" xr:uid="{00000000-0009-0000-0000-000006000000}"/>
  <conditionalFormatting sqref="G2:G58">
    <cfRule type="cellIs" dxfId="102" priority="1" stopIfTrue="1" operator="equal">
      <formula>"Sim"</formula>
    </cfRule>
    <cfRule type="cellIs" dxfId="101" priority="3" stopIfTrue="1" operator="equal">
      <formula>"Não"</formula>
    </cfRule>
  </conditionalFormatting>
  <conditionalFormatting sqref="J2:J58">
    <cfRule type="cellIs" dxfId="100" priority="4" stopIfTrue="1" operator="equal">
      <formula>"Sim"</formula>
    </cfRule>
    <cfRule type="cellIs" dxfId="99" priority="4" stopIfTrue="1" operator="equal">
      <formula>"Não"</formula>
    </cfRule>
    <cfRule type="cellIs" dxfId="98" priority="5" stopIfTrue="1" operator="equal">
      <formula>"Em Análise"</formula>
    </cfRule>
  </conditionalFormatting>
  <conditionalFormatting sqref="E2:E58">
    <cfRule type="cellIs" dxfId="97" priority="6" stopIfTrue="1" operator="equal">
      <formula>"Enviado"</formula>
    </cfRule>
    <cfRule type="cellIs" dxfId="96" priority="7" stopIfTrue="1" operator="equal">
      <formula>"Atrasado"</formula>
    </cfRule>
    <cfRule type="cellIs" dxfId="95" priority="8" stopIfTrue="1" operator="equal">
      <formula>"Atrasado &gt;= 2"</formula>
    </cfRule>
    <cfRule type="cellIs" dxfId="94" priority="9" stopIfTrue="1" operator="equal">
      <formula>"Outras Ocorrências"</formula>
    </cfRule>
    <cfRule type="cellIs" dxfId="93" priority="10" stopIfTrue="1" operator="equal">
      <formula>"Sem Técnico"</formula>
    </cfRule>
    <cfRule type="cellIs" dxfId="9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94" customWidth="1"/>
    <col min="9" max="9" width="34" customWidth="1"/>
    <col min="10" max="10" width="25" customWidth="1"/>
    <col min="11" max="11" width="44"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26" t="s">
        <v>144</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296</v>
      </c>
      <c r="G3" s="26" t="s">
        <v>144</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35" t="s">
        <v>19</v>
      </c>
      <c r="F4" s="24"/>
      <c r="G4" s="33" t="s">
        <v>146</v>
      </c>
      <c r="H4" s="24" t="s">
        <v>297</v>
      </c>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177</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298</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299</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300</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296</v>
      </c>
      <c r="G9" s="26" t="s">
        <v>144</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301</v>
      </c>
      <c r="G10" s="26" t="s">
        <v>144</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302</v>
      </c>
      <c r="G11" s="26" t="s">
        <v>144</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302</v>
      </c>
      <c r="G12" s="26" t="s">
        <v>144</v>
      </c>
      <c r="H12" s="24" t="s">
        <v>303</v>
      </c>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304</v>
      </c>
      <c r="G13" s="33" t="s">
        <v>146</v>
      </c>
      <c r="H13" s="24" t="s">
        <v>305</v>
      </c>
      <c r="I13" s="24" t="s">
        <v>306</v>
      </c>
      <c r="J13" s="24" t="s">
        <v>144</v>
      </c>
      <c r="K13" s="24" t="s">
        <v>307</v>
      </c>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308</v>
      </c>
      <c r="G14" s="26" t="s">
        <v>144</v>
      </c>
      <c r="H14" s="24" t="s">
        <v>309</v>
      </c>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310</v>
      </c>
      <c r="G15" s="26" t="s">
        <v>144</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296</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302</v>
      </c>
      <c r="G17" s="26" t="s">
        <v>144</v>
      </c>
      <c r="H17" s="24" t="s">
        <v>311</v>
      </c>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312</v>
      </c>
      <c r="G18" s="26" t="s">
        <v>144</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26" t="s">
        <v>144</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302</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177</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313</v>
      </c>
      <c r="G22" s="26" t="s">
        <v>144</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313</v>
      </c>
      <c r="G23" s="26" t="s">
        <v>144</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314</v>
      </c>
      <c r="G24" s="33" t="s">
        <v>146</v>
      </c>
      <c r="H24" s="24" t="s">
        <v>315</v>
      </c>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7" t="s">
        <v>14</v>
      </c>
      <c r="F25" s="24" t="s">
        <v>316</v>
      </c>
      <c r="G25" s="26" t="s">
        <v>144</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300</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317</v>
      </c>
      <c r="G27" s="26" t="s">
        <v>144</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312</v>
      </c>
      <c r="G28" s="26" t="s">
        <v>144</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298</v>
      </c>
      <c r="G29" s="26" t="s">
        <v>144</v>
      </c>
      <c r="H29" s="24" t="s">
        <v>318</v>
      </c>
      <c r="I29" s="24" t="s">
        <v>319</v>
      </c>
      <c r="J29" s="24" t="s">
        <v>144</v>
      </c>
      <c r="K29" s="24" t="s">
        <v>320</v>
      </c>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177</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310</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300</v>
      </c>
      <c r="G32" s="26" t="s">
        <v>144</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177</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296</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300</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296</v>
      </c>
      <c r="G36" s="26" t="s">
        <v>144</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300</v>
      </c>
      <c r="G37" s="26" t="s">
        <v>144</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177</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302</v>
      </c>
      <c r="G39" s="26" t="s">
        <v>144</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312</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300</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177</v>
      </c>
      <c r="G42" s="33" t="s">
        <v>146</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300</v>
      </c>
      <c r="G43" s="26" t="s">
        <v>144</v>
      </c>
      <c r="H43" s="24" t="s">
        <v>321</v>
      </c>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302</v>
      </c>
      <c r="G44" s="26" t="s">
        <v>144</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299</v>
      </c>
      <c r="G45" s="26" t="s">
        <v>144</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302</v>
      </c>
      <c r="G46" s="26" t="s">
        <v>144</v>
      </c>
      <c r="H46" s="24"/>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26" t="s">
        <v>144</v>
      </c>
      <c r="H47" s="24" t="s">
        <v>293</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298</v>
      </c>
      <c r="G48" s="26" t="s">
        <v>144</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300</v>
      </c>
      <c r="G49" s="26" t="s">
        <v>144</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302</v>
      </c>
      <c r="G50" s="26" t="s">
        <v>144</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298</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296</v>
      </c>
      <c r="G52" s="26" t="s">
        <v>144</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7" t="s">
        <v>14</v>
      </c>
      <c r="F53" s="24" t="s">
        <v>302</v>
      </c>
      <c r="G53" s="26" t="s">
        <v>144</v>
      </c>
      <c r="H53" s="24"/>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26" t="s">
        <v>144</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302</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298</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177</v>
      </c>
      <c r="G57" s="26" t="s">
        <v>144</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308</v>
      </c>
      <c r="G58" s="26" t="s">
        <v>144</v>
      </c>
      <c r="H58" s="24"/>
      <c r="I58" s="24"/>
      <c r="J58" s="24" t="s">
        <v>146</v>
      </c>
      <c r="K58" s="24"/>
    </row>
  </sheetData>
  <autoFilter ref="A1:G1" xr:uid="{00000000-0009-0000-0000-000007000000}"/>
  <conditionalFormatting sqref="G2:G58">
    <cfRule type="cellIs" dxfId="91" priority="1" stopIfTrue="1" operator="equal">
      <formula>"Sim"</formula>
    </cfRule>
    <cfRule type="cellIs" dxfId="90" priority="3" stopIfTrue="1" operator="equal">
      <formula>"Não"</formula>
    </cfRule>
  </conditionalFormatting>
  <conditionalFormatting sqref="J2:J58">
    <cfRule type="cellIs" dxfId="89" priority="4" stopIfTrue="1" operator="equal">
      <formula>"Sim"</formula>
    </cfRule>
    <cfRule type="cellIs" dxfId="88" priority="4" stopIfTrue="1" operator="equal">
      <formula>"Não"</formula>
    </cfRule>
    <cfRule type="cellIs" dxfId="87" priority="5" stopIfTrue="1" operator="equal">
      <formula>"Em Análise"</formula>
    </cfRule>
  </conditionalFormatting>
  <conditionalFormatting sqref="E2:E58">
    <cfRule type="cellIs" dxfId="86" priority="6" stopIfTrue="1" operator="equal">
      <formula>"Enviado"</formula>
    </cfRule>
    <cfRule type="cellIs" dxfId="85" priority="7" stopIfTrue="1" operator="equal">
      <formula>"Atrasado"</formula>
    </cfRule>
    <cfRule type="cellIs" dxfId="84" priority="8" stopIfTrue="1" operator="equal">
      <formula>"Atrasado &gt;= 2"</formula>
    </cfRule>
    <cfRule type="cellIs" dxfId="83" priority="9" stopIfTrue="1" operator="equal">
      <formula>"Outras Ocorrências"</formula>
    </cfRule>
    <cfRule type="cellIs" dxfId="82" priority="10" stopIfTrue="1" operator="equal">
      <formula>"Sem Técnico"</formula>
    </cfRule>
    <cfRule type="cellIs" dxfId="8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105"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26" t="s">
        <v>144</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316</v>
      </c>
      <c r="G3" s="26" t="s">
        <v>144</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37" t="s">
        <v>16</v>
      </c>
      <c r="F4" s="24"/>
      <c r="G4" s="33" t="s">
        <v>146</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322</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322</v>
      </c>
      <c r="G6" s="26" t="s">
        <v>144</v>
      </c>
      <c r="H6" s="24" t="s">
        <v>323</v>
      </c>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322</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324</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325</v>
      </c>
      <c r="G9" s="26" t="s">
        <v>144</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326</v>
      </c>
      <c r="G10" s="26" t="s">
        <v>144</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316</v>
      </c>
      <c r="G11" s="26" t="s">
        <v>144</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304</v>
      </c>
      <c r="G12" s="26" t="s">
        <v>144</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304</v>
      </c>
      <c r="G13" s="26" t="s">
        <v>144</v>
      </c>
      <c r="H13" s="24" t="s">
        <v>327</v>
      </c>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304</v>
      </c>
      <c r="G14" s="26" t="s">
        <v>144</v>
      </c>
      <c r="H14" s="24"/>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328</v>
      </c>
      <c r="G15" s="26" t="s">
        <v>144</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314</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322</v>
      </c>
      <c r="G17" s="26" t="s">
        <v>144</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329</v>
      </c>
      <c r="G18" s="26" t="s">
        <v>144</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26" t="s">
        <v>144</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329</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316</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330</v>
      </c>
      <c r="G22" s="26" t="s">
        <v>144</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330</v>
      </c>
      <c r="G23" s="26" t="s">
        <v>144</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330</v>
      </c>
      <c r="G24" s="26" t="s">
        <v>144</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7" t="s">
        <v>14</v>
      </c>
      <c r="F25" s="24" t="s">
        <v>330</v>
      </c>
      <c r="G25" s="26" t="s">
        <v>144</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326</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329</v>
      </c>
      <c r="G27" s="26" t="s">
        <v>144</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326</v>
      </c>
      <c r="G28" s="26" t="s">
        <v>144</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329</v>
      </c>
      <c r="G29" s="26" t="s">
        <v>144</v>
      </c>
      <c r="H29" s="24"/>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322</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314</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316</v>
      </c>
      <c r="G32" s="26" t="s">
        <v>144</v>
      </c>
      <c r="H32" s="24" t="s">
        <v>331</v>
      </c>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316</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330</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326</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329</v>
      </c>
      <c r="G36" s="26" t="s">
        <v>144</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326</v>
      </c>
      <c r="G37" s="33" t="s">
        <v>146</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322</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316</v>
      </c>
      <c r="G39" s="26" t="s">
        <v>144</v>
      </c>
      <c r="H39" s="24" t="s">
        <v>332</v>
      </c>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326</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326</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314</v>
      </c>
      <c r="G42" s="26" t="s">
        <v>144</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324</v>
      </c>
      <c r="G43" s="26" t="s">
        <v>144</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333</v>
      </c>
      <c r="G44" s="26" t="s">
        <v>144</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333</v>
      </c>
      <c r="G45" s="26" t="s">
        <v>144</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334</v>
      </c>
      <c r="G46" s="33" t="s">
        <v>146</v>
      </c>
      <c r="H46" s="24" t="s">
        <v>335</v>
      </c>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26" t="s">
        <v>144</v>
      </c>
      <c r="H47" s="24" t="s">
        <v>293</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333</v>
      </c>
      <c r="G48" s="26" t="s">
        <v>144</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336</v>
      </c>
      <c r="G49" s="33" t="s">
        <v>146</v>
      </c>
      <c r="H49" s="24" t="s">
        <v>337</v>
      </c>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326</v>
      </c>
      <c r="G50" s="26" t="s">
        <v>144</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316</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322</v>
      </c>
      <c r="G52" s="26" t="s">
        <v>144</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7" t="s">
        <v>14</v>
      </c>
      <c r="F53" s="24" t="s">
        <v>328</v>
      </c>
      <c r="G53" s="26" t="s">
        <v>144</v>
      </c>
      <c r="H53" s="24" t="s">
        <v>338</v>
      </c>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26" t="s">
        <v>144</v>
      </c>
      <c r="H54" s="24" t="s">
        <v>339</v>
      </c>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304</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329</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322</v>
      </c>
      <c r="G57" s="26" t="s">
        <v>144</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326</v>
      </c>
      <c r="G58" s="26" t="s">
        <v>144</v>
      </c>
      <c r="H58" s="24"/>
      <c r="I58" s="24"/>
      <c r="J58" s="24" t="s">
        <v>146</v>
      </c>
      <c r="K58" s="24"/>
    </row>
  </sheetData>
  <autoFilter ref="A1:G1" xr:uid="{00000000-0009-0000-0000-000008000000}"/>
  <conditionalFormatting sqref="G2:G58">
    <cfRule type="cellIs" dxfId="80" priority="1" stopIfTrue="1" operator="equal">
      <formula>"Sim"</formula>
    </cfRule>
    <cfRule type="cellIs" dxfId="79" priority="3" stopIfTrue="1" operator="equal">
      <formula>"Não"</formula>
    </cfRule>
  </conditionalFormatting>
  <conditionalFormatting sqref="J2:J58">
    <cfRule type="cellIs" dxfId="78" priority="4" stopIfTrue="1" operator="equal">
      <formula>"Sim"</formula>
    </cfRule>
    <cfRule type="cellIs" dxfId="77" priority="4" stopIfTrue="1" operator="equal">
      <formula>"Não"</formula>
    </cfRule>
    <cfRule type="cellIs" dxfId="76" priority="5" stopIfTrue="1" operator="equal">
      <formula>"Em Análise"</formula>
    </cfRule>
  </conditionalFormatting>
  <conditionalFormatting sqref="E2:E58">
    <cfRule type="cellIs" dxfId="75" priority="6" stopIfTrue="1" operator="equal">
      <formula>"Enviado"</formula>
    </cfRule>
    <cfRule type="cellIs" dxfId="74" priority="7" stopIfTrue="1" operator="equal">
      <formula>"Atrasado"</formula>
    </cfRule>
    <cfRule type="cellIs" dxfId="73" priority="8" stopIfTrue="1" operator="equal">
      <formula>"Atrasado &gt;= 2"</formula>
    </cfRule>
    <cfRule type="cellIs" dxfId="72" priority="9" stopIfTrue="1" operator="equal">
      <formula>"Outras Ocorrências"</formula>
    </cfRule>
    <cfRule type="cellIs" dxfId="71" priority="10" stopIfTrue="1" operator="equal">
      <formula>"Sem Técnico"</formula>
    </cfRule>
    <cfRule type="cellIs" dxfId="7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166"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26" t="s">
        <v>144</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340</v>
      </c>
      <c r="G3" s="26" t="s">
        <v>144</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37" t="s">
        <v>16</v>
      </c>
      <c r="F4" s="24"/>
      <c r="G4" s="33" t="s">
        <v>146</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336</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336</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341</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342</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336</v>
      </c>
      <c r="G9" s="26" t="s">
        <v>144</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343</v>
      </c>
      <c r="G10" s="26" t="s">
        <v>144</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342</v>
      </c>
      <c r="G11" s="26" t="s">
        <v>144</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344</v>
      </c>
      <c r="G12" s="26" t="s">
        <v>144</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344</v>
      </c>
      <c r="G13" s="26" t="s">
        <v>144</v>
      </c>
      <c r="H13" s="24" t="s">
        <v>345</v>
      </c>
      <c r="I13" s="24" t="s">
        <v>346</v>
      </c>
      <c r="J13" s="24" t="s">
        <v>144</v>
      </c>
      <c r="K13" s="24" t="s">
        <v>347</v>
      </c>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344</v>
      </c>
      <c r="G14" s="26" t="s">
        <v>144</v>
      </c>
      <c r="H14" s="24" t="s">
        <v>345</v>
      </c>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342</v>
      </c>
      <c r="G15" s="26" t="s">
        <v>144</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336</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340</v>
      </c>
      <c r="G17" s="26" t="s">
        <v>144</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343</v>
      </c>
      <c r="G18" s="33" t="s">
        <v>146</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26" t="s">
        <v>144</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341</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340</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348</v>
      </c>
      <c r="G22" s="26" t="s">
        <v>144</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348</v>
      </c>
      <c r="G23" s="26" t="s">
        <v>144</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349</v>
      </c>
      <c r="G24" s="26" t="s">
        <v>144</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7" t="s">
        <v>14</v>
      </c>
      <c r="F25" s="24" t="s">
        <v>350</v>
      </c>
      <c r="G25" s="26" t="s">
        <v>144</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343</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351</v>
      </c>
      <c r="G27" s="26" t="s">
        <v>144</v>
      </c>
      <c r="H27" s="24" t="s">
        <v>352</v>
      </c>
      <c r="I27" s="24">
        <v>5512</v>
      </c>
      <c r="J27" s="24" t="s">
        <v>144</v>
      </c>
      <c r="K27" s="24" t="s">
        <v>353</v>
      </c>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344</v>
      </c>
      <c r="G28" s="26" t="s">
        <v>144</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340</v>
      </c>
      <c r="G29" s="26" t="s">
        <v>144</v>
      </c>
      <c r="H29" s="24"/>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354</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344</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341</v>
      </c>
      <c r="G32" s="26" t="s">
        <v>144</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336</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343</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355</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336</v>
      </c>
      <c r="G36" s="26" t="s">
        <v>144</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343</v>
      </c>
      <c r="G37" s="26" t="s">
        <v>144</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356</v>
      </c>
      <c r="G38" s="33" t="s">
        <v>146</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341</v>
      </c>
      <c r="G39" s="26" t="s">
        <v>144</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357</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358</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340</v>
      </c>
      <c r="G42" s="26" t="s">
        <v>144</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342</v>
      </c>
      <c r="G43" s="26" t="s">
        <v>144</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336</v>
      </c>
      <c r="G44" s="26" t="s">
        <v>144</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343</v>
      </c>
      <c r="G45" s="26" t="s">
        <v>144</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334</v>
      </c>
      <c r="G46" s="33" t="s">
        <v>146</v>
      </c>
      <c r="H46" s="24" t="s">
        <v>359</v>
      </c>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33" t="s">
        <v>146</v>
      </c>
      <c r="H47" s="24" t="s">
        <v>293</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340</v>
      </c>
      <c r="G48" s="26" t="s">
        <v>144</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360</v>
      </c>
      <c r="G49" s="26" t="s">
        <v>144</v>
      </c>
      <c r="H49" s="24" t="s">
        <v>361</v>
      </c>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343</v>
      </c>
      <c r="G50" s="26" t="s">
        <v>144</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355</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340</v>
      </c>
      <c r="G52" s="26" t="s">
        <v>144</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7" t="s">
        <v>14</v>
      </c>
      <c r="F53" s="24" t="s">
        <v>342</v>
      </c>
      <c r="G53" s="33" t="s">
        <v>146</v>
      </c>
      <c r="H53" s="24" t="s">
        <v>362</v>
      </c>
      <c r="I53" s="24" t="s">
        <v>363</v>
      </c>
      <c r="J53" s="24" t="s">
        <v>144</v>
      </c>
      <c r="K53" s="24" t="s">
        <v>364</v>
      </c>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33" t="s">
        <v>146</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336</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340</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365</v>
      </c>
      <c r="G57" s="26" t="s">
        <v>144</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343</v>
      </c>
      <c r="G58" s="26" t="s">
        <v>144</v>
      </c>
      <c r="H58" s="24"/>
      <c r="I58" s="24"/>
      <c r="J58" s="24" t="s">
        <v>146</v>
      </c>
      <c r="K58" s="24"/>
    </row>
  </sheetData>
  <autoFilter ref="A1:G1" xr:uid="{00000000-0009-0000-0000-000009000000}"/>
  <conditionalFormatting sqref="G2:G58">
    <cfRule type="cellIs" dxfId="69" priority="1" stopIfTrue="1" operator="equal">
      <formula>"Sim"</formula>
    </cfRule>
    <cfRule type="cellIs" dxfId="68" priority="3" stopIfTrue="1" operator="equal">
      <formula>"Não"</formula>
    </cfRule>
  </conditionalFormatting>
  <conditionalFormatting sqref="J2:J58">
    <cfRule type="cellIs" dxfId="67" priority="4" stopIfTrue="1" operator="equal">
      <formula>"Sim"</formula>
    </cfRule>
    <cfRule type="cellIs" dxfId="66" priority="4" stopIfTrue="1" operator="equal">
      <formula>"Não"</formula>
    </cfRule>
    <cfRule type="cellIs" dxfId="65" priority="5" stopIfTrue="1" operator="equal">
      <formula>"Em Análise"</formula>
    </cfRule>
  </conditionalFormatting>
  <conditionalFormatting sqref="E2:E58">
    <cfRule type="cellIs" dxfId="64" priority="6" stopIfTrue="1" operator="equal">
      <formula>"Enviado"</formula>
    </cfRule>
    <cfRule type="cellIs" dxfId="63" priority="7" stopIfTrue="1" operator="equal">
      <formula>"Atrasado"</formula>
    </cfRule>
    <cfRule type="cellIs" dxfId="62" priority="8" stopIfTrue="1" operator="equal">
      <formula>"Atrasado &gt;= 2"</formula>
    </cfRule>
    <cfRule type="cellIs" dxfId="61" priority="9" stopIfTrue="1" operator="equal">
      <formula>"Outras Ocorrências"</formula>
    </cfRule>
    <cfRule type="cellIs" dxfId="60" priority="10" stopIfTrue="1" operator="equal">
      <formula>"Sem Técnico"</formula>
    </cfRule>
    <cfRule type="cellIs" dxfId="5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161"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26" t="s">
        <v>144</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356</v>
      </c>
      <c r="G3" s="26" t="s">
        <v>144</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27" t="s">
        <v>14</v>
      </c>
      <c r="F4" s="24" t="s">
        <v>366</v>
      </c>
      <c r="G4" s="26" t="s">
        <v>144</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367</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368</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369</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370</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371</v>
      </c>
      <c r="G9" s="33" t="s">
        <v>146</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367</v>
      </c>
      <c r="G10" s="26" t="s">
        <v>144</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372</v>
      </c>
      <c r="G11" s="26" t="s">
        <v>144</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373</v>
      </c>
      <c r="G12" s="26" t="s">
        <v>144</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372</v>
      </c>
      <c r="G13" s="26" t="s">
        <v>144</v>
      </c>
      <c r="H13" s="24" t="s">
        <v>255</v>
      </c>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372</v>
      </c>
      <c r="G14" s="26" t="s">
        <v>144</v>
      </c>
      <c r="H14" s="24"/>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370</v>
      </c>
      <c r="G15" s="26" t="s">
        <v>144</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373</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369</v>
      </c>
      <c r="G17" s="26" t="s">
        <v>144</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372</v>
      </c>
      <c r="G18" s="26" t="s">
        <v>144</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26" t="s">
        <v>144</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354</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374</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372</v>
      </c>
      <c r="G22" s="26" t="s">
        <v>144</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372</v>
      </c>
      <c r="G23" s="26" t="s">
        <v>144</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375</v>
      </c>
      <c r="G24" s="26" t="s">
        <v>144</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7" t="s">
        <v>14</v>
      </c>
      <c r="F25" s="24" t="s">
        <v>376</v>
      </c>
      <c r="G25" s="33" t="s">
        <v>146</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373</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377</v>
      </c>
      <c r="G27" s="26" t="s">
        <v>144</v>
      </c>
      <c r="H27" s="24" t="s">
        <v>378</v>
      </c>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367</v>
      </c>
      <c r="G28" s="26" t="s">
        <v>144</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375</v>
      </c>
      <c r="G29" s="26" t="s">
        <v>144</v>
      </c>
      <c r="H29" s="24"/>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368</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370</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373</v>
      </c>
      <c r="G32" s="26" t="s">
        <v>144</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373</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368</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370</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368</v>
      </c>
      <c r="G36" s="26" t="s">
        <v>144</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368</v>
      </c>
      <c r="G37" s="26" t="s">
        <v>144</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370</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373</v>
      </c>
      <c r="G39" s="26" t="s">
        <v>144</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370</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356</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369</v>
      </c>
      <c r="G42" s="33" t="s">
        <v>146</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370</v>
      </c>
      <c r="G43" s="26" t="s">
        <v>144</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373</v>
      </c>
      <c r="G44" s="26" t="s">
        <v>144</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356</v>
      </c>
      <c r="G45" s="26" t="s">
        <v>144</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373</v>
      </c>
      <c r="G46" s="26" t="s">
        <v>144</v>
      </c>
      <c r="H46" s="24"/>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33" t="s">
        <v>146</v>
      </c>
      <c r="H47" s="24" t="s">
        <v>293</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356</v>
      </c>
      <c r="G48" s="26" t="s">
        <v>144</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377</v>
      </c>
      <c r="G49" s="26" t="s">
        <v>144</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379</v>
      </c>
      <c r="G50" s="26" t="s">
        <v>144</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370</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356</v>
      </c>
      <c r="G52" s="26" t="s">
        <v>144</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7" t="s">
        <v>14</v>
      </c>
      <c r="F53" s="24" t="s">
        <v>380</v>
      </c>
      <c r="G53" s="33" t="s">
        <v>146</v>
      </c>
      <c r="H53" s="24" t="s">
        <v>381</v>
      </c>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33" t="s">
        <v>146</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370</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370</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354</v>
      </c>
      <c r="G57" s="26" t="s">
        <v>144</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367</v>
      </c>
      <c r="G58" s="26" t="s">
        <v>144</v>
      </c>
      <c r="H58" s="24"/>
      <c r="I58" s="24"/>
      <c r="J58" s="24" t="s">
        <v>146</v>
      </c>
      <c r="K58" s="24"/>
    </row>
  </sheetData>
  <autoFilter ref="A1:G1" xr:uid="{00000000-0009-0000-0000-00000A000000}"/>
  <conditionalFormatting sqref="G2:G58">
    <cfRule type="cellIs" dxfId="58" priority="1" stopIfTrue="1" operator="equal">
      <formula>"Sim"</formula>
    </cfRule>
    <cfRule type="cellIs" dxfId="57" priority="3" stopIfTrue="1" operator="equal">
      <formula>"Não"</formula>
    </cfRule>
  </conditionalFormatting>
  <conditionalFormatting sqref="J2:J58">
    <cfRule type="cellIs" dxfId="56" priority="4" stopIfTrue="1" operator="equal">
      <formula>"Sim"</formula>
    </cfRule>
    <cfRule type="cellIs" dxfId="55" priority="4" stopIfTrue="1" operator="equal">
      <formula>"Não"</formula>
    </cfRule>
    <cfRule type="cellIs" dxfId="54" priority="5" stopIfTrue="1" operator="equal">
      <formula>"Em Análise"</formula>
    </cfRule>
  </conditionalFormatting>
  <conditionalFormatting sqref="E2:E58">
    <cfRule type="cellIs" dxfId="53" priority="6" stopIfTrue="1" operator="equal">
      <formula>"Enviado"</formula>
    </cfRule>
    <cfRule type="cellIs" dxfId="52" priority="7" stopIfTrue="1" operator="equal">
      <formula>"Atrasado"</formula>
    </cfRule>
    <cfRule type="cellIs" dxfId="51" priority="8" stopIfTrue="1" operator="equal">
      <formula>"Atrasado &gt;= 2"</formula>
    </cfRule>
    <cfRule type="cellIs" dxfId="50" priority="9" stopIfTrue="1" operator="equal">
      <formula>"Outras Ocorrências"</formula>
    </cfRule>
    <cfRule type="cellIs" dxfId="49" priority="10" stopIfTrue="1" operator="equal">
      <formula>"Sem Técnico"</formula>
    </cfRule>
    <cfRule type="cellIs" dxfId="4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33" t="s">
        <v>146</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7" t="s">
        <v>14</v>
      </c>
      <c r="F3" s="24" t="s">
        <v>382</v>
      </c>
      <c r="G3" s="26" t="s">
        <v>144</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37" t="s">
        <v>16</v>
      </c>
      <c r="F4" s="24"/>
      <c r="G4" s="26" t="s">
        <v>144</v>
      </c>
      <c r="H4" s="24" t="s">
        <v>383</v>
      </c>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384</v>
      </c>
      <c r="G5" s="26" t="s">
        <v>144</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385</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385</v>
      </c>
      <c r="G7" s="26" t="s">
        <v>144</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7" t="s">
        <v>14</v>
      </c>
      <c r="F8" s="24" t="s">
        <v>384</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386</v>
      </c>
      <c r="G9" s="33" t="s">
        <v>146</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334</v>
      </c>
      <c r="G10" s="26" t="s">
        <v>144</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334</v>
      </c>
      <c r="G11" s="26" t="s">
        <v>144</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334</v>
      </c>
      <c r="G12" s="26" t="s">
        <v>144</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334</v>
      </c>
      <c r="G13" s="26" t="s">
        <v>144</v>
      </c>
      <c r="H13" s="24"/>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334</v>
      </c>
      <c r="G14" s="26" t="s">
        <v>144</v>
      </c>
      <c r="H14" s="24"/>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385</v>
      </c>
      <c r="G15" s="26" t="s">
        <v>144</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382</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387</v>
      </c>
      <c r="G17" s="26" t="s">
        <v>144</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387</v>
      </c>
      <c r="G18" s="26" t="s">
        <v>144</v>
      </c>
      <c r="H18" s="24" t="s">
        <v>388</v>
      </c>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33" t="s">
        <v>146</v>
      </c>
      <c r="H19" s="24" t="s">
        <v>173</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387</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387</v>
      </c>
      <c r="G21" s="33" t="s">
        <v>146</v>
      </c>
      <c r="H21" s="24" t="s">
        <v>389</v>
      </c>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390</v>
      </c>
      <c r="G22" s="33" t="s">
        <v>146</v>
      </c>
      <c r="H22" s="24" t="s">
        <v>391</v>
      </c>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390</v>
      </c>
      <c r="G23" s="33" t="s">
        <v>146</v>
      </c>
      <c r="H23" s="24" t="s">
        <v>391</v>
      </c>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390</v>
      </c>
      <c r="G24" s="33" t="s">
        <v>146</v>
      </c>
      <c r="H24" s="24" t="s">
        <v>391</v>
      </c>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37" t="s">
        <v>16</v>
      </c>
      <c r="F25" s="24"/>
      <c r="G25" s="33" t="s">
        <v>146</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385</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392</v>
      </c>
      <c r="G27" s="26" t="s">
        <v>144</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385</v>
      </c>
      <c r="G28" s="26" t="s">
        <v>144</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334</v>
      </c>
      <c r="G29" s="26" t="s">
        <v>144</v>
      </c>
      <c r="H29" s="24" t="s">
        <v>393</v>
      </c>
      <c r="I29" s="38" t="s">
        <v>394</v>
      </c>
      <c r="J29" s="24" t="s">
        <v>144</v>
      </c>
      <c r="K29" s="24" t="s">
        <v>395</v>
      </c>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385</v>
      </c>
      <c r="G30" s="26" t="s">
        <v>144</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7" t="s">
        <v>14</v>
      </c>
      <c r="F31" s="24" t="s">
        <v>385</v>
      </c>
      <c r="G31" s="26" t="s">
        <v>144</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384</v>
      </c>
      <c r="G32" s="33" t="s">
        <v>146</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385</v>
      </c>
      <c r="G33" s="26" t="s">
        <v>144</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384</v>
      </c>
      <c r="G34" s="26" t="s">
        <v>144</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334</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396</v>
      </c>
      <c r="G36" s="33" t="s">
        <v>146</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390</v>
      </c>
      <c r="G37" s="26" t="s">
        <v>144</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385</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371</v>
      </c>
      <c r="G39" s="33" t="s">
        <v>146</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385</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397</v>
      </c>
      <c r="G41" s="26" t="s">
        <v>144</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385</v>
      </c>
      <c r="G42" s="33" t="s">
        <v>146</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384</v>
      </c>
      <c r="G43" s="26" t="s">
        <v>144</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384</v>
      </c>
      <c r="G44" s="33" t="s">
        <v>146</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382</v>
      </c>
      <c r="G45" s="26" t="s">
        <v>144</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384</v>
      </c>
      <c r="G46" s="26" t="s">
        <v>144</v>
      </c>
      <c r="H46" s="24"/>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26" t="s">
        <v>144</v>
      </c>
      <c r="H47" s="38" t="s">
        <v>398</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387</v>
      </c>
      <c r="G48" s="26" t="s">
        <v>144</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399</v>
      </c>
      <c r="G49" s="26" t="s">
        <v>144</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385</v>
      </c>
      <c r="G50" s="33" t="s">
        <v>146</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334</v>
      </c>
      <c r="G51" s="26" t="s">
        <v>144</v>
      </c>
      <c r="H51" s="24" t="s">
        <v>400</v>
      </c>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387</v>
      </c>
      <c r="G52" s="26" t="s">
        <v>144</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37" t="s">
        <v>16</v>
      </c>
      <c r="F53" s="24"/>
      <c r="G53" s="33" t="s">
        <v>146</v>
      </c>
      <c r="H53" s="24" t="s">
        <v>401</v>
      </c>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33" t="s">
        <v>146</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371</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385</v>
      </c>
      <c r="G56" s="26" t="s">
        <v>144</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371</v>
      </c>
      <c r="G57" s="26" t="s">
        <v>144</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399</v>
      </c>
      <c r="G58" s="26" t="s">
        <v>144</v>
      </c>
      <c r="H58" s="24"/>
      <c r="I58" s="24"/>
      <c r="J58" s="24" t="s">
        <v>146</v>
      </c>
      <c r="K58" s="24"/>
    </row>
  </sheetData>
  <autoFilter ref="A1:G1" xr:uid="{00000000-0009-0000-0000-00000B000000}"/>
  <conditionalFormatting sqref="G2:G58">
    <cfRule type="cellIs" dxfId="47" priority="1" stopIfTrue="1" operator="equal">
      <formula>"Sim"</formula>
    </cfRule>
    <cfRule type="cellIs" dxfId="46" priority="3" stopIfTrue="1" operator="equal">
      <formula>"Não"</formula>
    </cfRule>
  </conditionalFormatting>
  <conditionalFormatting sqref="J2:J58">
    <cfRule type="cellIs" dxfId="45" priority="4" stopIfTrue="1" operator="equal">
      <formula>"Sim"</formula>
    </cfRule>
    <cfRule type="cellIs" dxfId="44" priority="4" stopIfTrue="1" operator="equal">
      <formula>"Não"</formula>
    </cfRule>
    <cfRule type="cellIs" dxfId="43" priority="5" stopIfTrue="1" operator="equal">
      <formula>"Em Análise"</formula>
    </cfRule>
  </conditionalFormatting>
  <conditionalFormatting sqref="E2:E58">
    <cfRule type="cellIs" dxfId="42" priority="6" stopIfTrue="1" operator="equal">
      <formula>"Enviado"</formula>
    </cfRule>
    <cfRule type="cellIs" dxfId="41" priority="7" stopIfTrue="1" operator="equal">
      <formula>"Atrasado"</formula>
    </cfRule>
    <cfRule type="cellIs" dxfId="40" priority="8" stopIfTrue="1" operator="equal">
      <formula>"Atrasado &gt;= 2"</formula>
    </cfRule>
    <cfRule type="cellIs" dxfId="39" priority="9" stopIfTrue="1" operator="equal">
      <formula>"Outras Ocorrências"</formula>
    </cfRule>
    <cfRule type="cellIs" dxfId="38" priority="10" stopIfTrue="1" operator="equal">
      <formula>"Sem Técnico"</formula>
    </cfRule>
    <cfRule type="cellIs" dxfId="3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58"/>
  <sheetViews>
    <sheetView tabSelected="1" workbookViewId="0">
      <pane xSplit="3" topLeftCell="D1" activePane="topRight" state="frozen"/>
      <selection pane="topRight" activeCell="H17" sqref="H17"/>
    </sheetView>
  </sheetViews>
  <sheetFormatPr defaultRowHeight="15"/>
  <cols>
    <col min="1" max="1" width="23" customWidth="1"/>
    <col min="2" max="2" width="30" customWidth="1"/>
    <col min="3" max="3" width="8" customWidth="1"/>
    <col min="4" max="4" width="45" customWidth="1"/>
    <col min="5" max="5" width="23" customWidth="1"/>
    <col min="6" max="6" width="24" customWidth="1"/>
    <col min="7" max="7" width="27" customWidth="1"/>
    <col min="8" max="8" width="115"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33" t="s">
        <v>146</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39" t="s">
        <v>15</v>
      </c>
      <c r="F3" s="24"/>
      <c r="G3" s="33" t="s">
        <v>146</v>
      </c>
      <c r="H3" s="24" t="s">
        <v>402</v>
      </c>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39" t="s">
        <v>15</v>
      </c>
      <c r="F4" s="24"/>
      <c r="G4" s="33" t="s">
        <v>146</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7" t="s">
        <v>14</v>
      </c>
      <c r="F5" s="24" t="s">
        <v>403</v>
      </c>
      <c r="G5" s="33" t="s">
        <v>146</v>
      </c>
      <c r="H5" s="24" t="s">
        <v>404</v>
      </c>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7" t="s">
        <v>14</v>
      </c>
      <c r="F6" s="24" t="s">
        <v>405</v>
      </c>
      <c r="G6" s="26" t="s">
        <v>144</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7" t="s">
        <v>14</v>
      </c>
      <c r="F7" s="24" t="s">
        <v>406</v>
      </c>
      <c r="G7" s="33" t="s">
        <v>146</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39" t="s">
        <v>15</v>
      </c>
      <c r="F8" s="40">
        <v>45972</v>
      </c>
      <c r="G8" s="26" t="s">
        <v>144</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7" t="s">
        <v>14</v>
      </c>
      <c r="F9" s="24" t="s">
        <v>407</v>
      </c>
      <c r="G9" s="33" t="s">
        <v>146</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7" t="s">
        <v>14</v>
      </c>
      <c r="F10" s="24" t="s">
        <v>408</v>
      </c>
      <c r="G10" s="33" t="s">
        <v>146</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7" t="s">
        <v>14</v>
      </c>
      <c r="F11" s="24" t="s">
        <v>408</v>
      </c>
      <c r="G11" s="33" t="s">
        <v>146</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7" t="s">
        <v>14</v>
      </c>
      <c r="F12" s="24" t="s">
        <v>408</v>
      </c>
      <c r="G12" s="33" t="s">
        <v>146</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7" t="s">
        <v>14</v>
      </c>
      <c r="F13" s="24" t="s">
        <v>408</v>
      </c>
      <c r="G13" s="33" t="s">
        <v>146</v>
      </c>
      <c r="H13" s="24"/>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7" t="s">
        <v>14</v>
      </c>
      <c r="F14" s="24" t="s">
        <v>408</v>
      </c>
      <c r="G14" s="33" t="s">
        <v>146</v>
      </c>
      <c r="H14" s="24"/>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7" t="s">
        <v>14</v>
      </c>
      <c r="F15" s="24" t="s">
        <v>408</v>
      </c>
      <c r="G15" s="33" t="s">
        <v>146</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7" t="s">
        <v>14</v>
      </c>
      <c r="F16" s="24" t="s">
        <v>405</v>
      </c>
      <c r="G16" s="26" t="s">
        <v>144</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7" t="s">
        <v>14</v>
      </c>
      <c r="F17" s="24" t="s">
        <v>409</v>
      </c>
      <c r="G17" s="33" t="s">
        <v>146</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7" t="s">
        <v>14</v>
      </c>
      <c r="F18" s="24" t="s">
        <v>410</v>
      </c>
      <c r="G18" s="33" t="s">
        <v>146</v>
      </c>
      <c r="H18" s="24" t="s">
        <v>411</v>
      </c>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5" t="s">
        <v>18</v>
      </c>
      <c r="F19" s="24"/>
      <c r="G19" s="33" t="s">
        <v>146</v>
      </c>
      <c r="H19" s="24" t="s">
        <v>412</v>
      </c>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7" t="s">
        <v>14</v>
      </c>
      <c r="F20" s="24" t="s">
        <v>413</v>
      </c>
      <c r="G20" s="26" t="s">
        <v>144</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7" t="s">
        <v>14</v>
      </c>
      <c r="F21" s="24" t="s">
        <v>414</v>
      </c>
      <c r="G21" s="26" t="s">
        <v>144</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7" t="s">
        <v>14</v>
      </c>
      <c r="F22" s="24" t="s">
        <v>415</v>
      </c>
      <c r="G22" s="33" t="s">
        <v>146</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7" t="s">
        <v>14</v>
      </c>
      <c r="F23" s="24" t="s">
        <v>407</v>
      </c>
      <c r="G23" s="33" t="s">
        <v>146</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7" t="s">
        <v>14</v>
      </c>
      <c r="F24" s="24" t="s">
        <v>415</v>
      </c>
      <c r="G24" s="33" t="s">
        <v>146</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39" t="s">
        <v>15</v>
      </c>
      <c r="F25" s="24"/>
      <c r="G25" s="33" t="s">
        <v>146</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7" t="s">
        <v>14</v>
      </c>
      <c r="F26" s="24" t="s">
        <v>408</v>
      </c>
      <c r="G26" s="26" t="s">
        <v>144</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7" t="s">
        <v>14</v>
      </c>
      <c r="F27" s="24" t="s">
        <v>413</v>
      </c>
      <c r="G27" s="26" t="s">
        <v>144</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7" t="s">
        <v>14</v>
      </c>
      <c r="F28" s="24" t="s">
        <v>414</v>
      </c>
      <c r="G28" s="26" t="s">
        <v>144</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7" t="s">
        <v>14</v>
      </c>
      <c r="F29" s="24" t="s">
        <v>416</v>
      </c>
      <c r="G29" s="33" t="s">
        <v>146</v>
      </c>
      <c r="H29" s="24"/>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7" t="s">
        <v>14</v>
      </c>
      <c r="F30" s="24" t="s">
        <v>409</v>
      </c>
      <c r="G30" s="33" t="s">
        <v>146</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39" t="s">
        <v>15</v>
      </c>
      <c r="F31" s="24"/>
      <c r="G31" s="33" t="s">
        <v>146</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7" t="s">
        <v>14</v>
      </c>
      <c r="F32" s="24" t="s">
        <v>414</v>
      </c>
      <c r="G32" s="33" t="s">
        <v>146</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7" t="s">
        <v>14</v>
      </c>
      <c r="F33" s="24" t="s">
        <v>417</v>
      </c>
      <c r="G33" s="33" t="s">
        <v>146</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7" t="s">
        <v>14</v>
      </c>
      <c r="F34" s="24" t="s">
        <v>416</v>
      </c>
      <c r="G34" s="33" t="s">
        <v>146</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7" t="s">
        <v>14</v>
      </c>
      <c r="F35" s="24" t="s">
        <v>408</v>
      </c>
      <c r="G35" s="26" t="s">
        <v>144</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7" t="s">
        <v>14</v>
      </c>
      <c r="F36" s="24" t="s">
        <v>414</v>
      </c>
      <c r="G36" s="33" t="s">
        <v>146</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7" t="s">
        <v>14</v>
      </c>
      <c r="F37" s="24" t="s">
        <v>409</v>
      </c>
      <c r="G37" s="33" t="s">
        <v>146</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7" t="s">
        <v>14</v>
      </c>
      <c r="F38" s="24" t="s">
        <v>414</v>
      </c>
      <c r="G38" s="26" t="s">
        <v>144</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7" t="s">
        <v>14</v>
      </c>
      <c r="F39" s="24" t="s">
        <v>409</v>
      </c>
      <c r="G39" s="33" t="s">
        <v>146</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7" t="s">
        <v>14</v>
      </c>
      <c r="F40" s="24" t="s">
        <v>409</v>
      </c>
      <c r="G40" s="26" t="s">
        <v>144</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7" t="s">
        <v>14</v>
      </c>
      <c r="F41" s="24" t="s">
        <v>418</v>
      </c>
      <c r="G41" s="33" t="s">
        <v>146</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7" t="s">
        <v>14</v>
      </c>
      <c r="F42" s="24" t="s">
        <v>409</v>
      </c>
      <c r="G42" s="33" t="s">
        <v>146</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7" t="s">
        <v>14</v>
      </c>
      <c r="F43" s="24" t="s">
        <v>414</v>
      </c>
      <c r="G43" s="26" t="s">
        <v>144</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7" t="s">
        <v>14</v>
      </c>
      <c r="F44" s="24" t="s">
        <v>405</v>
      </c>
      <c r="G44" s="33" t="s">
        <v>146</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7" t="s">
        <v>14</v>
      </c>
      <c r="F45" s="24" t="s">
        <v>416</v>
      </c>
      <c r="G45" s="26" t="s">
        <v>144</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7" t="s">
        <v>14</v>
      </c>
      <c r="F46" s="24" t="s">
        <v>405</v>
      </c>
      <c r="G46" s="26" t="s">
        <v>144</v>
      </c>
      <c r="H46" s="24"/>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5" t="s">
        <v>18</v>
      </c>
      <c r="F47" s="24"/>
      <c r="G47" s="26" t="s">
        <v>144</v>
      </c>
      <c r="H47" s="24" t="s">
        <v>419</v>
      </c>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7" t="s">
        <v>14</v>
      </c>
      <c r="F48" s="24" t="s">
        <v>405</v>
      </c>
      <c r="G48" s="26" t="s">
        <v>144</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7" t="s">
        <v>14</v>
      </c>
      <c r="F49" s="24" t="s">
        <v>420</v>
      </c>
      <c r="G49" s="26" t="s">
        <v>144</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7" t="s">
        <v>14</v>
      </c>
      <c r="F50" s="24" t="s">
        <v>409</v>
      </c>
      <c r="G50" s="33" t="s">
        <v>146</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7" t="s">
        <v>14</v>
      </c>
      <c r="F51" s="24" t="s">
        <v>409</v>
      </c>
      <c r="G51" s="26" t="s">
        <v>144</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7" t="s">
        <v>14</v>
      </c>
      <c r="F52" s="24" t="s">
        <v>416</v>
      </c>
      <c r="G52" s="26" t="s">
        <v>144</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39" t="s">
        <v>15</v>
      </c>
      <c r="F53" s="24"/>
      <c r="G53" s="33" t="s">
        <v>146</v>
      </c>
      <c r="H53" s="24" t="s">
        <v>421</v>
      </c>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33" t="s">
        <v>146</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7" t="s">
        <v>14</v>
      </c>
      <c r="F55" s="24" t="s">
        <v>408</v>
      </c>
      <c r="G55" s="26" t="s">
        <v>144</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7" t="s">
        <v>14</v>
      </c>
      <c r="F56" s="24" t="s">
        <v>414</v>
      </c>
      <c r="G56" s="33" t="s">
        <v>146</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7" t="s">
        <v>14</v>
      </c>
      <c r="F57" s="24" t="s">
        <v>405</v>
      </c>
      <c r="G57" s="26" t="s">
        <v>144</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7" t="s">
        <v>14</v>
      </c>
      <c r="F58" s="24" t="s">
        <v>406</v>
      </c>
      <c r="G58" s="26" t="s">
        <v>144</v>
      </c>
      <c r="H58" s="24"/>
      <c r="I58" s="24"/>
      <c r="J58" s="24" t="s">
        <v>146</v>
      </c>
      <c r="K58" s="24"/>
    </row>
  </sheetData>
  <autoFilter ref="A1:G1" xr:uid="{00000000-0009-0000-0000-00000C000000}"/>
  <conditionalFormatting sqref="G2:G58">
    <cfRule type="cellIs" dxfId="36" priority="1" stopIfTrue="1" operator="equal">
      <formula>"Sim"</formula>
    </cfRule>
    <cfRule type="cellIs" dxfId="35" priority="3" stopIfTrue="1" operator="equal">
      <formula>"Não"</formula>
    </cfRule>
  </conditionalFormatting>
  <conditionalFormatting sqref="J2:J58">
    <cfRule type="cellIs" dxfId="34" priority="4" stopIfTrue="1" operator="equal">
      <formula>"Sim"</formula>
    </cfRule>
    <cfRule type="cellIs" dxfId="33" priority="4" stopIfTrue="1" operator="equal">
      <formula>"Não"</formula>
    </cfRule>
    <cfRule type="cellIs" dxfId="32" priority="5" stopIfTrue="1" operator="equal">
      <formula>"Em Análise"</formula>
    </cfRule>
  </conditionalFormatting>
  <conditionalFormatting sqref="E2:E58">
    <cfRule type="cellIs" dxfId="31" priority="6" stopIfTrue="1" operator="equal">
      <formula>"Enviado"</formula>
    </cfRule>
    <cfRule type="cellIs" dxfId="30" priority="7" stopIfTrue="1" operator="equal">
      <formula>"Atrasado"</formula>
    </cfRule>
    <cfRule type="cellIs" dxfId="29" priority="8" stopIfTrue="1" operator="equal">
      <formula>"Atrasado &gt;= 2"</formula>
    </cfRule>
    <cfRule type="cellIs" dxfId="28" priority="9" stopIfTrue="1" operator="equal">
      <formula>"Outras Ocorrências"</formula>
    </cfRule>
    <cfRule type="cellIs" dxfId="27" priority="10" stopIfTrue="1" operator="equal">
      <formula>"Sem Técnico"</formula>
    </cfRule>
    <cfRule type="cellIs" dxfId="2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33" t="s">
        <v>146</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4"/>
      <c r="F3" s="24"/>
      <c r="G3" s="33" t="s">
        <v>146</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24"/>
      <c r="F4" s="24"/>
      <c r="G4" s="33" t="s">
        <v>146</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4"/>
      <c r="F5" s="24"/>
      <c r="G5" s="33" t="s">
        <v>146</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4"/>
      <c r="F6" s="24"/>
      <c r="G6" s="33" t="s">
        <v>146</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4"/>
      <c r="F7" s="24"/>
      <c r="G7" s="33" t="s">
        <v>146</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4"/>
      <c r="F8" s="24"/>
      <c r="G8" s="33" t="s">
        <v>146</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4"/>
      <c r="F9" s="24"/>
      <c r="G9" s="33" t="s">
        <v>146</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4"/>
      <c r="F10" s="24"/>
      <c r="G10" s="33" t="s">
        <v>146</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4"/>
      <c r="F11" s="24"/>
      <c r="G11" s="33" t="s">
        <v>146</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4"/>
      <c r="F12" s="24"/>
      <c r="G12" s="33" t="s">
        <v>146</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4"/>
      <c r="F13" s="24"/>
      <c r="G13" s="33" t="s">
        <v>146</v>
      </c>
      <c r="H13" s="24"/>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4"/>
      <c r="F14" s="24"/>
      <c r="G14" s="33" t="s">
        <v>146</v>
      </c>
      <c r="H14" s="24"/>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4"/>
      <c r="F15" s="24"/>
      <c r="G15" s="33" t="s">
        <v>146</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4"/>
      <c r="F16" s="24"/>
      <c r="G16" s="33" t="s">
        <v>146</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4"/>
      <c r="F17" s="24"/>
      <c r="G17" s="33" t="s">
        <v>146</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4"/>
      <c r="F18" s="24"/>
      <c r="G18" s="33" t="s">
        <v>146</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4"/>
      <c r="F19" s="24"/>
      <c r="G19" s="33" t="s">
        <v>146</v>
      </c>
      <c r="H19" s="24"/>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4"/>
      <c r="F20" s="24"/>
      <c r="G20" s="33" t="s">
        <v>146</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4"/>
      <c r="F21" s="24"/>
      <c r="G21" s="33" t="s">
        <v>146</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4"/>
      <c r="F22" s="24"/>
      <c r="G22" s="33" t="s">
        <v>146</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4"/>
      <c r="F23" s="24"/>
      <c r="G23" s="33" t="s">
        <v>146</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4"/>
      <c r="F24" s="24"/>
      <c r="G24" s="33" t="s">
        <v>146</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4"/>
      <c r="F25" s="24"/>
      <c r="G25" s="33" t="s">
        <v>146</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4"/>
      <c r="F26" s="24"/>
      <c r="G26" s="33" t="s">
        <v>146</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4"/>
      <c r="F27" s="24"/>
      <c r="G27" s="33" t="s">
        <v>146</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4"/>
      <c r="F28" s="24"/>
      <c r="G28" s="33" t="s">
        <v>146</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4"/>
      <c r="F29" s="24"/>
      <c r="G29" s="33" t="s">
        <v>146</v>
      </c>
      <c r="H29" s="24"/>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4"/>
      <c r="F30" s="24"/>
      <c r="G30" s="33" t="s">
        <v>146</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4"/>
      <c r="F31" s="24"/>
      <c r="G31" s="33" t="s">
        <v>146</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4"/>
      <c r="F32" s="24"/>
      <c r="G32" s="33" t="s">
        <v>146</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4"/>
      <c r="F33" s="24"/>
      <c r="G33" s="33" t="s">
        <v>146</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4"/>
      <c r="F34" s="24"/>
      <c r="G34" s="33" t="s">
        <v>146</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4"/>
      <c r="F35" s="24"/>
      <c r="G35" s="33" t="s">
        <v>146</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4"/>
      <c r="F36" s="24"/>
      <c r="G36" s="33" t="s">
        <v>146</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4"/>
      <c r="F37" s="24"/>
      <c r="G37" s="33" t="s">
        <v>146</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4"/>
      <c r="F38" s="24"/>
      <c r="G38" s="33" t="s">
        <v>146</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4"/>
      <c r="F39" s="24"/>
      <c r="G39" s="33" t="s">
        <v>146</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4"/>
      <c r="F40" s="24"/>
      <c r="G40" s="33" t="s">
        <v>146</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4"/>
      <c r="F41" s="24"/>
      <c r="G41" s="33" t="s">
        <v>146</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4"/>
      <c r="F42" s="24"/>
      <c r="G42" s="33" t="s">
        <v>146</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4"/>
      <c r="F43" s="24"/>
      <c r="G43" s="33" t="s">
        <v>146</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4"/>
      <c r="F44" s="24"/>
      <c r="G44" s="33" t="s">
        <v>146</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4"/>
      <c r="F45" s="24"/>
      <c r="G45" s="33" t="s">
        <v>146</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4"/>
      <c r="F46" s="24"/>
      <c r="G46" s="33" t="s">
        <v>146</v>
      </c>
      <c r="H46" s="24"/>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4"/>
      <c r="F47" s="24"/>
      <c r="G47" s="33" t="s">
        <v>146</v>
      </c>
      <c r="H47" s="24"/>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4"/>
      <c r="F48" s="24"/>
      <c r="G48" s="33" t="s">
        <v>146</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4"/>
      <c r="F49" s="24"/>
      <c r="G49" s="33" t="s">
        <v>146</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4"/>
      <c r="F50" s="24"/>
      <c r="G50" s="33" t="s">
        <v>146</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4"/>
      <c r="F51" s="24"/>
      <c r="G51" s="33" t="s">
        <v>146</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4"/>
      <c r="F52" s="24"/>
      <c r="G52" s="33" t="s">
        <v>146</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4"/>
      <c r="F53" s="24"/>
      <c r="G53" s="33" t="s">
        <v>146</v>
      </c>
      <c r="H53" s="24"/>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33" t="s">
        <v>146</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4"/>
      <c r="F55" s="24"/>
      <c r="G55" s="33" t="s">
        <v>146</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4"/>
      <c r="F56" s="24"/>
      <c r="G56" s="33" t="s">
        <v>146</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4"/>
      <c r="F57" s="24"/>
      <c r="G57" s="33" t="s">
        <v>146</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4"/>
      <c r="F58" s="24"/>
      <c r="G58" s="33" t="s">
        <v>146</v>
      </c>
      <c r="H58" s="24"/>
      <c r="I58" s="24"/>
      <c r="J58" s="24" t="s">
        <v>146</v>
      </c>
      <c r="K58" s="24"/>
    </row>
  </sheetData>
  <autoFilter ref="A1:G1" xr:uid="{00000000-0009-0000-0000-00000D000000}"/>
  <conditionalFormatting sqref="G2:G58">
    <cfRule type="cellIs" dxfId="25" priority="1" stopIfTrue="1" operator="equal">
      <formula>"Sim"</formula>
    </cfRule>
    <cfRule type="cellIs" dxfId="24" priority="3" stopIfTrue="1" operator="equal">
      <formula>"Não"</formula>
    </cfRule>
  </conditionalFormatting>
  <conditionalFormatting sqref="J2:J58">
    <cfRule type="cellIs" dxfId="23" priority="4" stopIfTrue="1" operator="equal">
      <formula>"Sim"</formula>
    </cfRule>
    <cfRule type="cellIs" dxfId="22" priority="4" stopIfTrue="1" operator="equal">
      <formula>"Não"</formula>
    </cfRule>
    <cfRule type="cellIs" dxfId="21" priority="5" stopIfTrue="1" operator="equal">
      <formula>"Em Análise"</formula>
    </cfRule>
  </conditionalFormatting>
  <conditionalFormatting sqref="E2:E58">
    <cfRule type="cellIs" dxfId="20" priority="6" stopIfTrue="1" operator="equal">
      <formula>"Enviado"</formula>
    </cfRule>
    <cfRule type="cellIs" dxfId="19" priority="7" stopIfTrue="1" operator="equal">
      <formula>"Atrasado"</formula>
    </cfRule>
    <cfRule type="cellIs" dxfId="18" priority="8" stopIfTrue="1" operator="equal">
      <formula>"Atrasado &gt;= 2"</formula>
    </cfRule>
    <cfRule type="cellIs" dxfId="17" priority="9" stopIfTrue="1" operator="equal">
      <formula>"Outras Ocorrências"</formula>
    </cfRule>
    <cfRule type="cellIs" dxfId="16" priority="10" stopIfTrue="1" operator="equal">
      <formula>"Sem Técnico"</formula>
    </cfRule>
    <cfRule type="cellIs" dxfId="1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25</v>
      </c>
      <c r="B1" s="22" t="s">
        <v>134</v>
      </c>
      <c r="C1" s="22" t="s">
        <v>73</v>
      </c>
      <c r="D1" s="22" t="s">
        <v>135</v>
      </c>
      <c r="E1" s="22" t="s">
        <v>136</v>
      </c>
      <c r="F1" s="22" t="s">
        <v>137</v>
      </c>
      <c r="G1" s="22" t="s">
        <v>138</v>
      </c>
      <c r="H1" s="22" t="s">
        <v>139</v>
      </c>
      <c r="I1" s="22" t="s">
        <v>140</v>
      </c>
      <c r="J1" s="22" t="s">
        <v>141</v>
      </c>
      <c r="K1" s="22" t="s">
        <v>142</v>
      </c>
    </row>
    <row r="2" spans="1:11">
      <c r="A2" s="23" t="s">
        <v>33</v>
      </c>
      <c r="B2" s="24" t="s">
        <v>125</v>
      </c>
      <c r="C2" s="24" t="s">
        <v>75</v>
      </c>
      <c r="D2" s="24" t="str">
        <f>IFERROR(IF(INDEX('01.25'!D2:D500, MATCH(B2&amp;C2, INDEX('01.25'!B2:B500&amp;'01.25'!C2:C500, 0), 0))="", "", INDEX('01.25'!D2:D500, MATCH(B2&amp;C2, INDEX('01.25'!B2:B500&amp;'01.25'!C2:C500, 0), 0))), "")</f>
        <v>Marcia do Nascimento</v>
      </c>
      <c r="E2" s="25" t="s">
        <v>18</v>
      </c>
      <c r="F2" s="24"/>
      <c r="G2" s="33" t="s">
        <v>146</v>
      </c>
      <c r="H2" s="24" t="s">
        <v>145</v>
      </c>
      <c r="I2" s="24"/>
      <c r="J2" s="24" t="s">
        <v>146</v>
      </c>
      <c r="K2" s="24"/>
    </row>
    <row r="3" spans="1:11">
      <c r="A3" s="23" t="s">
        <v>33</v>
      </c>
      <c r="B3" s="24" t="s">
        <v>127</v>
      </c>
      <c r="C3" s="24" t="s">
        <v>75</v>
      </c>
      <c r="D3" s="24" t="str">
        <f>IFERROR(IF(INDEX('01.25'!D2:D500, MATCH(B3&amp;C3, INDEX('01.25'!B2:B500&amp;'01.25'!C2:C500, 0), 0))="", "", INDEX('01.25'!D2:D500, MATCH(B3&amp;C3, INDEX('01.25'!B2:B500&amp;'01.25'!C2:C500, 0), 0))), "")</f>
        <v xml:space="preserve">Maria Regina Willers </v>
      </c>
      <c r="E3" s="24"/>
      <c r="F3" s="24"/>
      <c r="G3" s="33" t="s">
        <v>146</v>
      </c>
      <c r="H3" s="24"/>
      <c r="I3" s="24"/>
      <c r="J3" s="24" t="s">
        <v>146</v>
      </c>
      <c r="K3" s="24"/>
    </row>
    <row r="4" spans="1:11">
      <c r="A4" s="28" t="s">
        <v>42</v>
      </c>
      <c r="B4" s="24" t="s">
        <v>116</v>
      </c>
      <c r="C4" s="24" t="s">
        <v>75</v>
      </c>
      <c r="D4" s="24" t="str">
        <f>IFERROR(IF(INDEX('01.25'!D2:D500, MATCH(B4&amp;C4, INDEX('01.25'!B2:B500&amp;'01.25'!C2:C500, 0), 0))="", "", INDEX('01.25'!D2:D500, MATCH(B4&amp;C4, INDEX('01.25'!B2:B500&amp;'01.25'!C2:C500, 0), 0))), "")</f>
        <v>Claudete Rodrigues Scarpelini</v>
      </c>
      <c r="E4" s="24"/>
      <c r="F4" s="24"/>
      <c r="G4" s="33" t="s">
        <v>146</v>
      </c>
      <c r="H4" s="24"/>
      <c r="I4" s="24"/>
      <c r="J4" s="24" t="s">
        <v>146</v>
      </c>
      <c r="K4" s="24"/>
    </row>
    <row r="5" spans="1:11">
      <c r="A5" s="23" t="s">
        <v>33</v>
      </c>
      <c r="B5" s="24" t="s">
        <v>128</v>
      </c>
      <c r="C5" s="24" t="s">
        <v>75</v>
      </c>
      <c r="D5" s="24" t="str">
        <f>IFERROR(IF(INDEX('01.25'!D2:D500, MATCH(B5&amp;C5, INDEX('01.25'!B2:B500&amp;'01.25'!C2:C500, 0), 0))="", "", INDEX('01.25'!D2:D500, MATCH(B5&amp;C5, INDEX('01.25'!B2:B500&amp;'01.25'!C2:C500, 0), 0))), "")</f>
        <v>Vagner Perseti Alves</v>
      </c>
      <c r="E5" s="24"/>
      <c r="F5" s="24"/>
      <c r="G5" s="33" t="s">
        <v>146</v>
      </c>
      <c r="H5" s="24"/>
      <c r="I5" s="24"/>
      <c r="J5" s="24" t="s">
        <v>146</v>
      </c>
      <c r="K5" s="24"/>
    </row>
    <row r="6" spans="1:11">
      <c r="A6" s="29" t="s">
        <v>37</v>
      </c>
      <c r="B6" s="24" t="s">
        <v>88</v>
      </c>
      <c r="C6" s="24" t="s">
        <v>75</v>
      </c>
      <c r="D6" s="24" t="str">
        <f>IFERROR(IF(INDEX('01.25'!D2:D500, MATCH(B6&amp;C6, INDEX('01.25'!B2:B500&amp;'01.25'!C2:C500, 0), 0))="", "", INDEX('01.25'!D2:D500, MATCH(B6&amp;C6, INDEX('01.25'!B2:B500&amp;'01.25'!C2:C500, 0), 0))), "")</f>
        <v>Tania Grespan</v>
      </c>
      <c r="E6" s="24"/>
      <c r="F6" s="24"/>
      <c r="G6" s="33" t="s">
        <v>146</v>
      </c>
      <c r="H6" s="24"/>
      <c r="I6" s="24"/>
      <c r="J6" s="24" t="s">
        <v>146</v>
      </c>
      <c r="K6" s="24"/>
    </row>
    <row r="7" spans="1:11">
      <c r="A7" s="28" t="s">
        <v>42</v>
      </c>
      <c r="B7" s="24" t="s">
        <v>117</v>
      </c>
      <c r="C7" s="24" t="s">
        <v>75</v>
      </c>
      <c r="D7" s="24" t="str">
        <f>IFERROR(IF(INDEX('01.25'!D2:D500, MATCH(B7&amp;C7, INDEX('01.25'!B2:B500&amp;'01.25'!C2:C500, 0), 0))="", "", INDEX('01.25'!D2:D500, MATCH(B7&amp;C7, INDEX('01.25'!B2:B500&amp;'01.25'!C2:C500, 0), 0))), "")</f>
        <v>Daniele de Souza Lima Mei</v>
      </c>
      <c r="E7" s="24"/>
      <c r="F7" s="24"/>
      <c r="G7" s="33" t="s">
        <v>146</v>
      </c>
      <c r="H7" s="24"/>
      <c r="I7" s="24"/>
      <c r="J7" s="24" t="s">
        <v>146</v>
      </c>
      <c r="K7" s="24"/>
    </row>
    <row r="8" spans="1:11">
      <c r="A8" s="30" t="s">
        <v>26</v>
      </c>
      <c r="B8" s="24" t="s">
        <v>107</v>
      </c>
      <c r="C8" s="24" t="s">
        <v>75</v>
      </c>
      <c r="D8" s="24" t="str">
        <f>IFERROR(IF(INDEX('01.25'!D2:D500, MATCH(B8&amp;C8, INDEX('01.25'!B2:B500&amp;'01.25'!C2:C500, 0), 0))="", "", INDEX('01.25'!D2:D500, MATCH(B8&amp;C8, INDEX('01.25'!B2:B500&amp;'01.25'!C2:C500, 0), 0))), "")</f>
        <v xml:space="preserve">Eunice Fernandes Gonzaga </v>
      </c>
      <c r="E8" s="24"/>
      <c r="F8" s="24"/>
      <c r="G8" s="33" t="s">
        <v>146</v>
      </c>
      <c r="H8" s="24"/>
      <c r="I8" s="24"/>
      <c r="J8" s="24" t="s">
        <v>146</v>
      </c>
      <c r="K8" s="24"/>
    </row>
    <row r="9" spans="1:11">
      <c r="A9" s="31" t="s">
        <v>39</v>
      </c>
      <c r="B9" s="24" t="s">
        <v>95</v>
      </c>
      <c r="C9" s="24" t="s">
        <v>75</v>
      </c>
      <c r="D9" s="24" t="str">
        <f>IFERROR(IF(INDEX('01.25'!D2:D500, MATCH(B9&amp;C9, INDEX('01.25'!B2:B500&amp;'01.25'!C2:C500, 0), 0))="", "", INDEX('01.25'!D2:D500, MATCH(B9&amp;C9, INDEX('01.25'!B2:B500&amp;'01.25'!C2:C500, 0), 0))), "")</f>
        <v>Rafaelly Custódio</v>
      </c>
      <c r="E9" s="24"/>
      <c r="F9" s="24"/>
      <c r="G9" s="33" t="s">
        <v>146</v>
      </c>
      <c r="H9" s="24"/>
      <c r="I9" s="24"/>
      <c r="J9" s="24" t="s">
        <v>146</v>
      </c>
      <c r="K9" s="24"/>
    </row>
    <row r="10" spans="1:11">
      <c r="A10" s="32" t="s">
        <v>35</v>
      </c>
      <c r="B10" s="24" t="s">
        <v>74</v>
      </c>
      <c r="C10" s="24" t="s">
        <v>75</v>
      </c>
      <c r="D10" s="24" t="str">
        <f>IFERROR(IF(INDEX('01.25'!D2:D500, MATCH(B10&amp;C10, INDEX('01.25'!B2:B500&amp;'01.25'!C2:C500, 0), 0))="", "", INDEX('01.25'!D2:D500, MATCH(B10&amp;C10, INDEX('01.25'!B2:B500&amp;'01.25'!C2:C500, 0), 0))), "")</f>
        <v>Hayana dos Santos Jaines</v>
      </c>
      <c r="E10" s="24"/>
      <c r="F10" s="24"/>
      <c r="G10" s="33" t="s">
        <v>146</v>
      </c>
      <c r="H10" s="24"/>
      <c r="I10" s="24"/>
      <c r="J10" s="24" t="s">
        <v>146</v>
      </c>
      <c r="K10" s="24"/>
    </row>
    <row r="11" spans="1:11">
      <c r="A11" s="32" t="s">
        <v>35</v>
      </c>
      <c r="B11" s="24" t="s">
        <v>74</v>
      </c>
      <c r="C11" s="24" t="s">
        <v>76</v>
      </c>
      <c r="D11" s="24" t="str">
        <f>IFERROR(IF(INDEX('01.25'!D2:D500, MATCH(B11&amp;C11, INDEX('01.25'!B2:B500&amp;'01.25'!C2:C500, 0), 0))="", "", INDEX('01.25'!D2:D500, MATCH(B11&amp;C11, INDEX('01.25'!B2:B500&amp;'01.25'!C2:C500, 0), 0))), "")</f>
        <v>Hayana dos Santos Jaines</v>
      </c>
      <c r="E11" s="24"/>
      <c r="F11" s="24"/>
      <c r="G11" s="33" t="s">
        <v>146</v>
      </c>
      <c r="H11" s="24"/>
      <c r="I11" s="24"/>
      <c r="J11" s="24" t="s">
        <v>146</v>
      </c>
      <c r="K11" s="24"/>
    </row>
    <row r="12" spans="1:11">
      <c r="A12" s="32" t="s">
        <v>35</v>
      </c>
      <c r="B12" s="24" t="s">
        <v>74</v>
      </c>
      <c r="C12" s="24" t="s">
        <v>77</v>
      </c>
      <c r="D12" s="24" t="str">
        <f>IFERROR(IF(INDEX('01.25'!D2:D500, MATCH(B12&amp;C12, INDEX('01.25'!B2:B500&amp;'01.25'!C2:C500, 0), 0))="", "", INDEX('01.25'!D2:D500, MATCH(B12&amp;C12, INDEX('01.25'!B2:B500&amp;'01.25'!C2:C500, 0), 0))), "")</f>
        <v>Hayana dos Santos Jaines</v>
      </c>
      <c r="E12" s="24"/>
      <c r="F12" s="24"/>
      <c r="G12" s="33" t="s">
        <v>146</v>
      </c>
      <c r="H12" s="24"/>
      <c r="I12" s="24"/>
      <c r="J12" s="24" t="s">
        <v>146</v>
      </c>
      <c r="K12" s="24"/>
    </row>
    <row r="13" spans="1:11">
      <c r="A13" s="32" t="s">
        <v>35</v>
      </c>
      <c r="B13" s="24" t="s">
        <v>74</v>
      </c>
      <c r="C13" s="24" t="s">
        <v>78</v>
      </c>
      <c r="D13" s="24" t="str">
        <f>IFERROR(IF(INDEX('01.25'!D2:D500, MATCH(B13&amp;C13, INDEX('01.25'!B2:B500&amp;'01.25'!C2:C500, 0), 0))="", "", INDEX('01.25'!D2:D500, MATCH(B13&amp;C13, INDEX('01.25'!B2:B500&amp;'01.25'!C2:C500, 0), 0))), "")</f>
        <v>Hayana dos Santos Jaines</v>
      </c>
      <c r="E13" s="24"/>
      <c r="F13" s="24"/>
      <c r="G13" s="33" t="s">
        <v>146</v>
      </c>
      <c r="H13" s="24"/>
      <c r="I13" s="24"/>
      <c r="J13" s="24" t="s">
        <v>146</v>
      </c>
      <c r="K13" s="24"/>
    </row>
    <row r="14" spans="1:11">
      <c r="A14" s="32" t="s">
        <v>35</v>
      </c>
      <c r="B14" s="24" t="s">
        <v>74</v>
      </c>
      <c r="C14" s="24" t="s">
        <v>79</v>
      </c>
      <c r="D14" s="24" t="str">
        <f>IFERROR(IF(INDEX('01.25'!D2:D500, MATCH(B14&amp;C14, INDEX('01.25'!B2:B500&amp;'01.25'!C2:C500, 0), 0))="", "", INDEX('01.25'!D2:D500, MATCH(B14&amp;C14, INDEX('01.25'!B2:B500&amp;'01.25'!C2:C500, 0), 0))), "")</f>
        <v>Hayana dos Santos Jaines</v>
      </c>
      <c r="E14" s="24"/>
      <c r="F14" s="24"/>
      <c r="G14" s="33" t="s">
        <v>146</v>
      </c>
      <c r="H14" s="24"/>
      <c r="I14" s="24"/>
      <c r="J14" s="24" t="s">
        <v>146</v>
      </c>
      <c r="K14" s="24"/>
    </row>
    <row r="15" spans="1:11">
      <c r="A15" s="32" t="s">
        <v>35</v>
      </c>
      <c r="B15" s="24" t="s">
        <v>80</v>
      </c>
      <c r="C15" s="24" t="s">
        <v>75</v>
      </c>
      <c r="D15" s="24" t="str">
        <f>IFERROR(IF(INDEX('01.25'!D2:D500, MATCH(B15&amp;C15, INDEX('01.25'!B2:B500&amp;'01.25'!C2:C500, 0), 0))="", "", INDEX('01.25'!D2:D500, MATCH(B15&amp;C15, INDEX('01.25'!B2:B500&amp;'01.25'!C2:C500, 0), 0))), "")</f>
        <v>Evellyn Renata Bereza Bueno</v>
      </c>
      <c r="E15" s="24"/>
      <c r="F15" s="24"/>
      <c r="G15" s="33" t="s">
        <v>146</v>
      </c>
      <c r="H15" s="24"/>
      <c r="I15" s="24"/>
      <c r="J15" s="24" t="s">
        <v>146</v>
      </c>
      <c r="K15" s="24"/>
    </row>
    <row r="16" spans="1:11">
      <c r="A16" s="29" t="s">
        <v>37</v>
      </c>
      <c r="B16" s="24" t="s">
        <v>89</v>
      </c>
      <c r="C16" s="24" t="s">
        <v>75</v>
      </c>
      <c r="D16" s="24" t="str">
        <f>IFERROR(IF(INDEX('01.25'!D2:D500, MATCH(B16&amp;C16, INDEX('01.25'!B2:B500&amp;'01.25'!C2:C500, 0), 0))="", "", INDEX('01.25'!D2:D500, MATCH(B16&amp;C16, INDEX('01.25'!B2:B500&amp;'01.25'!C2:C500, 0), 0))), "")</f>
        <v>Anandra da Silva</v>
      </c>
      <c r="E16" s="24"/>
      <c r="F16" s="24"/>
      <c r="G16" s="33" t="s">
        <v>146</v>
      </c>
      <c r="H16" s="24"/>
      <c r="I16" s="24"/>
      <c r="J16" s="24" t="s">
        <v>146</v>
      </c>
      <c r="K16" s="24"/>
    </row>
    <row r="17" spans="1:11">
      <c r="A17" s="32" t="s">
        <v>35</v>
      </c>
      <c r="B17" s="24" t="s">
        <v>81</v>
      </c>
      <c r="C17" s="24" t="s">
        <v>75</v>
      </c>
      <c r="D17" s="24" t="str">
        <f>IFERROR(IF(INDEX('01.25'!D2:D500, MATCH(B17&amp;C17, INDEX('01.25'!B2:B500&amp;'01.25'!C2:C500, 0), 0))="", "", INDEX('01.25'!D2:D500, MATCH(B17&amp;C17, INDEX('01.25'!B2:B500&amp;'01.25'!C2:C500, 0), 0))), "")</f>
        <v xml:space="preserve">Carlos Jorge de Oliveira Moreira  </v>
      </c>
      <c r="E17" s="24"/>
      <c r="F17" s="24"/>
      <c r="G17" s="33" t="s">
        <v>146</v>
      </c>
      <c r="H17" s="24"/>
      <c r="I17" s="24"/>
      <c r="J17" s="24" t="s">
        <v>146</v>
      </c>
      <c r="K17" s="24"/>
    </row>
    <row r="18" spans="1:11">
      <c r="A18" s="23" t="s">
        <v>33</v>
      </c>
      <c r="B18" s="24" t="s">
        <v>129</v>
      </c>
      <c r="C18" s="24" t="s">
        <v>75</v>
      </c>
      <c r="D18" s="24" t="str">
        <f>IFERROR(IF(INDEX('01.25'!D2:D500, MATCH(B18&amp;C18, INDEX('01.25'!B2:B500&amp;'01.25'!C2:C500, 0), 0))="", "", INDEX('01.25'!D2:D500, MATCH(B18&amp;C18, INDEX('01.25'!B2:B500&amp;'01.25'!C2:C500, 0), 0))), "")</f>
        <v>Jéssica da Silva Bortolozzo</v>
      </c>
      <c r="E18" s="24"/>
      <c r="F18" s="24"/>
      <c r="G18" s="33" t="s">
        <v>146</v>
      </c>
      <c r="H18" s="24"/>
      <c r="I18" s="24"/>
      <c r="J18" s="24" t="s">
        <v>146</v>
      </c>
      <c r="K18" s="24"/>
    </row>
    <row r="19" spans="1:11">
      <c r="A19" s="34" t="s">
        <v>43</v>
      </c>
      <c r="B19" s="24" t="s">
        <v>98</v>
      </c>
      <c r="C19" s="24" t="s">
        <v>75</v>
      </c>
      <c r="D19" s="24" t="str">
        <f>IFERROR(IF(INDEX('01.25'!D2:D500, MATCH(B19&amp;C19, INDEX('01.25'!B2:B500&amp;'01.25'!C2:C500, 0), 0))="", "", INDEX('01.25'!D2:D500, MATCH(B19&amp;C19, INDEX('01.25'!B2:B500&amp;'01.25'!C2:C500, 0), 0))), "")</f>
        <v>Tássia Castelli</v>
      </c>
      <c r="E19" s="24"/>
      <c r="F19" s="24"/>
      <c r="G19" s="33" t="s">
        <v>146</v>
      </c>
      <c r="H19" s="24"/>
      <c r="I19" s="24"/>
      <c r="J19" s="24" t="s">
        <v>146</v>
      </c>
      <c r="K19" s="24"/>
    </row>
    <row r="20" spans="1:11">
      <c r="A20" s="23" t="s">
        <v>33</v>
      </c>
      <c r="B20" s="24" t="s">
        <v>130</v>
      </c>
      <c r="C20" s="24" t="s">
        <v>75</v>
      </c>
      <c r="D20" s="24" t="str">
        <f>IFERROR(IF(INDEX('01.25'!D2:D500, MATCH(B20&amp;C20, INDEX('01.25'!B2:B500&amp;'01.25'!C2:C500, 0), 0))="", "", INDEX('01.25'!D2:D500, MATCH(B20&amp;C20, INDEX('01.25'!B2:B500&amp;'01.25'!C2:C500, 0), 0))), "")</f>
        <v>Bianca Monteiro</v>
      </c>
      <c r="E20" s="24"/>
      <c r="F20" s="24"/>
      <c r="G20" s="33" t="s">
        <v>146</v>
      </c>
      <c r="H20" s="24"/>
      <c r="I20" s="24"/>
      <c r="J20" s="24" t="s">
        <v>146</v>
      </c>
      <c r="K20" s="24"/>
    </row>
    <row r="21" spans="1:11">
      <c r="A21" s="29" t="s">
        <v>37</v>
      </c>
      <c r="B21" s="24" t="s">
        <v>90</v>
      </c>
      <c r="C21" s="24" t="s">
        <v>75</v>
      </c>
      <c r="D21" s="24" t="str">
        <f>IFERROR(IF(INDEX('01.25'!D2:D500, MATCH(B21&amp;C21, INDEX('01.25'!B2:B500&amp;'01.25'!C2:C500, 0), 0))="", "", INDEX('01.25'!D2:D500, MATCH(B21&amp;C21, INDEX('01.25'!B2:B500&amp;'01.25'!C2:C500, 0), 0))), "")</f>
        <v>Augusto Nunes</v>
      </c>
      <c r="E21" s="24"/>
      <c r="F21" s="24"/>
      <c r="G21" s="33" t="s">
        <v>146</v>
      </c>
      <c r="H21" s="24"/>
      <c r="I21" s="24"/>
      <c r="J21" s="24" t="s">
        <v>146</v>
      </c>
      <c r="K21" s="24"/>
    </row>
    <row r="22" spans="1:11">
      <c r="A22" s="29" t="s">
        <v>37</v>
      </c>
      <c r="B22" s="24" t="s">
        <v>37</v>
      </c>
      <c r="C22" s="24" t="s">
        <v>75</v>
      </c>
      <c r="D22" s="24" t="str">
        <f>IFERROR(IF(INDEX('01.25'!D2:D500, MATCH(B22&amp;C22, INDEX('01.25'!B2:B500&amp;'01.25'!C2:C500, 0), 0))="", "", INDEX('01.25'!D2:D500, MATCH(B22&amp;C22, INDEX('01.25'!B2:B500&amp;'01.25'!C2:C500, 0), 0))), "")</f>
        <v>Amanda Cristina Beal Acosta</v>
      </c>
      <c r="E22" s="24"/>
      <c r="F22" s="24"/>
      <c r="G22" s="33" t="s">
        <v>146</v>
      </c>
      <c r="H22" s="24"/>
      <c r="I22" s="24"/>
      <c r="J22" s="24" t="s">
        <v>146</v>
      </c>
      <c r="K22" s="24"/>
    </row>
    <row r="23" spans="1:11">
      <c r="A23" s="29" t="s">
        <v>37</v>
      </c>
      <c r="B23" s="24" t="s">
        <v>37</v>
      </c>
      <c r="C23" s="24" t="s">
        <v>76</v>
      </c>
      <c r="D23" s="24" t="str">
        <f>IFERROR(IF(INDEX('01.25'!D2:D500, MATCH(B23&amp;C23, INDEX('01.25'!B2:B500&amp;'01.25'!C2:C500, 0), 0))="", "", INDEX('01.25'!D2:D500, MATCH(B23&amp;C23, INDEX('01.25'!B2:B500&amp;'01.25'!C2:C500, 0), 0))), "")</f>
        <v>Amanda Cristina Beal Acosta</v>
      </c>
      <c r="E23" s="24"/>
      <c r="F23" s="24"/>
      <c r="G23" s="33" t="s">
        <v>146</v>
      </c>
      <c r="H23" s="24"/>
      <c r="I23" s="24"/>
      <c r="J23" s="24" t="s">
        <v>146</v>
      </c>
      <c r="K23" s="24"/>
    </row>
    <row r="24" spans="1:11">
      <c r="A24" s="29" t="s">
        <v>37</v>
      </c>
      <c r="B24" s="24" t="s">
        <v>37</v>
      </c>
      <c r="C24" s="24" t="s">
        <v>77</v>
      </c>
      <c r="D24" s="24" t="str">
        <f>IFERROR(IF(INDEX('01.25'!D2:D500, MATCH(B24&amp;C24, INDEX('01.25'!B2:B500&amp;'01.25'!C2:C500, 0), 0))="", "", INDEX('01.25'!D2:D500, MATCH(B24&amp;C24, INDEX('01.25'!B2:B500&amp;'01.25'!C2:C500, 0), 0))), "")</f>
        <v>Amanda Cristina Beal Acosta</v>
      </c>
      <c r="E24" s="24"/>
      <c r="F24" s="24"/>
      <c r="G24" s="33" t="s">
        <v>146</v>
      </c>
      <c r="H24" s="24"/>
      <c r="I24" s="24"/>
      <c r="J24" s="24" t="s">
        <v>146</v>
      </c>
      <c r="K24" s="24"/>
    </row>
    <row r="25" spans="1:11">
      <c r="A25" s="34" t="s">
        <v>43</v>
      </c>
      <c r="B25" s="24" t="s">
        <v>99</v>
      </c>
      <c r="C25" s="24" t="s">
        <v>75</v>
      </c>
      <c r="D25" s="24" t="str">
        <f>IFERROR(IF(INDEX('01.25'!D2:D500, MATCH(B25&amp;C25, INDEX('01.25'!B2:B500&amp;'01.25'!C2:C500, 0), 0))="", "", INDEX('01.25'!D2:D500, MATCH(B25&amp;C25, INDEX('01.25'!B2:B500&amp;'01.25'!C2:C500, 0), 0))), "")</f>
        <v xml:space="preserve">Marcos Alexandre Esmocoviski </v>
      </c>
      <c r="E25" s="24"/>
      <c r="F25" s="24"/>
      <c r="G25" s="33" t="s">
        <v>146</v>
      </c>
      <c r="H25" s="24"/>
      <c r="I25" s="24"/>
      <c r="J25" s="24" t="s">
        <v>146</v>
      </c>
      <c r="K25" s="24"/>
    </row>
    <row r="26" spans="1:11">
      <c r="A26" s="30" t="s">
        <v>26</v>
      </c>
      <c r="B26" s="24" t="s">
        <v>108</v>
      </c>
      <c r="C26" s="24" t="s">
        <v>75</v>
      </c>
      <c r="D26" s="24" t="str">
        <f>IFERROR(IF(INDEX('01.25'!D2:D500, MATCH(B26&amp;C26, INDEX('01.25'!B2:B500&amp;'01.25'!C2:C500, 0), 0))="", "", INDEX('01.25'!D2:D500, MATCH(B26&amp;C26, INDEX('01.25'!B2:B500&amp;'01.25'!C2:C500, 0), 0))), "")</f>
        <v>Rodrigo Lima</v>
      </c>
      <c r="E26" s="24"/>
      <c r="F26" s="24"/>
      <c r="G26" s="33" t="s">
        <v>146</v>
      </c>
      <c r="H26" s="24"/>
      <c r="I26" s="24"/>
      <c r="J26" s="24" t="s">
        <v>146</v>
      </c>
      <c r="K26" s="24"/>
    </row>
    <row r="27" spans="1:11">
      <c r="A27" s="30" t="s">
        <v>26</v>
      </c>
      <c r="B27" s="24" t="s">
        <v>109</v>
      </c>
      <c r="C27" s="24" t="s">
        <v>75</v>
      </c>
      <c r="D27" s="24" t="str">
        <f>IFERROR(IF(INDEX('01.25'!D2:D500, MATCH(B27&amp;C27, INDEX('01.25'!B2:B500&amp;'01.25'!C2:C500, 0), 0))="", "", INDEX('01.25'!D2:D500, MATCH(B27&amp;C27, INDEX('01.25'!B2:B500&amp;'01.25'!C2:C500, 0), 0))), "")</f>
        <v>Savana Lemes Rodrigues</v>
      </c>
      <c r="E27" s="24"/>
      <c r="F27" s="24"/>
      <c r="G27" s="33" t="s">
        <v>146</v>
      </c>
      <c r="H27" s="24"/>
      <c r="I27" s="24"/>
      <c r="J27" s="24" t="s">
        <v>146</v>
      </c>
      <c r="K27" s="24"/>
    </row>
    <row r="28" spans="1:11">
      <c r="A28" s="30" t="s">
        <v>26</v>
      </c>
      <c r="B28" s="24" t="s">
        <v>110</v>
      </c>
      <c r="C28" s="24" t="s">
        <v>75</v>
      </c>
      <c r="D28" s="24" t="str">
        <f>IFERROR(IF(INDEX('01.25'!D2:D500, MATCH(B28&amp;C28, INDEX('01.25'!B2:B500&amp;'01.25'!C2:C500, 0), 0))="", "", INDEX('01.25'!D2:D500, MATCH(B28&amp;C28, INDEX('01.25'!B2:B500&amp;'01.25'!C2:C500, 0), 0))), "")</f>
        <v>Letícia Diniz</v>
      </c>
      <c r="E28" s="24"/>
      <c r="F28" s="24"/>
      <c r="G28" s="33" t="s">
        <v>146</v>
      </c>
      <c r="H28" s="24"/>
      <c r="I28" s="24"/>
      <c r="J28" s="24" t="s">
        <v>146</v>
      </c>
      <c r="K28" s="24"/>
    </row>
    <row r="29" spans="1:11">
      <c r="A29" s="28" t="s">
        <v>42</v>
      </c>
      <c r="B29" s="24" t="s">
        <v>118</v>
      </c>
      <c r="C29" s="24" t="s">
        <v>75</v>
      </c>
      <c r="D29" s="24" t="str">
        <f>IFERROR(IF(INDEX('01.25'!D2:D500, MATCH(B29&amp;C29, INDEX('01.25'!B2:B500&amp;'01.25'!C2:C500, 0), 0))="", "", INDEX('01.25'!D2:D500, MATCH(B29&amp;C29, INDEX('01.25'!B2:B500&amp;'01.25'!C2:C500, 0), 0))), "")</f>
        <v>Tais Muller</v>
      </c>
      <c r="E29" s="24"/>
      <c r="F29" s="24"/>
      <c r="G29" s="33" t="s">
        <v>146</v>
      </c>
      <c r="H29" s="24"/>
      <c r="I29" s="24"/>
      <c r="J29" s="24" t="s">
        <v>146</v>
      </c>
      <c r="K29" s="24"/>
    </row>
    <row r="30" spans="1:11">
      <c r="A30" s="28" t="s">
        <v>42</v>
      </c>
      <c r="B30" s="24" t="s">
        <v>119</v>
      </c>
      <c r="C30" s="24" t="s">
        <v>75</v>
      </c>
      <c r="D30" s="24" t="str">
        <f>IFERROR(IF(INDEX('01.25'!D2:D500, MATCH(B30&amp;C30, INDEX('01.25'!B2:B500&amp;'01.25'!C2:C500, 0), 0))="", "", INDEX('01.25'!D2:D500, MATCH(B30&amp;C30, INDEX('01.25'!B2:B500&amp;'01.25'!C2:C500, 0), 0))), "")</f>
        <v>Fernando Henrique Ferreira</v>
      </c>
      <c r="E30" s="24"/>
      <c r="F30" s="24"/>
      <c r="G30" s="33" t="s">
        <v>146</v>
      </c>
      <c r="H30" s="24"/>
      <c r="I30" s="24"/>
      <c r="J30" s="24" t="s">
        <v>146</v>
      </c>
      <c r="K30" s="24"/>
    </row>
    <row r="31" spans="1:11">
      <c r="A31" s="32" t="s">
        <v>35</v>
      </c>
      <c r="B31" s="24" t="s">
        <v>82</v>
      </c>
      <c r="C31" s="24" t="s">
        <v>75</v>
      </c>
      <c r="D31" s="24" t="str">
        <f>IFERROR(IF(INDEX('01.25'!D2:D500, MATCH(B31&amp;C31, INDEX('01.25'!B2:B500&amp;'01.25'!C2:C500, 0), 0))="", "", INDEX('01.25'!D2:D500, MATCH(B31&amp;C31, INDEX('01.25'!B2:B500&amp;'01.25'!C2:C500, 0), 0))), "")</f>
        <v xml:space="preserve">Isadora Bussmann Barsotti </v>
      </c>
      <c r="E31" s="24"/>
      <c r="F31" s="24"/>
      <c r="G31" s="33" t="s">
        <v>146</v>
      </c>
      <c r="H31" s="24"/>
      <c r="I31" s="24"/>
      <c r="J31" s="24" t="s">
        <v>146</v>
      </c>
      <c r="K31" s="24"/>
    </row>
    <row r="32" spans="1:11">
      <c r="A32" s="34" t="s">
        <v>43</v>
      </c>
      <c r="B32" s="24" t="s">
        <v>100</v>
      </c>
      <c r="C32" s="24" t="s">
        <v>75</v>
      </c>
      <c r="D32" s="24" t="str">
        <f>IFERROR(IF(INDEX('01.25'!D2:D500, MATCH(B32&amp;C32, INDEX('01.25'!B2:B500&amp;'01.25'!C2:C500, 0), 0))="", "", INDEX('01.25'!D2:D500, MATCH(B32&amp;C32, INDEX('01.25'!B2:B500&amp;'01.25'!C2:C500, 0), 0))), "")</f>
        <v>Osair Wrublak</v>
      </c>
      <c r="E32" s="24"/>
      <c r="F32" s="24"/>
      <c r="G32" s="33" t="s">
        <v>146</v>
      </c>
      <c r="H32" s="24"/>
      <c r="I32" s="24"/>
      <c r="J32" s="24" t="s">
        <v>146</v>
      </c>
      <c r="K32" s="24"/>
    </row>
    <row r="33" spans="1:11">
      <c r="A33" s="28" t="s">
        <v>42</v>
      </c>
      <c r="B33" s="24" t="s">
        <v>120</v>
      </c>
      <c r="C33" s="24" t="s">
        <v>75</v>
      </c>
      <c r="D33" s="24" t="str">
        <f>IFERROR(IF(INDEX('01.25'!D2:D500, MATCH(B33&amp;C33, INDEX('01.25'!B2:B500&amp;'01.25'!C2:C500, 0), 0))="", "", INDEX('01.25'!D2:D500, MATCH(B33&amp;C33, INDEX('01.25'!B2:B500&amp;'01.25'!C2:C500, 0), 0))), "")</f>
        <v>Gislaine Souza Rosa</v>
      </c>
      <c r="E33" s="24"/>
      <c r="F33" s="24"/>
      <c r="G33" s="33" t="s">
        <v>146</v>
      </c>
      <c r="H33" s="24"/>
      <c r="I33" s="24"/>
      <c r="J33" s="24" t="s">
        <v>146</v>
      </c>
      <c r="K33" s="24"/>
    </row>
    <row r="34" spans="1:11">
      <c r="A34" s="28" t="s">
        <v>42</v>
      </c>
      <c r="B34" s="24" t="s">
        <v>121</v>
      </c>
      <c r="C34" s="24" t="s">
        <v>75</v>
      </c>
      <c r="D34" s="24" t="str">
        <f>IFERROR(IF(INDEX('01.25'!D2:D500, MATCH(B34&amp;C34, INDEX('01.25'!B2:B500&amp;'01.25'!C2:C500, 0), 0))="", "", INDEX('01.25'!D2:D500, MATCH(B34&amp;C34, INDEX('01.25'!B2:B500&amp;'01.25'!C2:C500, 0), 0))), "")</f>
        <v>Leticia Framesche</v>
      </c>
      <c r="E34" s="24"/>
      <c r="F34" s="24"/>
      <c r="G34" s="33" t="s">
        <v>146</v>
      </c>
      <c r="H34" s="24"/>
      <c r="I34" s="24"/>
      <c r="J34" s="24" t="s">
        <v>146</v>
      </c>
      <c r="K34" s="24"/>
    </row>
    <row r="35" spans="1:11">
      <c r="A35" s="29" t="s">
        <v>37</v>
      </c>
      <c r="B35" s="24" t="s">
        <v>91</v>
      </c>
      <c r="C35" s="24" t="s">
        <v>75</v>
      </c>
      <c r="D35" s="24" t="str">
        <f>IFERROR(IF(INDEX('01.25'!D2:D500, MATCH(B35&amp;C35, INDEX('01.25'!B2:B500&amp;'01.25'!C2:C500, 0), 0))="", "", INDEX('01.25'!D2:D500, MATCH(B35&amp;C35, INDEX('01.25'!B2:B500&amp;'01.25'!C2:C500, 0), 0))), "")</f>
        <v xml:space="preserve">Suzana Gotardo de Meira </v>
      </c>
      <c r="E35" s="24"/>
      <c r="F35" s="24"/>
      <c r="G35" s="33" t="s">
        <v>146</v>
      </c>
      <c r="H35" s="24"/>
      <c r="I35" s="24"/>
      <c r="J35" s="24" t="s">
        <v>146</v>
      </c>
      <c r="K35" s="24"/>
    </row>
    <row r="36" spans="1:11">
      <c r="A36" s="31" t="s">
        <v>39</v>
      </c>
      <c r="B36" s="24" t="s">
        <v>96</v>
      </c>
      <c r="C36" s="24" t="s">
        <v>75</v>
      </c>
      <c r="D36" s="24" t="str">
        <f>IFERROR(IF(INDEX('01.25'!D2:D500, MATCH(B36&amp;C36, INDEX('01.25'!B2:B500&amp;'01.25'!C2:C500, 0), 0))="", "", INDEX('01.25'!D2:D500, MATCH(B36&amp;C36, INDEX('01.25'!B2:B500&amp;'01.25'!C2:C500, 0), 0))), "")</f>
        <v>Vinicius Patriota dos Santos</v>
      </c>
      <c r="E36" s="24"/>
      <c r="F36" s="24"/>
      <c r="G36" s="33" t="s">
        <v>146</v>
      </c>
      <c r="H36" s="24"/>
      <c r="I36" s="24"/>
      <c r="J36" s="24" t="s">
        <v>146</v>
      </c>
      <c r="K36" s="24"/>
    </row>
    <row r="37" spans="1:11">
      <c r="A37" s="31" t="s">
        <v>39</v>
      </c>
      <c r="B37" s="24" t="s">
        <v>97</v>
      </c>
      <c r="C37" s="24" t="s">
        <v>75</v>
      </c>
      <c r="D37" s="24" t="str">
        <f>IFERROR(IF(INDEX('01.25'!D2:D500, MATCH(B37&amp;C37, INDEX('01.25'!B2:B500&amp;'01.25'!C2:C500, 0), 0))="", "", INDEX('01.25'!D2:D500, MATCH(B37&amp;C37, INDEX('01.25'!B2:B500&amp;'01.25'!C2:C500, 0), 0))), "")</f>
        <v>Patricia Teixeira dos Santos</v>
      </c>
      <c r="E37" s="24"/>
      <c r="F37" s="24"/>
      <c r="G37" s="33" t="s">
        <v>146</v>
      </c>
      <c r="H37" s="24"/>
      <c r="I37" s="24"/>
      <c r="J37" s="24" t="s">
        <v>146</v>
      </c>
      <c r="K37" s="24"/>
    </row>
    <row r="38" spans="1:11">
      <c r="A38" s="30" t="s">
        <v>26</v>
      </c>
      <c r="B38" s="24" t="s">
        <v>111</v>
      </c>
      <c r="C38" s="24" t="s">
        <v>75</v>
      </c>
      <c r="D38" s="24" t="str">
        <f>IFERROR(IF(INDEX('01.25'!D2:D500, MATCH(B38&amp;C38, INDEX('01.25'!B2:B500&amp;'01.25'!C2:C500, 0), 0))="", "", INDEX('01.25'!D2:D500, MATCH(B38&amp;C38, INDEX('01.25'!B2:B500&amp;'01.25'!C2:C500, 0), 0))), "")</f>
        <v xml:space="preserve">Anderson Batista Siqueira </v>
      </c>
      <c r="E38" s="24"/>
      <c r="F38" s="24"/>
      <c r="G38" s="33" t="s">
        <v>146</v>
      </c>
      <c r="H38" s="24"/>
      <c r="I38" s="24"/>
      <c r="J38" s="24" t="s">
        <v>146</v>
      </c>
      <c r="K38" s="24"/>
    </row>
    <row r="39" spans="1:11">
      <c r="A39" s="34" t="s">
        <v>43</v>
      </c>
      <c r="B39" s="24" t="s">
        <v>101</v>
      </c>
      <c r="C39" s="24" t="s">
        <v>75</v>
      </c>
      <c r="D39" s="24" t="str">
        <f>IFERROR(IF(INDEX('01.25'!D2:D500, MATCH(B39&amp;C39, INDEX('01.25'!B2:B500&amp;'01.25'!C2:C500, 0), 0))="", "", INDEX('01.25'!D2:D500, MATCH(B39&amp;C39, INDEX('01.25'!B2:B500&amp;'01.25'!C2:C500, 0), 0))), "")</f>
        <v xml:space="preserve">Aramis Vinicius de Paula Oliveira </v>
      </c>
      <c r="E39" s="24"/>
      <c r="F39" s="24"/>
      <c r="G39" s="33" t="s">
        <v>146</v>
      </c>
      <c r="H39" s="24"/>
      <c r="I39" s="24"/>
      <c r="J39" s="24" t="s">
        <v>146</v>
      </c>
      <c r="K39" s="24"/>
    </row>
    <row r="40" spans="1:11">
      <c r="A40" s="23" t="s">
        <v>33</v>
      </c>
      <c r="B40" s="24" t="s">
        <v>131</v>
      </c>
      <c r="C40" s="24" t="s">
        <v>75</v>
      </c>
      <c r="D40" s="24" t="str">
        <f>IFERROR(IF(INDEX('01.25'!D2:D500, MATCH(B40&amp;C40, INDEX('01.25'!B2:B500&amp;'01.25'!C2:C500, 0), 0))="", "", INDEX('01.25'!D2:D500, MATCH(B40&amp;C40, INDEX('01.25'!B2:B500&amp;'01.25'!C2:C500, 0), 0))), "")</f>
        <v>Julliane Gonçalves</v>
      </c>
      <c r="E40" s="24"/>
      <c r="F40" s="24"/>
      <c r="G40" s="33" t="s">
        <v>146</v>
      </c>
      <c r="H40" s="24"/>
      <c r="I40" s="24"/>
      <c r="J40" s="24" t="s">
        <v>146</v>
      </c>
      <c r="K40" s="24"/>
    </row>
    <row r="41" spans="1:11">
      <c r="A41" s="28" t="s">
        <v>42</v>
      </c>
      <c r="B41" s="24" t="s">
        <v>122</v>
      </c>
      <c r="C41" s="24" t="s">
        <v>75</v>
      </c>
      <c r="D41" s="24" t="str">
        <f>IFERROR(IF(INDEX('01.25'!D2:D500, MATCH(B41&amp;C41, INDEX('01.25'!B2:B500&amp;'01.25'!C2:C500, 0), 0))="", "", INDEX('01.25'!D2:D500, MATCH(B41&amp;C41, INDEX('01.25'!B2:B500&amp;'01.25'!C2:C500, 0), 0))), "")</f>
        <v>Gustavo Henrique de Andrade</v>
      </c>
      <c r="E41" s="24"/>
      <c r="F41" s="24"/>
      <c r="G41" s="33" t="s">
        <v>146</v>
      </c>
      <c r="H41" s="24"/>
      <c r="I41" s="24"/>
      <c r="J41" s="24" t="s">
        <v>146</v>
      </c>
      <c r="K41" s="24"/>
    </row>
    <row r="42" spans="1:11">
      <c r="A42" s="34" t="s">
        <v>43</v>
      </c>
      <c r="B42" s="24" t="s">
        <v>102</v>
      </c>
      <c r="C42" s="24" t="s">
        <v>75</v>
      </c>
      <c r="D42" s="24" t="str">
        <f>IFERROR(IF(INDEX('01.25'!D2:D500, MATCH(B42&amp;C42, INDEX('01.25'!B2:B500&amp;'01.25'!C2:C500, 0), 0))="", "", INDEX('01.25'!D2:D500, MATCH(B42&amp;C42, INDEX('01.25'!B2:B500&amp;'01.25'!C2:C500, 0), 0))), "")</f>
        <v>Ricardo Pyc</v>
      </c>
      <c r="E42" s="24"/>
      <c r="F42" s="24"/>
      <c r="G42" s="33" t="s">
        <v>146</v>
      </c>
      <c r="H42" s="24"/>
      <c r="I42" s="24"/>
      <c r="J42" s="24" t="s">
        <v>146</v>
      </c>
      <c r="K42" s="24"/>
    </row>
    <row r="43" spans="1:11">
      <c r="A43" s="29" t="s">
        <v>37</v>
      </c>
      <c r="B43" s="24" t="s">
        <v>92</v>
      </c>
      <c r="C43" s="24" t="s">
        <v>75</v>
      </c>
      <c r="D43" s="24" t="str">
        <f>IFERROR(IF(INDEX('01.25'!D2:D500, MATCH(B43&amp;C43, INDEX('01.25'!B2:B500&amp;'01.25'!C2:C500, 0), 0))="", "", INDEX('01.25'!D2:D500, MATCH(B43&amp;C43, INDEX('01.25'!B2:B500&amp;'01.25'!C2:C500, 0), 0))), "")</f>
        <v xml:space="preserve">Camila Maytana Flores da Silva </v>
      </c>
      <c r="E43" s="24"/>
      <c r="F43" s="24"/>
      <c r="G43" s="33" t="s">
        <v>146</v>
      </c>
      <c r="H43" s="24"/>
      <c r="I43" s="24"/>
      <c r="J43" s="24" t="s">
        <v>146</v>
      </c>
      <c r="K43" s="24"/>
    </row>
    <row r="44" spans="1:11">
      <c r="A44" s="34" t="s">
        <v>43</v>
      </c>
      <c r="B44" s="24" t="s">
        <v>103</v>
      </c>
      <c r="C44" s="24" t="s">
        <v>75</v>
      </c>
      <c r="D44" s="24" t="str">
        <f>IFERROR(IF(INDEX('01.25'!D2:D500, MATCH(B44&amp;C44, INDEX('01.25'!B2:B500&amp;'01.25'!C2:C500, 0), 0))="", "", INDEX('01.25'!D2:D500, MATCH(B44&amp;C44, INDEX('01.25'!B2:B500&amp;'01.25'!C2:C500, 0), 0))), "")</f>
        <v>Claudiana Andria</v>
      </c>
      <c r="E44" s="24"/>
      <c r="F44" s="24"/>
      <c r="G44" s="33" t="s">
        <v>146</v>
      </c>
      <c r="H44" s="24"/>
      <c r="I44" s="24"/>
      <c r="J44" s="24" t="s">
        <v>146</v>
      </c>
      <c r="K44" s="24"/>
    </row>
    <row r="45" spans="1:11">
      <c r="A45" s="30" t="s">
        <v>26</v>
      </c>
      <c r="B45" s="24" t="s">
        <v>112</v>
      </c>
      <c r="C45" s="24" t="s">
        <v>75</v>
      </c>
      <c r="D45" s="24" t="str">
        <f>IFERROR(IF(INDEX('01.25'!D2:D500, MATCH(B45&amp;C45, INDEX('01.25'!B2:B500&amp;'01.25'!C2:C500, 0), 0))="", "", INDEX('01.25'!D2:D500, MATCH(B45&amp;C45, INDEX('01.25'!B2:B500&amp;'01.25'!C2:C500, 0), 0))), "")</f>
        <v>Daiana Aparecida Dias</v>
      </c>
      <c r="E45" s="24"/>
      <c r="F45" s="24"/>
      <c r="G45" s="33" t="s">
        <v>146</v>
      </c>
      <c r="H45" s="24"/>
      <c r="I45" s="24"/>
      <c r="J45" s="24" t="s">
        <v>146</v>
      </c>
      <c r="K45" s="24"/>
    </row>
    <row r="46" spans="1:11">
      <c r="A46" s="32" t="s">
        <v>35</v>
      </c>
      <c r="B46" s="24" t="s">
        <v>83</v>
      </c>
      <c r="C46" s="24" t="s">
        <v>75</v>
      </c>
      <c r="D46" s="24" t="str">
        <f>IFERROR(IF(INDEX('01.25'!D2:D500, MATCH(B46&amp;C46, INDEX('01.25'!B2:B500&amp;'01.25'!C2:C500, 0), 0))="", "", INDEX('01.25'!D2:D500, MATCH(B46&amp;C46, INDEX('01.25'!B2:B500&amp;'01.25'!C2:C500, 0), 0))), "")</f>
        <v>Maysa Fernanda Back</v>
      </c>
      <c r="E46" s="24"/>
      <c r="F46" s="24"/>
      <c r="G46" s="33" t="s">
        <v>146</v>
      </c>
      <c r="H46" s="24"/>
      <c r="I46" s="24"/>
      <c r="J46" s="24" t="s">
        <v>146</v>
      </c>
      <c r="K46" s="24"/>
    </row>
    <row r="47" spans="1:11">
      <c r="A47" s="32" t="s">
        <v>35</v>
      </c>
      <c r="B47" s="24" t="s">
        <v>83</v>
      </c>
      <c r="C47" s="24" t="s">
        <v>76</v>
      </c>
      <c r="D47" s="24" t="str">
        <f>IFERROR(IF(INDEX('01.25'!D2:D500, MATCH(B47&amp;C47, INDEX('01.25'!B2:B500&amp;'01.25'!C2:C500, 0), 0))="", "", INDEX('01.25'!D2:D500, MATCH(B47&amp;C47, INDEX('01.25'!B2:B500&amp;'01.25'!C2:C500, 0), 0))), "")</f>
        <v>Maysa Fernanda Back</v>
      </c>
      <c r="E47" s="24"/>
      <c r="F47" s="24"/>
      <c r="G47" s="33" t="s">
        <v>146</v>
      </c>
      <c r="H47" s="24"/>
      <c r="I47" s="24"/>
      <c r="J47" s="24" t="s">
        <v>146</v>
      </c>
      <c r="K47" s="24"/>
    </row>
    <row r="48" spans="1:11">
      <c r="A48" s="32" t="s">
        <v>35</v>
      </c>
      <c r="B48" s="24" t="s">
        <v>84</v>
      </c>
      <c r="C48" s="24" t="s">
        <v>75</v>
      </c>
      <c r="D48" s="24" t="str">
        <f>IFERROR(IF(INDEX('01.25'!D2:D500, MATCH(B48&amp;C48, INDEX('01.25'!B2:B500&amp;'01.25'!C2:C500, 0), 0))="", "", INDEX('01.25'!D2:D500, MATCH(B48&amp;C48, INDEX('01.25'!B2:B500&amp;'01.25'!C2:C500, 0), 0))), "")</f>
        <v>Jean Eriksen de Miranda</v>
      </c>
      <c r="E48" s="24"/>
      <c r="F48" s="24"/>
      <c r="G48" s="33" t="s">
        <v>146</v>
      </c>
      <c r="H48" s="24"/>
      <c r="I48" s="24"/>
      <c r="J48" s="24" t="s">
        <v>146</v>
      </c>
      <c r="K48" s="24"/>
    </row>
    <row r="49" spans="1:11">
      <c r="A49" s="29" t="s">
        <v>37</v>
      </c>
      <c r="B49" s="24" t="s">
        <v>93</v>
      </c>
      <c r="C49" s="24" t="s">
        <v>75</v>
      </c>
      <c r="D49" s="24" t="str">
        <f>IFERROR(IF(INDEX('01.25'!D2:D500, MATCH(B49&amp;C49, INDEX('01.25'!B2:B500&amp;'01.25'!C2:C500, 0), 0))="", "", INDEX('01.25'!D2:D500, MATCH(B49&amp;C49, INDEX('01.25'!B2:B500&amp;'01.25'!C2:C500, 0), 0))), "")</f>
        <v>Ana Paula Cigolini</v>
      </c>
      <c r="E49" s="24"/>
      <c r="F49" s="24"/>
      <c r="G49" s="33" t="s">
        <v>146</v>
      </c>
      <c r="H49" s="24"/>
      <c r="I49" s="24"/>
      <c r="J49" s="24" t="s">
        <v>146</v>
      </c>
      <c r="K49" s="24"/>
    </row>
    <row r="50" spans="1:11">
      <c r="A50" s="34" t="s">
        <v>43</v>
      </c>
      <c r="B50" s="24" t="s">
        <v>104</v>
      </c>
      <c r="C50" s="24" t="s">
        <v>75</v>
      </c>
      <c r="D50" s="24" t="str">
        <f>IFERROR(IF(INDEX('01.25'!D2:D500, MATCH(B50&amp;C50, INDEX('01.25'!B2:B500&amp;'01.25'!C2:C500, 0), 0))="", "", INDEX('01.25'!D2:D500, MATCH(B50&amp;C50, INDEX('01.25'!B2:B500&amp;'01.25'!C2:C500, 0), 0))), "")</f>
        <v>Vilmar Ribeiro</v>
      </c>
      <c r="E50" s="24"/>
      <c r="F50" s="24"/>
      <c r="G50" s="33" t="s">
        <v>146</v>
      </c>
      <c r="H50" s="24"/>
      <c r="I50" s="24"/>
      <c r="J50" s="24" t="s">
        <v>146</v>
      </c>
      <c r="K50" s="24"/>
    </row>
    <row r="51" spans="1:11">
      <c r="A51" s="30" t="s">
        <v>26</v>
      </c>
      <c r="B51" s="24" t="s">
        <v>113</v>
      </c>
      <c r="C51" s="24" t="s">
        <v>75</v>
      </c>
      <c r="D51" s="24" t="str">
        <f>IFERROR(IF(INDEX('01.25'!D2:D500, MATCH(B51&amp;C51, INDEX('01.25'!B2:B500&amp;'01.25'!C2:C500, 0), 0))="", "", INDEX('01.25'!D2:D500, MATCH(B51&amp;C51, INDEX('01.25'!B2:B500&amp;'01.25'!C2:C500, 0), 0))), "")</f>
        <v>Ana Carolina Bertolaccini</v>
      </c>
      <c r="E51" s="24"/>
      <c r="F51" s="24"/>
      <c r="G51" s="33" t="s">
        <v>146</v>
      </c>
      <c r="H51" s="24"/>
      <c r="I51" s="24"/>
      <c r="J51" s="24" t="s">
        <v>146</v>
      </c>
      <c r="K51" s="24"/>
    </row>
    <row r="52" spans="1:11">
      <c r="A52" s="23" t="s">
        <v>33</v>
      </c>
      <c r="B52" s="24" t="s">
        <v>132</v>
      </c>
      <c r="C52" s="24" t="s">
        <v>75</v>
      </c>
      <c r="D52" s="24" t="str">
        <f>IFERROR(IF(INDEX('01.25'!D2:D500, MATCH(B52&amp;C52, INDEX('01.25'!B2:B500&amp;'01.25'!C2:C500, 0), 0))="", "", INDEX('01.25'!D2:D500, MATCH(B52&amp;C52, INDEX('01.25'!B2:B500&amp;'01.25'!C2:C500, 0), 0))), "")</f>
        <v>Maristela de Oliveira Melo</v>
      </c>
      <c r="E52" s="24"/>
      <c r="F52" s="24"/>
      <c r="G52" s="33" t="s">
        <v>146</v>
      </c>
      <c r="H52" s="24"/>
      <c r="I52" s="24"/>
      <c r="J52" s="24" t="s">
        <v>146</v>
      </c>
      <c r="K52" s="24"/>
    </row>
    <row r="53" spans="1:11">
      <c r="A53" s="30" t="s">
        <v>26</v>
      </c>
      <c r="B53" s="24" t="s">
        <v>114</v>
      </c>
      <c r="C53" s="24" t="s">
        <v>75</v>
      </c>
      <c r="D53" s="24" t="str">
        <f>IFERROR(IF(INDEX('01.25'!D2:D500, MATCH(B53&amp;C53, INDEX('01.25'!B2:B500&amp;'01.25'!C2:C500, 0), 0))="", "", INDEX('01.25'!D2:D500, MATCH(B53&amp;C53, INDEX('01.25'!B2:B500&amp;'01.25'!C2:C500, 0), 0))), "")</f>
        <v xml:space="preserve">Yuri Luiz de Oliveira </v>
      </c>
      <c r="E53" s="24"/>
      <c r="F53" s="24"/>
      <c r="G53" s="33" t="s">
        <v>146</v>
      </c>
      <c r="H53" s="24"/>
      <c r="I53" s="24"/>
      <c r="J53" s="24" t="s">
        <v>146</v>
      </c>
      <c r="K53" s="24"/>
    </row>
    <row r="54" spans="1:11">
      <c r="A54" s="34" t="s">
        <v>43</v>
      </c>
      <c r="B54" s="24" t="s">
        <v>105</v>
      </c>
      <c r="C54" s="24" t="s">
        <v>75</v>
      </c>
      <c r="D54" s="24" t="str">
        <f>IFERROR(IF(INDEX('01.25'!D2:D500, MATCH(B54&amp;C54, INDEX('01.25'!B2:B500&amp;'01.25'!C2:C500, 0), 0))="", "", INDEX('01.25'!D2:D500, MATCH(B54&amp;C54, INDEX('01.25'!B2:B500&amp;'01.25'!C2:C500, 0), 0))), "")</f>
        <v/>
      </c>
      <c r="E54" s="35" t="s">
        <v>19</v>
      </c>
      <c r="F54" s="24"/>
      <c r="G54" s="33" t="s">
        <v>146</v>
      </c>
      <c r="H54" s="24"/>
      <c r="I54" s="24"/>
      <c r="J54" s="24" t="s">
        <v>146</v>
      </c>
      <c r="K54" s="24"/>
    </row>
    <row r="55" spans="1:11">
      <c r="A55" s="23" t="s">
        <v>33</v>
      </c>
      <c r="B55" s="24" t="s">
        <v>133</v>
      </c>
      <c r="C55" s="24" t="s">
        <v>75</v>
      </c>
      <c r="D55" s="24" t="str">
        <f>IFERROR(IF(INDEX('01.25'!D2:D500, MATCH(B55&amp;C55, INDEX('01.25'!B2:B500&amp;'01.25'!C2:C500, 0), 0))="", "", INDEX('01.25'!D2:D500, MATCH(B55&amp;C55, INDEX('01.25'!B2:B500&amp;'01.25'!C2:C500, 0), 0))), "")</f>
        <v>Eliane Stefani Dantas Dias</v>
      </c>
      <c r="E55" s="24"/>
      <c r="F55" s="24"/>
      <c r="G55" s="33" t="s">
        <v>146</v>
      </c>
      <c r="H55" s="24"/>
      <c r="I55" s="24"/>
      <c r="J55" s="24" t="s">
        <v>146</v>
      </c>
      <c r="K55" s="24"/>
    </row>
    <row r="56" spans="1:11">
      <c r="A56" s="28" t="s">
        <v>42</v>
      </c>
      <c r="B56" s="24" t="s">
        <v>123</v>
      </c>
      <c r="C56" s="24" t="s">
        <v>75</v>
      </c>
      <c r="D56" s="24" t="str">
        <f>IFERROR(IF(INDEX('01.25'!D2:D500, MATCH(B56&amp;C56, INDEX('01.25'!B2:B500&amp;'01.25'!C2:C500, 0), 0))="", "", INDEX('01.25'!D2:D500, MATCH(B56&amp;C56, INDEX('01.25'!B2:B500&amp;'01.25'!C2:C500, 0), 0))), "")</f>
        <v xml:space="preserve">Diego Batista </v>
      </c>
      <c r="E56" s="24"/>
      <c r="F56" s="24"/>
      <c r="G56" s="33" t="s">
        <v>146</v>
      </c>
      <c r="H56" s="24"/>
      <c r="I56" s="24"/>
      <c r="J56" s="24" t="s">
        <v>146</v>
      </c>
      <c r="K56" s="24"/>
    </row>
    <row r="57" spans="1:11">
      <c r="A57" s="32" t="s">
        <v>35</v>
      </c>
      <c r="B57" s="24" t="s">
        <v>85</v>
      </c>
      <c r="C57" s="24" t="s">
        <v>75</v>
      </c>
      <c r="D57" s="24" t="str">
        <f>IFERROR(IF(INDEX('01.25'!D2:D500, MATCH(B57&amp;C57, INDEX('01.25'!B2:B500&amp;'01.25'!C2:C500, 0), 0))="", "", INDEX('01.25'!D2:D500, MATCH(B57&amp;C57, INDEX('01.25'!B2:B500&amp;'01.25'!C2:C500, 0), 0))), "")</f>
        <v>Fernanda Naiara Voinarski</v>
      </c>
      <c r="E57" s="24"/>
      <c r="F57" s="24"/>
      <c r="G57" s="33" t="s">
        <v>146</v>
      </c>
      <c r="H57" s="24"/>
      <c r="I57" s="24"/>
      <c r="J57" s="24" t="s">
        <v>146</v>
      </c>
      <c r="K57" s="24"/>
    </row>
    <row r="58" spans="1:11">
      <c r="A58" s="32" t="s">
        <v>35</v>
      </c>
      <c r="B58" s="24" t="s">
        <v>86</v>
      </c>
      <c r="C58" s="24" t="s">
        <v>75</v>
      </c>
      <c r="D58" s="24" t="str">
        <f>IFERROR(IF(INDEX('01.25'!D2:D500, MATCH(B58&amp;C58, INDEX('01.25'!B2:B500&amp;'01.25'!C2:C500, 0), 0))="", "", INDEX('01.25'!D2:D500, MATCH(B58&amp;C58, INDEX('01.25'!B2:B500&amp;'01.25'!C2:C500, 0), 0))), "")</f>
        <v>Pablo Bruno Rosa Oliveira</v>
      </c>
      <c r="E58" s="24"/>
      <c r="F58" s="24"/>
      <c r="G58" s="33" t="s">
        <v>146</v>
      </c>
      <c r="H58" s="24"/>
      <c r="I58" s="24"/>
      <c r="J58" s="24" t="s">
        <v>146</v>
      </c>
      <c r="K58" s="24"/>
    </row>
  </sheetData>
  <autoFilter ref="A1:G1" xr:uid="{00000000-0009-0000-0000-00000E000000}"/>
  <conditionalFormatting sqref="G2:G58">
    <cfRule type="cellIs" dxfId="14" priority="1" stopIfTrue="1" operator="equal">
      <formula>"Sim"</formula>
    </cfRule>
    <cfRule type="cellIs" dxfId="13" priority="3" stopIfTrue="1" operator="equal">
      <formula>"Não"</formula>
    </cfRule>
  </conditionalFormatting>
  <conditionalFormatting sqref="J2:J58">
    <cfRule type="cellIs" dxfId="12" priority="4" stopIfTrue="1" operator="equal">
      <formula>"Sim"</formula>
    </cfRule>
    <cfRule type="cellIs" dxfId="11" priority="4" stopIfTrue="1" operator="equal">
      <formula>"Não"</formula>
    </cfRule>
    <cfRule type="cellIs" dxfId="10" priority="5" stopIfTrue="1" operator="equal">
      <formula>"Em Análise"</formula>
    </cfRule>
  </conditionalFormatting>
  <conditionalFormatting sqref="E2:E58">
    <cfRule type="cellIs" dxfId="9" priority="6" stopIfTrue="1" operator="equal">
      <formula>"Enviado"</formula>
    </cfRule>
    <cfRule type="cellIs" dxfId="8" priority="7" stopIfTrue="1" operator="equal">
      <formula>"Atrasado"</formula>
    </cfRule>
    <cfRule type="cellIs" dxfId="7" priority="8" stopIfTrue="1" operator="equal">
      <formula>"Atrasado &gt;= 2"</formula>
    </cfRule>
    <cfRule type="cellIs" dxfId="6" priority="9" stopIfTrue="1" operator="equal">
      <formula>"Outras Ocorrências"</formula>
    </cfRule>
    <cfRule type="cellIs" dxfId="5" priority="10" stopIfTrue="1" operator="equal">
      <formula>"Sem Técnico"</formula>
    </cfRule>
    <cfRule type="cellIs" dxfId="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
  <sheetViews>
    <sheetView workbookViewId="0">
      <pane xSplit="3" topLeftCell="D1" activePane="topRight" state="frozen"/>
      <selection pane="topRight"/>
    </sheetView>
  </sheetViews>
  <sheetFormatPr defaultRowHeight="15"/>
  <cols>
    <col min="1" max="2" width="23" customWidth="1"/>
    <col min="3" max="3" width="8" customWidth="1"/>
    <col min="4" max="4" width="29" customWidth="1"/>
    <col min="5" max="5" width="18" customWidth="1"/>
    <col min="6" max="6" width="22" customWidth="1"/>
    <col min="7" max="7" width="27" customWidth="1"/>
    <col min="8" max="8" width="16" customWidth="1"/>
    <col min="9" max="9" width="34" customWidth="1"/>
    <col min="10" max="11" width="26" customWidth="1"/>
  </cols>
  <sheetData>
    <row r="1" spans="1:11">
      <c r="A1" s="22" t="s">
        <v>25</v>
      </c>
      <c r="B1" s="22" t="s">
        <v>134</v>
      </c>
      <c r="C1" s="22" t="s">
        <v>73</v>
      </c>
      <c r="D1" s="22" t="s">
        <v>135</v>
      </c>
      <c r="E1" s="22" t="s">
        <v>137</v>
      </c>
      <c r="F1" s="22" t="s">
        <v>422</v>
      </c>
      <c r="G1" s="22" t="s">
        <v>138</v>
      </c>
      <c r="H1" s="22" t="s">
        <v>139</v>
      </c>
      <c r="I1" s="22" t="s">
        <v>140</v>
      </c>
      <c r="J1" s="22" t="s">
        <v>423</v>
      </c>
      <c r="K1" s="22" t="s">
        <v>142</v>
      </c>
    </row>
    <row r="2" spans="1:11">
      <c r="A2" s="23" t="s">
        <v>33</v>
      </c>
      <c r="B2" s="24" t="s">
        <v>129</v>
      </c>
      <c r="C2" s="24" t="s">
        <v>424</v>
      </c>
      <c r="D2" s="24" t="s">
        <v>425</v>
      </c>
      <c r="E2" s="24" t="s">
        <v>426</v>
      </c>
      <c r="F2" s="24" t="s">
        <v>427</v>
      </c>
      <c r="G2" s="24" t="s">
        <v>146</v>
      </c>
      <c r="H2" s="24"/>
      <c r="I2" s="24"/>
      <c r="J2" s="24" t="s">
        <v>146</v>
      </c>
      <c r="K2" s="24"/>
    </row>
    <row r="3" spans="1:11">
      <c r="A3" s="34" t="s">
        <v>43</v>
      </c>
      <c r="B3" s="24" t="s">
        <v>43</v>
      </c>
      <c r="C3" s="24" t="s">
        <v>424</v>
      </c>
      <c r="D3" s="24" t="s">
        <v>190</v>
      </c>
      <c r="E3" s="24" t="s">
        <v>316</v>
      </c>
      <c r="F3" s="24" t="s">
        <v>428</v>
      </c>
      <c r="G3" s="24" t="s">
        <v>146</v>
      </c>
      <c r="H3" s="24"/>
      <c r="I3" s="24"/>
      <c r="J3" s="24" t="s">
        <v>146</v>
      </c>
      <c r="K3" s="24"/>
    </row>
    <row r="4" spans="1:11">
      <c r="A4" s="30" t="s">
        <v>26</v>
      </c>
      <c r="B4" s="24" t="s">
        <v>107</v>
      </c>
      <c r="C4" s="24" t="s">
        <v>424</v>
      </c>
      <c r="D4" s="24" t="s">
        <v>429</v>
      </c>
      <c r="E4" s="24" t="s">
        <v>407</v>
      </c>
      <c r="F4" s="24" t="s">
        <v>430</v>
      </c>
      <c r="G4" s="24" t="s">
        <v>146</v>
      </c>
      <c r="H4" s="24"/>
      <c r="I4" s="24"/>
      <c r="J4" s="24" t="s">
        <v>146</v>
      </c>
      <c r="K4" s="24"/>
    </row>
  </sheetData>
  <autoFilter ref="A1:G1" xr:uid="{00000000-0009-0000-0000-00000F000000}"/>
  <conditionalFormatting sqref="G2:G4">
    <cfRule type="cellIs" dxfId="3" priority="1" stopIfTrue="1" operator="equal">
      <formula>"Sim"</formula>
    </cfRule>
    <cfRule type="cellIs" dxfId="2" priority="2" stopIfTrue="1" operator="equal">
      <formula>"Não"</formula>
    </cfRule>
  </conditionalFormatting>
  <conditionalFormatting sqref="J2:J4">
    <cfRule type="cellIs" dxfId="1" priority="3" stopIfTrue="1" operator="equal">
      <formula>"Sim"</formula>
    </cfRule>
    <cfRule type="cellIs" dxfId="0" priority="3" stopIfTrue="1" operator="equal">
      <formula>"Não"</formula>
    </cfRule>
  </conditionalFormatting>
  <dataValidations count="1">
    <dataValidation type="list" sqref="G2:G4 J2:J4" xr:uid="{00000000-0002-0000-0F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Matheus Goncalves Bainy</cp:lastModifiedBy>
  <cp:revision/>
  <dcterms:created xsi:type="dcterms:W3CDTF">2025-11-18T12:01:18Z</dcterms:created>
  <dcterms:modified xsi:type="dcterms:W3CDTF">2025-11-19T12:04:46Z</dcterms:modified>
  <cp:category/>
  <cp:contentStatus/>
</cp:coreProperties>
</file>