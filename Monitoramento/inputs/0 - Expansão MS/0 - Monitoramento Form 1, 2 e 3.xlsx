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xr:revisionPtr revIDLastSave="3" documentId="11_F00FBAB2B8B1B0913F2FE38DA469A21D26290A13" xr6:coauthVersionLast="47" xr6:coauthVersionMax="47" xr10:uidLastSave="{81D382A1-2230-4A84-BF6D-7B0645224568}"/>
  <bookViews>
    <workbookView xWindow="0" yWindow="0" windowWidth="0" windowHeight="0" activeTab="1" xr2:uid="{00000000-000D-0000-FFFF-FFFF00000000}"/>
  </bookViews>
  <sheets>
    <sheet name="Resumo" sheetId="1" r:id="rId1"/>
    <sheet name="Monitoramento" sheetId="2" r:id="rId2"/>
    <sheet name="Form 1 - Município" sheetId="3" r:id="rId3"/>
    <sheet name="Form 2 - UVR" sheetId="4" r:id="rId4"/>
    <sheet name="Form 3 - Empreendimento" sheetId="5" r:id="rId5"/>
  </sheets>
  <externalReferences>
    <externalReference r:id="rId6"/>
    <externalReference r:id="rId7"/>
    <externalReference r:id="rId8"/>
  </externalReference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5" l="1"/>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55" i="2" a="1"/>
  <c r="F55" i="2"/>
  <c r="E55" i="2" a="1"/>
  <c r="E55" i="2"/>
  <c r="D55" i="2" a="1"/>
  <c r="D55" i="2"/>
  <c r="F54" i="2" a="1"/>
  <c r="F54" i="2"/>
  <c r="E54" i="2" a="1"/>
  <c r="E54" i="2"/>
  <c r="D54" i="2" a="1"/>
  <c r="D54" i="2"/>
  <c r="F53" i="2" a="1"/>
  <c r="F53" i="2"/>
  <c r="E53" i="2" a="1"/>
  <c r="E53" i="2"/>
  <c r="D53" i="2" a="1"/>
  <c r="D53" i="2"/>
  <c r="F52" i="2" a="1"/>
  <c r="F52" i="2"/>
  <c r="E52" i="2" a="1"/>
  <c r="E52" i="2"/>
  <c r="D52" i="2" a="1"/>
  <c r="D52" i="2"/>
  <c r="F51" i="2" a="1"/>
  <c r="F51" i="2"/>
  <c r="E51" i="2" a="1"/>
  <c r="E51" i="2"/>
  <c r="D51" i="2" a="1"/>
  <c r="D51" i="2"/>
  <c r="F50" i="2" a="1"/>
  <c r="F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4" i="2" a="1"/>
  <c r="F34" i="2"/>
  <c r="E34" i="2" a="1"/>
  <c r="E34" i="2"/>
  <c r="D34" i="2" a="1"/>
  <c r="D34" i="2"/>
  <c r="F33" i="2" a="1"/>
  <c r="F33" i="2"/>
  <c r="E33" i="2" a="1"/>
  <c r="E33" i="2"/>
  <c r="D33" i="2" a="1"/>
  <c r="D33" i="2"/>
  <c r="F32" i="2" a="1"/>
  <c r="F32" i="2"/>
  <c r="E32" i="2" a="1"/>
  <c r="E32" i="2"/>
  <c r="D32" i="2" a="1"/>
  <c r="D32" i="2"/>
  <c r="F31" i="2" a="1"/>
  <c r="F31" i="2"/>
  <c r="E31" i="2" a="1"/>
  <c r="E31" i="2"/>
  <c r="D31" i="2" a="1"/>
  <c r="D31" i="2"/>
  <c r="F30" i="2" a="1"/>
  <c r="F30" i="2"/>
  <c r="E30" i="2" a="1"/>
  <c r="E30" i="2"/>
  <c r="D30" i="2" a="1"/>
  <c r="D30" i="2"/>
  <c r="F29" i="2" a="1"/>
  <c r="F29" i="2"/>
  <c r="E29" i="2" a="1"/>
  <c r="E29" i="2"/>
  <c r="D29" i="2" a="1"/>
  <c r="D29" i="2"/>
  <c r="F28" i="2" a="1"/>
  <c r="F28" i="2"/>
  <c r="E28" i="2" a="1"/>
  <c r="E28" i="2"/>
  <c r="D28" i="2" a="1"/>
  <c r="D28" i="2"/>
  <c r="F27" i="2" a="1"/>
  <c r="F27" i="2"/>
  <c r="E27" i="2" a="1"/>
  <c r="E27" i="2"/>
  <c r="D27" i="2" a="1"/>
  <c r="D27" i="2"/>
  <c r="F26" i="2" a="1"/>
  <c r="F26" i="2"/>
  <c r="E26" i="2" a="1"/>
  <c r="E26" i="2"/>
  <c r="D26" i="2" a="1"/>
  <c r="D26" i="2"/>
  <c r="F25" i="2" a="1"/>
  <c r="F25" i="2"/>
  <c r="E25" i="2" a="1"/>
  <c r="E25" i="2"/>
  <c r="D25" i="2" a="1"/>
  <c r="D25"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6" i="2" a="1"/>
  <c r="F16" i="2"/>
  <c r="E16" i="2" a="1"/>
  <c r="E16" i="2"/>
  <c r="D16" i="2" a="1"/>
  <c r="D16" i="2"/>
  <c r="F15" i="2" a="1"/>
  <c r="F15" i="2"/>
  <c r="E15" i="2" a="1"/>
  <c r="E15" i="2"/>
  <c r="D15" i="2" a="1"/>
  <c r="D15" i="2"/>
  <c r="F14" i="2" a="1"/>
  <c r="F14" i="2"/>
  <c r="E14" i="2" a="1"/>
  <c r="E14" i="2"/>
  <c r="D14" i="2" a="1"/>
  <c r="D14" i="2"/>
  <c r="F13" i="2" a="1"/>
  <c r="F13" i="2"/>
  <c r="E13" i="2" a="1"/>
  <c r="E13" i="2"/>
  <c r="D13" i="2" a="1"/>
  <c r="D13" i="2"/>
  <c r="F12" i="2" a="1"/>
  <c r="F12" i="2"/>
  <c r="E12" i="2" a="1"/>
  <c r="E12" i="2"/>
  <c r="D12" i="2" a="1"/>
  <c r="D12"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D2" i="2" a="1"/>
  <c r="D2" i="2"/>
  <c r="F21" i="1" a="1"/>
  <c r="F21" i="1"/>
  <c r="D21" i="1" a="1"/>
  <c r="D21" i="1"/>
  <c r="E21" i="1" s="1"/>
  <c r="B21" i="1" a="1"/>
  <c r="B21" i="1"/>
  <c r="C21" i="1" s="1"/>
  <c r="F20" i="1" a="1"/>
  <c r="F20" i="1"/>
  <c r="D20" i="1" a="1"/>
  <c r="D20" i="1"/>
  <c r="E20" i="1" s="1"/>
  <c r="B20" i="1" a="1"/>
  <c r="B20" i="1"/>
  <c r="C20" i="1" s="1"/>
  <c r="F19" i="1" a="1"/>
  <c r="F19" i="1"/>
  <c r="D19" i="1" a="1"/>
  <c r="D19" i="1"/>
  <c r="E19" i="1" s="1"/>
  <c r="B19" i="1" a="1"/>
  <c r="B19" i="1"/>
  <c r="C19" i="1" s="1"/>
  <c r="F18" i="1" a="1"/>
  <c r="F18" i="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48" i="1" l="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48" i="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48" i="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2" i="1"/>
  <c r="C17" i="1"/>
  <c r="C22" i="1" s="1"/>
  <c r="D22" i="1"/>
  <c r="E17" i="1"/>
  <c r="E22" i="1" s="1"/>
  <c r="F22" i="1"/>
  <c r="H4" i="1" l="1"/>
  <c r="F4" i="1"/>
  <c r="D4" i="1"/>
  <c r="B4" i="1"/>
  <c r="H3" i="1"/>
  <c r="F3" i="1"/>
  <c r="D3" i="1"/>
  <c r="B3" i="1"/>
  <c r="H2" i="1"/>
  <c r="F2" i="1"/>
  <c r="D2" i="1"/>
  <c r="B2" i="1"/>
  <c r="B5" i="1" l="1"/>
  <c r="J2" i="1"/>
  <c r="C2" i="1"/>
  <c r="D5" i="1"/>
  <c r="E2" i="1"/>
  <c r="F5" i="1"/>
  <c r="G5" i="1" s="1"/>
  <c r="G2" i="1"/>
  <c r="H5" i="1"/>
  <c r="I5" i="1" s="1"/>
  <c r="I2" i="1"/>
  <c r="J3" i="1"/>
  <c r="C3" i="1"/>
  <c r="E3" i="1"/>
  <c r="G3" i="1"/>
  <c r="I3" i="1"/>
  <c r="J4" i="1"/>
  <c r="C4" i="1"/>
  <c r="G17" i="1"/>
  <c r="E4" i="1"/>
  <c r="G4" i="1"/>
  <c r="I4" i="1"/>
  <c r="E5" i="1" l="1"/>
  <c r="J5" i="1"/>
  <c r="C5" i="1"/>
  <c r="G18" i="1"/>
  <c r="G19" i="1"/>
  <c r="G20" i="1"/>
  <c r="G21" i="1"/>
  <c r="G22" i="1" l="1"/>
</calcChain>
</file>

<file path=xl/sharedStrings.xml><?xml version="1.0" encoding="utf-8"?>
<sst xmlns="http://schemas.openxmlformats.org/spreadsheetml/2006/main" count="1181" uniqueCount="164">
  <si>
    <t>Formulário</t>
  </si>
  <si>
    <t>Enviados</t>
  </si>
  <si>
    <t>%</t>
  </si>
  <si>
    <t>Atrasados</t>
  </si>
  <si>
    <t>Sem Técnico</t>
  </si>
  <si>
    <t>Duplicado</t>
  </si>
  <si>
    <t>Total</t>
  </si>
  <si>
    <t>Form 1</t>
  </si>
  <si>
    <t>Form 2</t>
  </si>
  <si>
    <t>Form 3</t>
  </si>
  <si>
    <t>1 - Município</t>
  </si>
  <si>
    <t>2 - UVR</t>
  </si>
  <si>
    <t>3 - Empreendimento</t>
  </si>
  <si>
    <t>Validados</t>
  </si>
  <si>
    <t>Regional</t>
  </si>
  <si>
    <t>Form 1 - Município</t>
  </si>
  <si>
    <t>Form 2 - UVR</t>
  </si>
  <si>
    <t>Form 3 - Empreendimento</t>
  </si>
  <si>
    <t>Coripa</t>
  </si>
  <si>
    <t>Comafen</t>
  </si>
  <si>
    <t>Cibax</t>
  </si>
  <si>
    <t>Cifra</t>
  </si>
  <si>
    <t>Conisul</t>
  </si>
  <si>
    <t>Municípios</t>
  </si>
  <si>
    <t>UVR</t>
  </si>
  <si>
    <t>08.25</t>
  </si>
  <si>
    <t>09.25</t>
  </si>
  <si>
    <t>10.25</t>
  </si>
  <si>
    <t>Alto Paraíso</t>
  </si>
  <si>
    <t>Outras Ocorrências</t>
  </si>
  <si>
    <t>Douradina</t>
  </si>
  <si>
    <t>Enviado</t>
  </si>
  <si>
    <t>Atrasado &gt;= 2</t>
  </si>
  <si>
    <t>Atrasado</t>
  </si>
  <si>
    <t>Esperança Nova</t>
  </si>
  <si>
    <t>Icaraíma</t>
  </si>
  <si>
    <t>Maria Helena</t>
  </si>
  <si>
    <t>Nova Olimpia</t>
  </si>
  <si>
    <t>São Jorge do Patrocinio</t>
  </si>
  <si>
    <t>Tapira</t>
  </si>
  <si>
    <t>Diamante do Norte</t>
  </si>
  <si>
    <t>Itauna do Sul</t>
  </si>
  <si>
    <t>Loanda</t>
  </si>
  <si>
    <t>Marilena</t>
  </si>
  <si>
    <t>Nova Londrina</t>
  </si>
  <si>
    <t>Planaltina do Paraná</t>
  </si>
  <si>
    <t>Porto Rico</t>
  </si>
  <si>
    <t>Querencia do Norte</t>
  </si>
  <si>
    <t>Santa Cruz de Monte Castelo</t>
  </si>
  <si>
    <t>Santa Isabel do Ivai</t>
  </si>
  <si>
    <t>São Pedro do Paraná</t>
  </si>
  <si>
    <t>Alto Piquiri</t>
  </si>
  <si>
    <t>Cafezal do Sul</t>
  </si>
  <si>
    <t>Cruzeiro do Oeste</t>
  </si>
  <si>
    <t>Iporã</t>
  </si>
  <si>
    <t>Ivaté</t>
  </si>
  <si>
    <t>Mariluz</t>
  </si>
  <si>
    <t>Perobal</t>
  </si>
  <si>
    <t>Pérola</t>
  </si>
  <si>
    <t>Umuarama</t>
  </si>
  <si>
    <t>Xambre</t>
  </si>
  <si>
    <t>Bela Vista da Caroba</t>
  </si>
  <si>
    <t>Perola d'Oeste</t>
  </si>
  <si>
    <t>Planalto</t>
  </si>
  <si>
    <t>Santo Antonio do Sudoeste</t>
  </si>
  <si>
    <t>Amambai</t>
  </si>
  <si>
    <t>Aral Moreira</t>
  </si>
  <si>
    <t>Caarapó</t>
  </si>
  <si>
    <t>Coronel Sapucaia</t>
  </si>
  <si>
    <t>Eldorado</t>
  </si>
  <si>
    <t>Iguatemi</t>
  </si>
  <si>
    <t>Itaquiraí</t>
  </si>
  <si>
    <t>Japorã</t>
  </si>
  <si>
    <t>Juti</t>
  </si>
  <si>
    <t>Naviraí</t>
  </si>
  <si>
    <t>Paranhos</t>
  </si>
  <si>
    <t>Sete Quedas</t>
  </si>
  <si>
    <t>Tacuru</t>
  </si>
  <si>
    <t>Município</t>
  </si>
  <si>
    <t>Técnico de UVR</t>
  </si>
  <si>
    <t>Situação</t>
  </si>
  <si>
    <t>Data de Envio</t>
  </si>
  <si>
    <t>Validado pelo Regional</t>
  </si>
  <si>
    <t>Observações</t>
  </si>
  <si>
    <t>Formulários para Deletar (ID)</t>
  </si>
  <si>
    <t>Validado Equip de TI</t>
  </si>
  <si>
    <t>Resposta Equipe de TI</t>
  </si>
  <si>
    <t>Danúbia Hotrich dos Santos Silva</t>
  </si>
  <si>
    <t>22/09/2025</t>
  </si>
  <si>
    <t>Não</t>
  </si>
  <si>
    <t>Beatriz Piffer</t>
  </si>
  <si>
    <t>13/10/2025</t>
  </si>
  <si>
    <t>Ana Paula Freire</t>
  </si>
  <si>
    <t>11/09/2025</t>
  </si>
  <si>
    <t>Leonardo Zavilenski Fogaça</t>
  </si>
  <si>
    <t>01/10/2025</t>
  </si>
  <si>
    <t>Armindo Ferreira da Silva</t>
  </si>
  <si>
    <t>10/10/2025</t>
  </si>
  <si>
    <t>Henderson Heim</t>
  </si>
  <si>
    <t>Helton Pinto de Castro</t>
  </si>
  <si>
    <t>16/09/2025</t>
  </si>
  <si>
    <t>Jose roberto pogioli</t>
  </si>
  <si>
    <t>26/09/2025</t>
  </si>
  <si>
    <t>Analigia de Santana Abreu</t>
  </si>
  <si>
    <t xml:space="preserve">Anderson Bergamasco Hryczyna </t>
  </si>
  <si>
    <t>29/09/2025</t>
  </si>
  <si>
    <t>Andressa da Silva</t>
  </si>
  <si>
    <t>Isadora Gil</t>
  </si>
  <si>
    <t>03/10/2025</t>
  </si>
  <si>
    <t>Marcella Regyna Scarassatti</t>
  </si>
  <si>
    <t>Emerson Henrique Moreira</t>
  </si>
  <si>
    <t>Fabio Soares Clemente</t>
  </si>
  <si>
    <t>25/09/2025</t>
  </si>
  <si>
    <t>Sim</t>
  </si>
  <si>
    <t>ID192</t>
  </si>
  <si>
    <t>Deletado 192</t>
  </si>
  <si>
    <t>Valdirlei de Araujo</t>
  </si>
  <si>
    <t>18/09/2025</t>
  </si>
  <si>
    <t>Glassys Louise de Souza Cortez</t>
  </si>
  <si>
    <t>17/09/2025</t>
  </si>
  <si>
    <t>Octavio Fellipe j Barbosa</t>
  </si>
  <si>
    <t>Rony Eduardo Souza Terra</t>
  </si>
  <si>
    <t>Angelo Cesar Favaro</t>
  </si>
  <si>
    <t>Ana Julia Pereira</t>
  </si>
  <si>
    <t>Aparecido dos Santos</t>
  </si>
  <si>
    <t>Joao Lucas Côrtes Silva Freitas</t>
  </si>
  <si>
    <t>Jose Antonio Pinheiro Munhoz</t>
  </si>
  <si>
    <t>Alana Bardela dos Santos</t>
  </si>
  <si>
    <t>Diogo Augusto Graeff Vizini</t>
  </si>
  <si>
    <t>Tiago Cabrera de Oliveira</t>
  </si>
  <si>
    <t>06/10/2025</t>
  </si>
  <si>
    <t>Vanessa Diovana Biassi Soares</t>
  </si>
  <si>
    <t>Carlos Eduardo Meira Freire</t>
  </si>
  <si>
    <t>24/09/2025</t>
  </si>
  <si>
    <t>Vania Tomazelli de Lima</t>
  </si>
  <si>
    <t>Jose Elias Calonga Cunha</t>
  </si>
  <si>
    <t>Gustavo Becker Modesto Silva</t>
  </si>
  <si>
    <t>02/10/2025</t>
  </si>
  <si>
    <t>Wendel Ortiz dos Santos</t>
  </si>
  <si>
    <t>Edvaldo José de Souza</t>
  </si>
  <si>
    <t>Sirlei Aparecida Costa Souza</t>
  </si>
  <si>
    <t>Fredson Julio de Oliveira</t>
  </si>
  <si>
    <t>08/10/2025</t>
  </si>
  <si>
    <t>Mayara Cristina Neves Abel</t>
  </si>
  <si>
    <t>Leandra Aymê Alves Elias Assumpcao</t>
  </si>
  <si>
    <t>Camila Bomfim de Carvalho Ferreira</t>
  </si>
  <si>
    <t>23/09/2025</t>
  </si>
  <si>
    <t>Paulo Ricardo Klaus</t>
  </si>
  <si>
    <t>Adiel Correia Nogueira</t>
  </si>
  <si>
    <t>Município sem Estrutura ou Associação</t>
  </si>
  <si>
    <t>27/10/2025</t>
  </si>
  <si>
    <t>07/10/2025</t>
  </si>
  <si>
    <t>28/10/2025</t>
  </si>
  <si>
    <t>19/09/2025</t>
  </si>
  <si>
    <t>Não tem UVR</t>
  </si>
  <si>
    <t>13/10/2025, 24/11/2025</t>
  </si>
  <si>
    <t>ID201</t>
  </si>
  <si>
    <t>Deletado 201</t>
  </si>
  <si>
    <t>13/11/2025, 13/11/2025, 13/11/2025, 13/11/2025</t>
  </si>
  <si>
    <t>10/11/2025</t>
  </si>
  <si>
    <t xml:space="preserve">ID212 </t>
  </si>
  <si>
    <t>Deletado 212</t>
  </si>
  <si>
    <t>03/10/2025, 28/10/2025</t>
  </si>
  <si>
    <t>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</si>
</sst>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4"/>
      <color theme="0"/>
      <name val="Aptos Narrow"/>
    </font>
    <font>
      <sz val="11"/>
      <color theme="0"/>
      <name val="Calibri"/>
    </font>
    <font>
      <sz val="11"/>
      <color theme="1"/>
      <name val="Calibri"/>
    </font>
    <font>
      <sz val="12"/>
      <color theme="1"/>
      <name val="Aptos Narrow"/>
    </font>
    <font>
      <b/>
      <sz val="12"/>
      <color theme="1"/>
      <name val="Aptos Narrow"/>
    </font>
    <font>
      <sz val="12"/>
      <color theme="0"/>
      <name val="Aptos Narrow"/>
    </font>
    <font>
      <sz val="11"/>
      <color theme="1"/>
      <name val="Arial"/>
    </font>
    <font>
      <sz val="11"/>
      <name val="Arial"/>
    </font>
    <font>
      <b/>
      <sz val="11"/>
      <color theme="1"/>
      <name val="Arial"/>
    </font>
    <font>
      <b/>
      <sz val="11"/>
      <color theme="1"/>
      <name val="Calibri"/>
    </font>
    <font>
      <sz val="11"/>
      <name val="Calibri"/>
    </font>
    <font>
      <b/>
      <sz val="11"/>
      <color rgb="FFFFFFFF"/>
      <name val="Arial"/>
    </font>
    <font>
      <sz val="11"/>
      <color rgb="FFFFFFFF"/>
      <name val="Arial"/>
    </font>
  </fonts>
  <fills count="25">
    <fill>
      <patternFill patternType="none"/>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00000"/>
        <bgColor indexed="64"/>
      </patternFill>
    </fill>
    <fill>
      <patternFill patternType="solid">
        <fgColor rgb="FF003366"/>
        <bgColor rgb="FF003366"/>
      </patternFill>
    </fill>
    <fill>
      <patternFill patternType="solid">
        <fgColor rgb="FF008000"/>
        <bgColor rgb="FF008000"/>
      </patternFill>
    </fill>
    <fill>
      <patternFill patternType="solid">
        <fgColor rgb="FF006400"/>
        <bgColor rgb="FF006400"/>
      </patternFill>
    </fill>
    <fill>
      <patternFill patternType="solid">
        <fgColor rgb="FFFF6666"/>
        <bgColor rgb="FFFF6666"/>
      </patternFill>
    </fill>
    <fill>
      <patternFill patternType="solid">
        <fgColor rgb="FFFDEE00"/>
        <bgColor rgb="FFFDEE00"/>
      </patternFill>
    </fill>
    <fill>
      <patternFill patternType="solid">
        <fgColor rgb="FF00BFFF"/>
        <bgColor rgb="FF00BFFF"/>
      </patternFill>
    </fill>
    <fill>
      <patternFill patternType="solid">
        <fgColor rgb="FF808080"/>
        <bgColor rgb="FF808080"/>
      </patternFill>
    </fill>
    <fill>
      <patternFill patternType="solid">
        <fgColor rgb="FFFFA500"/>
        <bgColor rgb="FFFFA500"/>
      </patternFill>
    </fill>
    <fill>
      <patternFill patternType="solid">
        <fgColor rgb="FFFF6400"/>
        <bgColor rgb="FFFF6400"/>
      </patternFill>
    </fill>
    <fill>
      <patternFill patternType="solid">
        <fgColor rgb="FF66FF66"/>
        <bgColor rgb="FF66FF66"/>
      </patternFill>
    </fill>
    <fill>
      <patternFill patternType="solid">
        <fgColor rgb="FFFF0000"/>
        <bgColor rgb="FFFF0000"/>
      </patternFill>
    </fill>
    <fill>
      <patternFill patternType="solid">
        <fgColor rgb="FFA020F0"/>
        <bgColor rgb="FFA020F0"/>
      </patternFill>
    </fill>
    <fill>
      <patternFill patternType="solid">
        <fgColor rgb="FF31869B"/>
        <bgColor rgb="FF31869B"/>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xf>
    <xf numFmtId="0" fontId="4" fillId="0" borderId="2" xfId="0" applyFont="1" applyBorder="1" applyAlignment="1">
      <alignment horizontal="center" vertical="center"/>
    </xf>
    <xf numFmtId="0" fontId="6" fillId="2"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9" fillId="9" borderId="2"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7" fillId="10" borderId="5" xfId="0" applyFont="1" applyFill="1" applyBorder="1" applyAlignment="1">
      <alignment horizontal="center" vertical="center"/>
    </xf>
    <xf numFmtId="0" fontId="7" fillId="11" borderId="5" xfId="0" applyFont="1" applyFill="1" applyBorder="1" applyAlignment="1">
      <alignment horizontal="center" vertical="center"/>
    </xf>
    <xf numFmtId="0" fontId="12" fillId="12" borderId="6" xfId="0" applyFont="1" applyFill="1" applyBorder="1" applyAlignment="1">
      <alignment horizontal="center" vertical="center"/>
    </xf>
    <xf numFmtId="0" fontId="8" fillId="13" borderId="6" xfId="0" applyFont="1" applyFill="1" applyBorder="1" applyAlignment="1">
      <alignment horizontal="center" vertical="center"/>
    </xf>
    <xf numFmtId="0" fontId="8" fillId="0" borderId="6" xfId="0" applyFont="1" applyBorder="1" applyAlignment="1">
      <alignment horizontal="center" vertical="center"/>
    </xf>
    <xf numFmtId="0" fontId="13" fillId="14" borderId="6" xfId="0" applyFont="1" applyFill="1" applyBorder="1" applyAlignment="1">
      <alignment horizontal="center" vertical="center"/>
    </xf>
    <xf numFmtId="0" fontId="8" fillId="15" borderId="6" xfId="0" applyFont="1" applyFill="1" applyBorder="1" applyAlignment="1">
      <alignment horizontal="center" vertical="center"/>
    </xf>
    <xf numFmtId="0" fontId="8" fillId="16" borderId="6" xfId="0" applyFont="1" applyFill="1" applyBorder="1" applyAlignment="1">
      <alignment horizontal="center" vertical="center"/>
    </xf>
    <xf numFmtId="0" fontId="8" fillId="17" borderId="6" xfId="0" applyFont="1" applyFill="1" applyBorder="1" applyAlignment="1">
      <alignment horizontal="center" vertical="center"/>
    </xf>
    <xf numFmtId="0" fontId="13" fillId="18" borderId="6" xfId="0" applyFont="1" applyFill="1" applyBorder="1" applyAlignment="1">
      <alignment horizontal="center" vertical="center"/>
    </xf>
    <xf numFmtId="0" fontId="8" fillId="19" borderId="6" xfId="0" applyFont="1" applyFill="1" applyBorder="1" applyAlignment="1">
      <alignment horizontal="center" vertical="center"/>
    </xf>
    <xf numFmtId="0" fontId="13" fillId="20" borderId="6" xfId="0" applyFont="1" applyFill="1" applyBorder="1" applyAlignment="1">
      <alignment horizontal="center" vertical="center"/>
    </xf>
    <xf numFmtId="0" fontId="8" fillId="22" borderId="6" xfId="0" applyFont="1" applyFill="1" applyBorder="1" applyAlignment="1">
      <alignment horizontal="center" vertical="center"/>
    </xf>
    <xf numFmtId="0" fontId="13" fillId="23" borderId="6" xfId="0" applyFont="1" applyFill="1" applyBorder="1" applyAlignment="1">
      <alignment horizontal="center" vertical="center"/>
    </xf>
    <xf numFmtId="0" fontId="13" fillId="24" borderId="6" xfId="0" applyFont="1" applyFill="1" applyBorder="1" applyAlignment="1">
      <alignment horizontal="center" vertical="center"/>
    </xf>
    <xf numFmtId="0" fontId="8" fillId="21" borderId="6" xfId="0" applyFont="1" applyFill="1" applyBorder="1" applyAlignment="1">
      <alignment horizontal="center" vertical="center"/>
    </xf>
    <xf numFmtId="0" fontId="7" fillId="10" borderId="6" xfId="0" applyFont="1" applyFill="1" applyBorder="1" applyAlignment="1">
      <alignment horizontal="center" vertical="center"/>
    </xf>
    <xf numFmtId="0" fontId="2" fillId="3" borderId="6" xfId="0" applyFont="1" applyFill="1" applyBorder="1" applyAlignment="1">
      <alignment horizontal="center" vertical="center"/>
    </xf>
    <xf numFmtId="0" fontId="0" fillId="0" borderId="3" xfId="0" applyBorder="1" applyAlignment="1"/>
    <xf numFmtId="0" fontId="4" fillId="0" borderId="6" xfId="0" applyFont="1" applyBorder="1" applyAlignment="1">
      <alignment horizontal="center" vertical="center"/>
    </xf>
    <xf numFmtId="9" fontId="4" fillId="0" borderId="6" xfId="0" applyNumberFormat="1" applyFont="1" applyBorder="1" applyAlignment="1">
      <alignment horizontal="center" vertical="center"/>
    </xf>
    <xf numFmtId="0" fontId="5" fillId="0" borderId="6" xfId="0" applyFont="1" applyBorder="1" applyAlignment="1">
      <alignment horizontal="center" vertical="center"/>
    </xf>
    <xf numFmtId="0" fontId="3" fillId="0" borderId="6" xfId="0" applyFont="1" applyBorder="1" applyAlignment="1">
      <alignment horizontal="center" vertical="center"/>
    </xf>
    <xf numFmtId="9" fontId="3" fillId="0" borderId="6" xfId="0" applyNumberFormat="1" applyFont="1" applyBorder="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0" fillId="0" borderId="4" xfId="0" applyBorder="1" applyAlignment="1"/>
    <xf numFmtId="0" fontId="8" fillId="6"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8" borderId="6" xfId="0" applyFont="1" applyFill="1" applyBorder="1" applyAlignment="1">
      <alignment horizontal="center" vertical="center"/>
    </xf>
    <xf numFmtId="0" fontId="10" fillId="0" borderId="6" xfId="0" applyFont="1" applyBorder="1" applyAlignment="1">
      <alignment horizontal="center" vertical="center"/>
    </xf>
    <xf numFmtId="9" fontId="10" fillId="0" borderId="6" xfId="0" applyNumberFormat="1" applyFont="1" applyBorder="1" applyAlignment="1">
      <alignment horizontal="center" vertical="center"/>
    </xf>
    <xf numFmtId="49" fontId="6" fillId="2" borderId="6" xfId="0" applyNumberFormat="1" applyFont="1" applyFill="1" applyBorder="1" applyAlignment="1">
      <alignment horizontal="center" vertical="center"/>
    </xf>
    <xf numFmtId="0" fontId="11" fillId="4" borderId="6" xfId="0" applyFont="1" applyFill="1" applyBorder="1" applyAlignment="1">
      <alignment horizontal="center" vertical="center"/>
    </xf>
    <xf numFmtId="0" fontId="11" fillId="0" borderId="6" xfId="0" applyFont="1" applyBorder="1" applyAlignment="1">
      <alignment horizontal="center" vertical="center"/>
    </xf>
    <xf numFmtId="0" fontId="11" fillId="5" borderId="6" xfId="0" applyFont="1" applyFill="1" applyBorder="1" applyAlignment="1">
      <alignment horizontal="center" vertical="center"/>
    </xf>
    <xf numFmtId="0" fontId="11" fillId="6" borderId="6" xfId="0" applyFont="1" applyFill="1" applyBorder="1" applyAlignment="1">
      <alignment horizontal="center" vertical="center"/>
    </xf>
    <xf numFmtId="0" fontId="11" fillId="7" borderId="6" xfId="0" applyFont="1" applyFill="1" applyBorder="1" applyAlignment="1">
      <alignment horizontal="center" vertical="center"/>
    </xf>
    <xf numFmtId="0" fontId="11" fillId="8" borderId="6" xfId="0" applyFont="1" applyFill="1" applyBorder="1" applyAlignment="1">
      <alignment horizontal="center" vertical="center"/>
    </xf>
  </cellXfs>
  <cellStyles count="1">
    <cellStyle name="Normal" xfId="0" builtinId="0"/>
  </cellStyles>
  <dxfs count="119">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10.25?C1730F81" TargetMode="External"/><Relationship Id="rId1" Type="http://schemas.openxmlformats.org/officeDocument/2006/relationships/externalLinkPath" Target="file:///\\C1730F81\10.25"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9.25?C1730F81" TargetMode="External"/><Relationship Id="rId1" Type="http://schemas.openxmlformats.org/officeDocument/2006/relationships/externalLinkPath" Target="file:///\\C1730F81\09.25"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08.25?C1730F81" TargetMode="External"/><Relationship Id="rId1" Type="http://schemas.openxmlformats.org/officeDocument/2006/relationships/externalLinkPath" Target="file:///\\C1730F81\08.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9"/>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8"/>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8"/>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4.85546875" customWidth="1"/>
    <col min="9" max="9" width="14.5703125" customWidth="1"/>
    <col min="10" max="10" width="13.85546875" customWidth="1"/>
    <col min="30" max="30" width="27" customWidth="1"/>
    <col min="31" max="31" width="11.85546875" customWidth="1"/>
    <col min="33" max="33" width="27" customWidth="1"/>
    <col min="34" max="34" width="11.85546875" customWidth="1"/>
    <col min="36" max="36" width="27" customWidth="1"/>
    <col min="37" max="37" width="11.85546875" customWidth="1"/>
  </cols>
  <sheetData>
    <row r="1" spans="1:37" ht="18.75" customHeight="1">
      <c r="A1" s="1" t="s">
        <v>0</v>
      </c>
      <c r="B1" s="1" t="s">
        <v>1</v>
      </c>
      <c r="C1" s="1" t="s">
        <v>2</v>
      </c>
      <c r="D1" s="1" t="s">
        <v>3</v>
      </c>
      <c r="E1" s="1" t="s">
        <v>2</v>
      </c>
      <c r="F1" s="1" t="s">
        <v>4</v>
      </c>
      <c r="G1" s="1" t="s">
        <v>2</v>
      </c>
      <c r="H1" s="1" t="s">
        <v>5</v>
      </c>
      <c r="I1" s="1" t="s">
        <v>2</v>
      </c>
      <c r="J1" s="1" t="s">
        <v>6</v>
      </c>
      <c r="AD1" s="26" t="s">
        <v>7</v>
      </c>
      <c r="AE1" s="27"/>
      <c r="AG1" s="26" t="s">
        <v>8</v>
      </c>
      <c r="AH1" s="27"/>
      <c r="AJ1" s="26" t="s">
        <v>9</v>
      </c>
      <c r="AK1" s="27"/>
    </row>
    <row r="2" spans="1:37" ht="15.75" customHeight="1">
      <c r="A2" s="28" t="s">
        <v>10</v>
      </c>
      <c r="B2" s="28">
        <f ca="1">COUNTIF(AE2:AE47,"Enviado")</f>
        <v>35</v>
      </c>
      <c r="C2" s="29">
        <f ca="1">B2/SUM($B2,$D2,$F2)</f>
        <v>0.76086956521739135</v>
      </c>
      <c r="D2" s="28">
        <f ca="1">COUNTIF(AE2:AE47,"Atrasado")</f>
        <v>6</v>
      </c>
      <c r="E2" s="29">
        <f ca="1">D2/SUM($B2,$D2,$F2)</f>
        <v>0.13043478260869565</v>
      </c>
      <c r="F2" s="28">
        <f ca="1">COUNTIF(AE2:AE47,"Sem Técnico")</f>
        <v>5</v>
      </c>
      <c r="G2" s="29">
        <f ca="1">F2/SUM($B2,$D2,$F2)</f>
        <v>0.10869565217391304</v>
      </c>
      <c r="H2" s="28">
        <f ca="1">COUNTIF(AE2:AE47,"Duplicado")</f>
        <v>0</v>
      </c>
      <c r="I2" s="29">
        <f ca="1">H2/SUM($B2,$D2,$F2,$H2)</f>
        <v>0</v>
      </c>
      <c r="J2" s="30">
        <f ca="1">SUM(B2,D2,F2,H2)</f>
        <v>46</v>
      </c>
      <c r="AD2" s="31" t="str">
        <f t="array" aca="1" ref="AD2:AD48" ca="1">_xlfn.UNIQUE(INDIRECT("'Form 1 - Município'!B2:B70"))</f>
        <v>Alto Paraíso</v>
      </c>
      <c r="AE2" s="31" t="str">
        <f ca="1">VLOOKUP(AD2,INDIRECT("'Form 1 - Município'!$B$2:$E$70"),4,FALSE)</f>
        <v>Enviado</v>
      </c>
      <c r="AG2" s="31" t="str">
        <f t="array" aca="1" ref="AG2:AG48" ca="1">_xlfn.UNIQUE(INDIRECT("'Form 2 - UVR'!B2:B70"))</f>
        <v>Alto Paraíso</v>
      </c>
      <c r="AH2" s="31" t="str">
        <f ca="1">VLOOKUP(AG2,INDIRECT("'Form 2 - UVR'!$B$2:$E$70"),4,FALSE)</f>
        <v>Outras Ocorrências</v>
      </c>
      <c r="AJ2" s="31" t="str">
        <f t="array" aca="1" ref="AJ2:AJ48" ca="1">_xlfn.UNIQUE(INDIRECT("'Form 3 - Empreendimento'!B2:B70"))</f>
        <v>Alto Paraíso</v>
      </c>
      <c r="AK2" s="31" t="str">
        <f ca="1">VLOOKUP(AJ2,INDIRECT("'Form 3 - Empreendimento'!$B$2:$E$70"),4,FALSE)</f>
        <v>Outras Ocorrências</v>
      </c>
    </row>
    <row r="3" spans="1:37" ht="15.75" customHeight="1">
      <c r="A3" s="28" t="s">
        <v>11</v>
      </c>
      <c r="B3" s="28">
        <f ca="1">COUNTIF(AH2:AH47,"Enviado")</f>
        <v>26</v>
      </c>
      <c r="C3" s="29">
        <f ca="1">B3/SUM($B3,$D3,$F3)</f>
        <v>0.60465116279069764</v>
      </c>
      <c r="D3" s="28">
        <f ca="1">COUNTIF(AH2:AH47,"Atrasado")</f>
        <v>12</v>
      </c>
      <c r="E3" s="29">
        <f ca="1">D3/SUM($B3,$D3,$F3)</f>
        <v>0.27906976744186046</v>
      </c>
      <c r="F3" s="28">
        <f ca="1">COUNTIF(AH2:AH47,"Sem Técnico")</f>
        <v>5</v>
      </c>
      <c r="G3" s="29">
        <f ca="1">F3/SUM($B3,$D3,$F3)</f>
        <v>0.11627906976744186</v>
      </c>
      <c r="H3" s="28">
        <f ca="1">COUNTIF(AH2:AH47,"Duplicado")</f>
        <v>0</v>
      </c>
      <c r="I3" s="29">
        <f ca="1">H3/SUM($B3,$D3,$F3,$H3)</f>
        <v>0</v>
      </c>
      <c r="J3" s="30">
        <f ca="1">SUM(B3,D3,F3,H3)</f>
        <v>43</v>
      </c>
      <c r="AD3" s="31" t="str">
        <f ca="1"/>
        <v>Alto Piquiri</v>
      </c>
      <c r="AE3" s="31" t="str">
        <f ca="1">VLOOKUP(AD3,INDIRECT("'Form 1 - Município'!$B$2:$E$70"),4,FALSE)</f>
        <v>Enviado</v>
      </c>
      <c r="AG3" s="31" t="str">
        <f ca="1"/>
        <v>Alto Piquiri</v>
      </c>
      <c r="AH3" s="31" t="str">
        <f ca="1">VLOOKUP(AG3,INDIRECT("'Form 2 - UVR'!$B$2:$E$70"),4,FALSE)</f>
        <v>Enviado</v>
      </c>
      <c r="AJ3" s="31" t="str">
        <f ca="1"/>
        <v>Alto Piquiri</v>
      </c>
      <c r="AK3" s="31" t="str">
        <f ca="1">VLOOKUP(AJ3,INDIRECT("'Form 3 - Empreendimento'!$B$2:$E$70"),4,FALSE)</f>
        <v>Duplicado</v>
      </c>
    </row>
    <row r="4" spans="1:37" ht="15.75" customHeight="1">
      <c r="A4" s="28" t="s">
        <v>12</v>
      </c>
      <c r="B4" s="28">
        <f ca="1">COUNTIF(AK2:AK47,"Enviado")</f>
        <v>25</v>
      </c>
      <c r="C4" s="29">
        <f ca="1">B4/SUM($B4,$D4,$F4)</f>
        <v>0.6097560975609756</v>
      </c>
      <c r="D4" s="28">
        <f ca="1">COUNTIF(AK2:AK47,"Atrasado")</f>
        <v>11</v>
      </c>
      <c r="E4" s="29">
        <f ca="1">D4/SUM($B4,$D4,$F4)</f>
        <v>0.26829268292682928</v>
      </c>
      <c r="F4" s="28">
        <f ca="1">COUNTIF(AK2:AK47,"Sem Técnico")</f>
        <v>5</v>
      </c>
      <c r="G4" s="29">
        <f ca="1">F4/SUM($B4,$D4,$F4)</f>
        <v>0.12195121951219512</v>
      </c>
      <c r="H4" s="28">
        <f ca="1">COUNTIF(AK2:AK47,"Duplicado")</f>
        <v>3</v>
      </c>
      <c r="I4" s="29">
        <f ca="1">H4/SUM($B4,$D4,$F4,$H4)</f>
        <v>6.8181818181818177E-2</v>
      </c>
      <c r="J4" s="30">
        <f ca="1">SUM(B4,D4,F4,H4)</f>
        <v>44</v>
      </c>
      <c r="AD4" s="31" t="str">
        <f ca="1"/>
        <v>Bela Vista da Caroba</v>
      </c>
      <c r="AE4" s="31" t="str">
        <f ca="1">VLOOKUP(AD4,INDIRECT("'Form 1 - Município'!$B$2:$E$70"),4,FALSE)</f>
        <v>Sem Técnico</v>
      </c>
      <c r="AG4" s="31" t="str">
        <f ca="1"/>
        <v>Bela Vista da Caroba</v>
      </c>
      <c r="AH4" s="31" t="str">
        <f ca="1">VLOOKUP(AG4,INDIRECT("'Form 2 - UVR'!$B$2:$E$70"),4,FALSE)</f>
        <v>Sem Técnico</v>
      </c>
      <c r="AJ4" s="31" t="str">
        <f ca="1"/>
        <v>Bela Vista da Caroba</v>
      </c>
      <c r="AK4" s="31" t="str">
        <f ca="1">VLOOKUP(AJ4,INDIRECT("'Form 3 - Empreendimento'!$B$2:$E$70"),4,FALSE)</f>
        <v>Sem Técnico</v>
      </c>
    </row>
    <row r="5" spans="1:37" ht="15.75" customHeight="1">
      <c r="A5" s="30" t="s">
        <v>6</v>
      </c>
      <c r="B5" s="30">
        <f ca="1">SUM(B2:B4)</f>
        <v>86</v>
      </c>
      <c r="C5" s="29">
        <f ca="1">B5/SUM($B5,$D5,$F5)</f>
        <v>0.66153846153846152</v>
      </c>
      <c r="D5" s="30">
        <f ca="1">SUM(D2:D4)</f>
        <v>29</v>
      </c>
      <c r="E5" s="29">
        <f ca="1">D5/SUM($B5,$D5,$F5)</f>
        <v>0.22307692307692309</v>
      </c>
      <c r="F5" s="30">
        <f ca="1">SUM(F2:F4)</f>
        <v>15</v>
      </c>
      <c r="G5" s="29">
        <f ca="1">F5/SUM($B5,$D5,$F5)</f>
        <v>0.11538461538461539</v>
      </c>
      <c r="H5" s="30">
        <f ca="1">SUM(H2:H4)</f>
        <v>3</v>
      </c>
      <c r="I5" s="29">
        <f ca="1">H5/SUM($B5,$D5,$F5,$H5)</f>
        <v>2.2556390977443608E-2</v>
      </c>
      <c r="J5" s="30">
        <f ca="1">SUM(B5,D5,F5,H5)</f>
        <v>133</v>
      </c>
      <c r="AD5" s="31" t="str">
        <f ca="1"/>
        <v>Cafezal do Sul</v>
      </c>
      <c r="AE5" s="31" t="str">
        <f ca="1">VLOOKUP(AD5,INDIRECT("'Form 1 - Município'!$B$2:$E$70"),4,FALSE)</f>
        <v>Enviado</v>
      </c>
      <c r="AG5" s="31" t="str">
        <f ca="1"/>
        <v>Cafezal do Sul</v>
      </c>
      <c r="AH5" s="31" t="str">
        <f ca="1">VLOOKUP(AG5,INDIRECT("'Form 2 - UVR'!$B$2:$E$70"),4,FALSE)</f>
        <v>Enviado</v>
      </c>
      <c r="AJ5" s="31" t="str">
        <f ca="1"/>
        <v>Cafezal do Sul</v>
      </c>
      <c r="AK5" s="31" t="str">
        <f ca="1">VLOOKUP(AJ5,INDIRECT("'Form 3 - Empreendimento'!$B$2:$E$70"),4,FALSE)</f>
        <v>Enviado</v>
      </c>
    </row>
    <row r="6" spans="1:37">
      <c r="AD6" s="31" t="str">
        <f ca="1"/>
        <v>Cruzeiro do Oeste</v>
      </c>
      <c r="AE6" s="31" t="str">
        <f ca="1">VLOOKUP(AD6,INDIRECT("'Form 1 - Município'!$B$2:$E$70"),4,FALSE)</f>
        <v>Enviado</v>
      </c>
      <c r="AG6" s="31" t="str">
        <f ca="1"/>
        <v>Cruzeiro do Oeste</v>
      </c>
      <c r="AH6" s="31" t="str">
        <f ca="1">VLOOKUP(AG6,INDIRECT("'Form 2 - UVR'!$B$2:$E$70"),4,FALSE)</f>
        <v>Enviado</v>
      </c>
      <c r="AJ6" s="31" t="str">
        <f ca="1"/>
        <v>Cruzeiro do Oeste</v>
      </c>
      <c r="AK6" s="31" t="str">
        <f ca="1">VLOOKUP(AJ6,INDIRECT("'Form 3 - Empreendimento'!$B$2:$E$70"),4,FALSE)</f>
        <v>Enviado</v>
      </c>
    </row>
    <row r="7" spans="1:37">
      <c r="AD7" s="31" t="str">
        <f ca="1"/>
        <v>Diamante do Norte</v>
      </c>
      <c r="AE7" s="31" t="str">
        <f ca="1">VLOOKUP(AD7,INDIRECT("'Form 1 - Município'!$B$2:$E$70"),4,FALSE)</f>
        <v>Enviado</v>
      </c>
      <c r="AG7" s="31" t="str">
        <f ca="1"/>
        <v>Diamante do Norte</v>
      </c>
      <c r="AH7" s="31" t="str">
        <f ca="1">VLOOKUP(AG7,INDIRECT("'Form 2 - UVR'!$B$2:$E$70"),4,FALSE)</f>
        <v>Enviado</v>
      </c>
      <c r="AJ7" s="31" t="str">
        <f ca="1"/>
        <v>Diamante do Norte</v>
      </c>
      <c r="AK7" s="31" t="str">
        <f ca="1">VLOOKUP(AJ7,INDIRECT("'Form 3 - Empreendimento'!$B$2:$E$70"),4,FALSE)</f>
        <v>Duplicado</v>
      </c>
    </row>
    <row r="8" spans="1:37">
      <c r="AD8" s="31" t="str">
        <f ca="1"/>
        <v>Douradina</v>
      </c>
      <c r="AE8" s="31" t="str">
        <f ca="1">VLOOKUP(AD8,INDIRECT("'Form 1 - Município'!$B$2:$E$70"),4,FALSE)</f>
        <v>Enviado</v>
      </c>
      <c r="AG8" s="31" t="str">
        <f ca="1"/>
        <v>Douradina</v>
      </c>
      <c r="AH8" s="31" t="str">
        <f ca="1">VLOOKUP(AG8,INDIRECT("'Form 2 - UVR'!$B$2:$E$70"),4,FALSE)</f>
        <v>Enviado</v>
      </c>
      <c r="AJ8" s="31" t="str">
        <f ca="1"/>
        <v>Douradina</v>
      </c>
      <c r="AK8" s="31" t="str">
        <f ca="1">VLOOKUP(AJ8,INDIRECT("'Form 3 - Empreendimento'!$B$2:$E$70"),4,FALSE)</f>
        <v>Enviado</v>
      </c>
    </row>
    <row r="9" spans="1:37" ht="18.75" customHeight="1">
      <c r="A9" s="1" t="s">
        <v>0</v>
      </c>
      <c r="B9" s="1" t="s">
        <v>13</v>
      </c>
      <c r="C9" s="1" t="s">
        <v>2</v>
      </c>
      <c r="AD9" s="31" t="str">
        <f ca="1"/>
        <v>Esperança Nova</v>
      </c>
      <c r="AE9" s="31" t="str">
        <f ca="1">VLOOKUP(AD9,INDIRECT("'Form 1 - Município'!$B$2:$E$70"),4,FALSE)</f>
        <v>Enviado</v>
      </c>
      <c r="AG9" s="31" t="str">
        <f ca="1"/>
        <v>Esperança Nova</v>
      </c>
      <c r="AH9" s="31" t="str">
        <f ca="1">VLOOKUP(AG9,INDIRECT("'Form 2 - UVR'!$B$2:$E$70"),4,FALSE)</f>
        <v>Atrasado</v>
      </c>
      <c r="AJ9" s="31" t="str">
        <f ca="1"/>
        <v>Esperança Nova</v>
      </c>
      <c r="AK9" s="31" t="str">
        <f ca="1">VLOOKUP(AJ9,INDIRECT("'Form 3 - Empreendimento'!$B$2:$E$70"),4,FALSE)</f>
        <v>Atrasado</v>
      </c>
    </row>
    <row r="10" spans="1:37" ht="15.75" customHeight="1">
      <c r="A10" s="2" t="s">
        <v>10</v>
      </c>
      <c r="B10" s="28">
        <f ca="1">COUNTIF(INDIRECT("'Form 1 - Município'!G2:G100"),"Sim")</f>
        <v>1</v>
      </c>
      <c r="C10" s="32">
        <f ca="1">$B$10/(COUNTA(INDIRECT("'Form 1 - Município'!B2:B70")))</f>
        <v>2.1739130434782608E-2</v>
      </c>
      <c r="AD10" s="31" t="str">
        <f ca="1"/>
        <v>Icaraíma</v>
      </c>
      <c r="AE10" s="31" t="str">
        <f ca="1">VLOOKUP(AD10,INDIRECT("'Form 1 - Município'!$B$2:$E$70"),4,FALSE)</f>
        <v>Enviado</v>
      </c>
      <c r="AG10" s="31" t="str">
        <f ca="1"/>
        <v>Icaraíma</v>
      </c>
      <c r="AH10" s="31" t="str">
        <f ca="1">VLOOKUP(AG10,INDIRECT("'Form 2 - UVR'!$B$2:$E$70"),4,FALSE)</f>
        <v>Atrasado</v>
      </c>
      <c r="AJ10" s="31" t="str">
        <f ca="1"/>
        <v>Icaraíma</v>
      </c>
      <c r="AK10" s="31" t="str">
        <f ca="1">VLOOKUP(AJ10,INDIRECT("'Form 3 - Empreendimento'!$B$2:$E$70"),4,FALSE)</f>
        <v>Enviado</v>
      </c>
    </row>
    <row r="11" spans="1:37" ht="15.75" customHeight="1">
      <c r="A11" s="2" t="s">
        <v>11</v>
      </c>
      <c r="B11" s="28">
        <f ca="1">COUNTIF(INDIRECT("'Form 2 - UVR'!G2:G100"),"Sim")</f>
        <v>0</v>
      </c>
      <c r="C11" s="32">
        <f ca="1">$B$11/(COUNTA(INDIRECT("'Form 2 - UVR'!B2:B70")))</f>
        <v>0</v>
      </c>
      <c r="AD11" s="31" t="str">
        <f ca="1"/>
        <v>Iporã</v>
      </c>
      <c r="AE11" s="31" t="str">
        <f ca="1">VLOOKUP(AD11,INDIRECT("'Form 1 - Município'!$B$2:$E$70"),4,FALSE)</f>
        <v>Enviado</v>
      </c>
      <c r="AG11" s="31" t="str">
        <f ca="1"/>
        <v>Iporã</v>
      </c>
      <c r="AH11" s="31" t="str">
        <f ca="1">VLOOKUP(AG11,INDIRECT("'Form 2 - UVR'!$B$2:$E$70"),4,FALSE)</f>
        <v>Enviado</v>
      </c>
      <c r="AJ11" s="31" t="str">
        <f ca="1"/>
        <v>Iporã</v>
      </c>
      <c r="AK11" s="31" t="str">
        <f ca="1">VLOOKUP(AJ11,INDIRECT("'Form 3 - Empreendimento'!$B$2:$E$70"),4,FALSE)</f>
        <v>Enviado</v>
      </c>
    </row>
    <row r="12" spans="1:37" ht="15.75" customHeight="1">
      <c r="A12" s="2" t="s">
        <v>12</v>
      </c>
      <c r="B12" s="28">
        <f ca="1">COUNTIF(INDIRECT("'Form 3 - Empreendimento'!G2:G100"),"Sim")</f>
        <v>2</v>
      </c>
      <c r="C12" s="32">
        <f ca="1">$B$12/(COUNTA(INDIRECT("'Form 3 - Empreendimento'!B2:B70")))</f>
        <v>4.3478260869565216E-2</v>
      </c>
      <c r="AD12" s="31" t="str">
        <f ca="1"/>
        <v>Ivaté</v>
      </c>
      <c r="AE12" s="31" t="str">
        <f ca="1">VLOOKUP(AD12,INDIRECT("'Form 1 - Município'!$B$2:$E$70"),4,FALSE)</f>
        <v>Enviado</v>
      </c>
      <c r="AG12" s="31" t="str">
        <f ca="1"/>
        <v>Ivaté</v>
      </c>
      <c r="AH12" s="31" t="str">
        <f ca="1">VLOOKUP(AG12,INDIRECT("'Form 2 - UVR'!$B$2:$E$70"),4,FALSE)</f>
        <v>Enviado</v>
      </c>
      <c r="AJ12" s="31" t="str">
        <f ca="1"/>
        <v>Ivaté</v>
      </c>
      <c r="AK12" s="31" t="str">
        <f ca="1">VLOOKUP(AJ12,INDIRECT("'Form 3 - Empreendimento'!$B$2:$E$70"),4,FALSE)</f>
        <v>Enviado</v>
      </c>
    </row>
    <row r="13" spans="1:37">
      <c r="AD13" s="31" t="str">
        <f ca="1"/>
        <v>Itauna do Sul</v>
      </c>
      <c r="AE13" s="31" t="str">
        <f ca="1">VLOOKUP(AD13,INDIRECT("'Form 1 - Município'!$B$2:$E$70"),4,FALSE)</f>
        <v>Atrasado</v>
      </c>
      <c r="AG13" s="31" t="str">
        <f ca="1"/>
        <v>Itauna do Sul</v>
      </c>
      <c r="AH13" s="31" t="str">
        <f ca="1">VLOOKUP(AG13,INDIRECT("'Form 2 - UVR'!$B$2:$E$70"),4,FALSE)</f>
        <v>Atrasado</v>
      </c>
      <c r="AJ13" s="31" t="str">
        <f ca="1"/>
        <v>Itauna do Sul</v>
      </c>
      <c r="AK13" s="31" t="str">
        <f ca="1">VLOOKUP(AJ13,INDIRECT("'Form 3 - Empreendimento'!$B$2:$E$70"),4,FALSE)</f>
        <v>Atrasado</v>
      </c>
    </row>
    <row r="14" spans="1:37">
      <c r="AD14" s="31" t="str">
        <f ca="1"/>
        <v>Loanda</v>
      </c>
      <c r="AE14" s="31" t="str">
        <f ca="1">VLOOKUP(AD14,INDIRECT("'Form 1 - Município'!$B$2:$E$70"),4,FALSE)</f>
        <v>Enviado</v>
      </c>
      <c r="AG14" s="31" t="str">
        <f ca="1"/>
        <v>Loanda</v>
      </c>
      <c r="AH14" s="31" t="str">
        <f ca="1">VLOOKUP(AG14,INDIRECT("'Form 2 - UVR'!$B$2:$E$70"),4,FALSE)</f>
        <v>Enviado</v>
      </c>
      <c r="AJ14" s="31" t="str">
        <f ca="1"/>
        <v>Loanda</v>
      </c>
      <c r="AK14" s="31" t="str">
        <f ca="1">VLOOKUP(AJ14,INDIRECT("'Form 3 - Empreendimento'!$B$2:$E$70"),4,FALSE)</f>
        <v>Enviado</v>
      </c>
    </row>
    <row r="15" spans="1:37" ht="15.75" customHeight="1">
      <c r="A15" s="33" t="s">
        <v>14</v>
      </c>
      <c r="B15" s="34" t="s">
        <v>15</v>
      </c>
      <c r="C15" s="27"/>
      <c r="D15" s="34" t="s">
        <v>16</v>
      </c>
      <c r="E15" s="27"/>
      <c r="F15" s="34" t="s">
        <v>17</v>
      </c>
      <c r="G15" s="27"/>
      <c r="AD15" s="31" t="str">
        <f ca="1"/>
        <v>Maria Helena</v>
      </c>
      <c r="AE15" s="31" t="str">
        <f ca="1">VLOOKUP(AD15,INDIRECT("'Form 1 - Município'!$B$2:$E$70"),4,FALSE)</f>
        <v>Enviado</v>
      </c>
      <c r="AG15" s="31" t="str">
        <f ca="1"/>
        <v>Maria Helena</v>
      </c>
      <c r="AH15" s="31" t="str">
        <f ca="1">VLOOKUP(AG15,INDIRECT("'Form 2 - UVR'!$B$2:$E$70"),4,FALSE)</f>
        <v>Enviado</v>
      </c>
      <c r="AJ15" s="31" t="str">
        <f ca="1"/>
        <v>Maria Helena</v>
      </c>
      <c r="AK15" s="31" t="str">
        <f ca="1">VLOOKUP(AJ15,INDIRECT("'Form 3 - Empreendimento'!$B$2:$E$70"),4,FALSE)</f>
        <v>Enviado</v>
      </c>
    </row>
    <row r="16" spans="1:37" ht="15.75" customHeight="1">
      <c r="A16" s="35"/>
      <c r="B16" s="3" t="s">
        <v>13</v>
      </c>
      <c r="C16" s="3" t="s">
        <v>2</v>
      </c>
      <c r="D16" s="3" t="s">
        <v>13</v>
      </c>
      <c r="E16" s="3" t="s">
        <v>2</v>
      </c>
      <c r="F16" s="3" t="s">
        <v>13</v>
      </c>
      <c r="G16" s="3" t="s">
        <v>2</v>
      </c>
      <c r="AD16" s="31" t="str">
        <f ca="1"/>
        <v>Marilena</v>
      </c>
      <c r="AE16" s="31" t="str">
        <f ca="1">VLOOKUP(AD16,INDIRECT("'Form 1 - Município'!$B$2:$E$70"),4,FALSE)</f>
        <v>Enviado</v>
      </c>
      <c r="AG16" s="31" t="str">
        <f ca="1"/>
        <v>Marilena</v>
      </c>
      <c r="AH16" s="31" t="str">
        <f ca="1">VLOOKUP(AG16,INDIRECT("'Form 2 - UVR'!$B$2:$E$70"),4,FALSE)</f>
        <v>Atrasado</v>
      </c>
      <c r="AJ16" s="31" t="str">
        <f ca="1"/>
        <v>Marilena</v>
      </c>
      <c r="AK16" s="31" t="str">
        <f ca="1">VLOOKUP(AJ16,INDIRECT("'Form 3 - Empreendimento'!$B$2:$E$70"),4,FALSE)</f>
        <v>Atrasado</v>
      </c>
    </row>
    <row r="17" spans="1:37">
      <c r="A17" s="4" t="s">
        <v>18</v>
      </c>
      <c r="B17" s="31">
        <f t="array" aca="1" ref="B17" ca="1">IFERROR(ROWS(_xlfn._xlws.FILTER(INDIRECT("'"&amp;B$15&amp;"'!A2:K100"),(INDIRECT("'"&amp;B$15&amp;"'!A2:A100")=$A17) * (INDIRECT("'"&amp;B$15&amp;"'!G2:G100")="Sim"))), 0)</f>
        <v>0</v>
      </c>
      <c r="C17" s="32">
        <f ca="1">B17/(COUNTA(INDIRECT("'Form 1 - Município'!B2:B70")))</f>
        <v>0</v>
      </c>
      <c r="D17" s="31">
        <f t="array" aca="1" ref="D17" ca="1">IFERROR(ROWS(_xlfn._xlws.FILTER(INDIRECT("'"&amp;D$15&amp;"'!A2:K100"),(INDIRECT("'"&amp;D$15&amp;"'!A2:A100")=$A17) * (INDIRECT("'"&amp;D$15&amp;"'!G2:G100")="Sim"))), 0)</f>
        <v>0</v>
      </c>
      <c r="E17" s="32">
        <f ca="1">D17/(COUNTA(INDIRECT("'Form 2 - UVR'!B2:B70")))</f>
        <v>0</v>
      </c>
      <c r="F17" s="31">
        <f t="array" aca="1" ref="F17" ca="1">IFERROR(ROWS(_xlfn._xlws.FILTER(INDIRECT("'"&amp;F$15&amp;"'!A2:K100"),(INDIRECT("'"&amp;F$15&amp;"'!A2:A100")=$A17) * (INDIRECT("'"&amp;F$15&amp;"'!G2:G100")="Sim"))), 0)</f>
        <v>0</v>
      </c>
      <c r="G17" s="32">
        <f ca="1">F17/B4</f>
        <v>0</v>
      </c>
      <c r="AD17" s="31" t="str">
        <f ca="1"/>
        <v>Mariluz</v>
      </c>
      <c r="AE17" s="31" t="str">
        <f ca="1">VLOOKUP(AD17,INDIRECT("'Form 1 - Município'!$B$2:$E$70"),4,FALSE)</f>
        <v>Enviado</v>
      </c>
      <c r="AG17" s="31" t="str">
        <f ca="1"/>
        <v>Mariluz</v>
      </c>
      <c r="AH17" s="31" t="str">
        <f ca="1">VLOOKUP(AG17,INDIRECT("'Form 2 - UVR'!$B$2:$E$70"),4,FALSE)</f>
        <v>Enviado</v>
      </c>
      <c r="AJ17" s="31" t="str">
        <f ca="1"/>
        <v>Mariluz</v>
      </c>
      <c r="AK17" s="31" t="str">
        <f ca="1">VLOOKUP(AJ17,INDIRECT("'Form 3 - Empreendimento'!$B$2:$E$70"),4,FALSE)</f>
        <v>Enviado</v>
      </c>
    </row>
    <row r="18" spans="1:37">
      <c r="A18" s="5" t="s">
        <v>19</v>
      </c>
      <c r="B18" s="31">
        <f t="array" aca="1" ref="B18" ca="1">IFERROR(ROWS(_xlfn._xlws.FILTER(INDIRECT("'"&amp;B$15&amp;"'!A2:K100"),(INDIRECT("'"&amp;B$15&amp;"'!A2:A100")=$A18) * (INDIRECT("'"&amp;B$15&amp;"'!G2:G100")="Sim"))), 0)</f>
        <v>0</v>
      </c>
      <c r="C18" s="32">
        <f ca="1">B18/(COUNTA(INDIRECT("'Form 1 - Município'!B2:B70")))</f>
        <v>0</v>
      </c>
      <c r="D18" s="31">
        <f t="array" aca="1" ref="D18" ca="1">IFERROR(ROWS(_xlfn._xlws.FILTER(INDIRECT("'"&amp;D$15&amp;"'!A2:K100"),(INDIRECT("'"&amp;D$15&amp;"'!A2:A100")=$A18) * (INDIRECT("'"&amp;D$15&amp;"'!G2:G100")="Sim"))), 0)</f>
        <v>0</v>
      </c>
      <c r="E18" s="32">
        <f ca="1">D18/(COUNTA(INDIRECT("'Form 2 - UVR'!B2:B70")))</f>
        <v>0</v>
      </c>
      <c r="F18" s="31">
        <f t="array" aca="1" ref="F18" ca="1">IFERROR(ROWS(_xlfn._xlws.FILTER(INDIRECT("'"&amp;F$15&amp;"'!A2:K100"),(INDIRECT("'"&amp;F$15&amp;"'!A2:A100")=$A18) * (INDIRECT("'"&amp;F$15&amp;"'!G2:G100")="Sim"))), 0)</f>
        <v>0</v>
      </c>
      <c r="G18" s="32">
        <f ca="1">F18/B5</f>
        <v>0</v>
      </c>
      <c r="AD18" s="31" t="str">
        <f ca="1"/>
        <v>Nova Londrina</v>
      </c>
      <c r="AE18" s="31" t="str">
        <f ca="1">VLOOKUP(AD18,INDIRECT("'Form 1 - Município'!$B$2:$E$70"),4,FALSE)</f>
        <v>Enviado</v>
      </c>
      <c r="AG18" s="31" t="str">
        <f ca="1"/>
        <v>Nova Londrina</v>
      </c>
      <c r="AH18" s="31" t="str">
        <f ca="1">VLOOKUP(AG18,INDIRECT("'Form 2 - UVR'!$B$2:$E$70"),4,FALSE)</f>
        <v>Enviado</v>
      </c>
      <c r="AJ18" s="31" t="str">
        <f ca="1"/>
        <v>Nova Londrina</v>
      </c>
      <c r="AK18" s="31" t="str">
        <f ca="1">VLOOKUP(AJ18,INDIRECT("'Form 3 - Empreendimento'!$B$2:$E$70"),4,FALSE)</f>
        <v>Duplicado</v>
      </c>
    </row>
    <row r="19" spans="1:37">
      <c r="A19" s="36" t="s">
        <v>20</v>
      </c>
      <c r="B19" s="31">
        <f t="array" aca="1" ref="B19" ca="1">IFERROR(ROWS(_xlfn._xlws.FILTER(INDIRECT("'"&amp;B$15&amp;"'!A2:K100"),(INDIRECT("'"&amp;B$15&amp;"'!A2:A100")=$A19) * (INDIRECT("'"&amp;B$15&amp;"'!G2:G100")="Sim"))), 0)</f>
        <v>1</v>
      </c>
      <c r="C19" s="32">
        <f ca="1">B19/(COUNTA(INDIRECT("'Form 1 - Município'!B2:B70")))</f>
        <v>2.1739130434782608E-2</v>
      </c>
      <c r="D19" s="31">
        <f t="array" aca="1" ref="D19" ca="1">IFERROR(ROWS(_xlfn._xlws.FILTER(INDIRECT("'"&amp;D$15&amp;"'!A2:K100"),(INDIRECT("'"&amp;D$15&amp;"'!A2:A100")=$A19) * (INDIRECT("'"&amp;D$15&amp;"'!G2:G100")="Sim"))), 0)</f>
        <v>0</v>
      </c>
      <c r="E19" s="32">
        <f ca="1">D19/(COUNTA(INDIRECT("'Form 2 - UVR'!B2:B70")))</f>
        <v>0</v>
      </c>
      <c r="F19" s="31">
        <f t="array" aca="1" ref="F19" ca="1">IFERROR(ROWS(_xlfn._xlws.FILTER(INDIRECT("'"&amp;F$15&amp;"'!A2:K100"),(INDIRECT("'"&amp;F$15&amp;"'!A2:A100")=$A19) * (INDIRECT("'"&amp;F$15&amp;"'!G2:G100")="Sim"))), 0)</f>
        <v>2</v>
      </c>
      <c r="G19" s="32">
        <f ca="1">F19/B5</f>
        <v>2.3255813953488372E-2</v>
      </c>
      <c r="AD19" s="31" t="str">
        <f ca="1"/>
        <v>Nova Olimpia</v>
      </c>
      <c r="AE19" s="31" t="str">
        <f ca="1">VLOOKUP(AD19,INDIRECT("'Form 1 - Município'!$B$2:$E$70"),4,FALSE)</f>
        <v>Enviado</v>
      </c>
      <c r="AG19" s="31" t="str">
        <f ca="1"/>
        <v>Nova Olimpia</v>
      </c>
      <c r="AH19" s="31" t="str">
        <f ca="1">VLOOKUP(AG19,INDIRECT("'Form 2 - UVR'!$B$2:$E$70"),4,FALSE)</f>
        <v>Enviado</v>
      </c>
      <c r="AJ19" s="31" t="str">
        <f ca="1"/>
        <v>Nova Olimpia</v>
      </c>
      <c r="AK19" s="31" t="str">
        <f ca="1">VLOOKUP(AJ19,INDIRECT("'Form 3 - Empreendimento'!$B$2:$E$70"),4,FALSE)</f>
        <v>Enviado</v>
      </c>
    </row>
    <row r="20" spans="1:37">
      <c r="A20" s="37" t="s">
        <v>21</v>
      </c>
      <c r="B20" s="31">
        <f t="array" aca="1" ref="B20" ca="1">IFERROR(ROWS(_xlfn._xlws.FILTER(INDIRECT("'"&amp;B$15&amp;"'!A2:K100"),(INDIRECT("'"&amp;B$15&amp;"'!A2:A100")=$A20) * (INDIRECT("'"&amp;B$15&amp;"'!G2:G100")="Sim"))), 0)</f>
        <v>0</v>
      </c>
      <c r="C20" s="32">
        <f ca="1">B20/(COUNTA(INDIRECT("'Form 1 - Município'!B2:B70")))</f>
        <v>0</v>
      </c>
      <c r="D20" s="31">
        <f t="array" aca="1" ref="D20" ca="1">IFERROR(ROWS(_xlfn._xlws.FILTER(INDIRECT("'"&amp;D$15&amp;"'!A2:K100"),(INDIRECT("'"&amp;D$15&amp;"'!A2:A100")=$A20) * (INDIRECT("'"&amp;D$15&amp;"'!G2:G100")="Sim"))), 0)</f>
        <v>0</v>
      </c>
      <c r="E20" s="32">
        <f ca="1">D20/(COUNTA(INDIRECT("'Form 2 - UVR'!B2:B70")))</f>
        <v>0</v>
      </c>
      <c r="F20" s="31">
        <f t="array" aca="1" ref="F20" ca="1">IFERROR(ROWS(_xlfn._xlws.FILTER(INDIRECT("'"&amp;F$15&amp;"'!A2:K100"),(INDIRECT("'"&amp;F$15&amp;"'!A2:A100")=$A20) * (INDIRECT("'"&amp;F$15&amp;"'!G2:G100")="Sim"))), 0)</f>
        <v>0</v>
      </c>
      <c r="G20" s="32">
        <f ca="1">F20/B5</f>
        <v>0</v>
      </c>
      <c r="AD20" s="31" t="str">
        <f ca="1"/>
        <v>Perobal</v>
      </c>
      <c r="AE20" s="31" t="str">
        <f ca="1">VLOOKUP(AD20,INDIRECT("'Form 1 - Município'!$B$2:$E$70"),4,FALSE)</f>
        <v>Enviado</v>
      </c>
      <c r="AG20" s="31" t="str">
        <f ca="1"/>
        <v>Perobal</v>
      </c>
      <c r="AH20" s="31" t="str">
        <f ca="1">VLOOKUP(AG20,INDIRECT("'Form 2 - UVR'!$B$2:$E$70"),4,FALSE)</f>
        <v>Outras Ocorrências</v>
      </c>
      <c r="AJ20" s="31" t="str">
        <f ca="1"/>
        <v>Perobal</v>
      </c>
      <c r="AK20" s="31" t="str">
        <f ca="1">VLOOKUP(AJ20,INDIRECT("'Form 3 - Empreendimento'!$B$2:$E$70"),4,FALSE)</f>
        <v>Outras Ocorrências</v>
      </c>
    </row>
    <row r="21" spans="1:37">
      <c r="A21" s="38" t="s">
        <v>22</v>
      </c>
      <c r="B21" s="31">
        <f t="array" aca="1" ref="B21" ca="1">IFERROR(ROWS(_xlfn._xlws.FILTER(INDIRECT("'"&amp;B$15&amp;"'!A2:K100"),(INDIRECT("'"&amp;B$15&amp;"'!A2:A100")=$A21) * (INDIRECT("'"&amp;B$15&amp;"'!G2:G100")="Sim"))), 0)</f>
        <v>0</v>
      </c>
      <c r="C21" s="32">
        <f ca="1">B21/(COUNTA(INDIRECT("'Form 1 - Município'!B2:B70")))</f>
        <v>0</v>
      </c>
      <c r="D21" s="31">
        <f t="array" aca="1" ref="D21" ca="1">IFERROR(ROWS(_xlfn._xlws.FILTER(INDIRECT("'"&amp;D$15&amp;"'!A2:K100"),(INDIRECT("'"&amp;D$15&amp;"'!A2:A100")=$A21) * (INDIRECT("'"&amp;D$15&amp;"'!G2:G100")="Sim"))), 0)</f>
        <v>0</v>
      </c>
      <c r="E21" s="32">
        <f ca="1">D21/(COUNTA(INDIRECT("'Form 2 - UVR'!B2:B70")))</f>
        <v>0</v>
      </c>
      <c r="F21" s="31">
        <f t="array" aca="1" ref="F21" ca="1">IFERROR(ROWS(_xlfn._xlws.FILTER(INDIRECT("'"&amp;F$15&amp;"'!A2:K100"),(INDIRECT("'"&amp;F$15&amp;"'!A2:A100")=$A21) * (INDIRECT("'"&amp;F$15&amp;"'!G2:G100")="Sim"))), 0)</f>
        <v>0</v>
      </c>
      <c r="G21" s="32">
        <f ca="1">F21/B5</f>
        <v>0</v>
      </c>
      <c r="AD21" s="31" t="str">
        <f ca="1"/>
        <v>Pérola</v>
      </c>
      <c r="AE21" s="31" t="str">
        <f ca="1">VLOOKUP(AD21,INDIRECT("'Form 1 - Município'!$B$2:$E$70"),4,FALSE)</f>
        <v>Enviado</v>
      </c>
      <c r="AG21" s="31" t="str">
        <f ca="1"/>
        <v>Pérola</v>
      </c>
      <c r="AH21" s="31" t="str">
        <f ca="1">VLOOKUP(AG21,INDIRECT("'Form 2 - UVR'!$B$2:$E$70"),4,FALSE)</f>
        <v>Enviado</v>
      </c>
      <c r="AJ21" s="31" t="str">
        <f ca="1"/>
        <v>Pérola</v>
      </c>
      <c r="AK21" s="31" t="str">
        <f ca="1">VLOOKUP(AJ21,INDIRECT("'Form 3 - Empreendimento'!$B$2:$E$70"),4,FALSE)</f>
        <v>Enviado</v>
      </c>
    </row>
    <row r="22" spans="1:37">
      <c r="A22" s="6" t="s">
        <v>6</v>
      </c>
      <c r="B22" s="39">
        <f ca="1">SUM(B17:B21)</f>
        <v>1</v>
      </c>
      <c r="C22" s="40">
        <f ca="1">SUM(C17:C21)</f>
        <v>2.1739130434782608E-2</v>
      </c>
      <c r="D22" s="39">
        <f ca="1">SUM(D17:D21)</f>
        <v>0</v>
      </c>
      <c r="E22" s="40">
        <f ca="1">SUM(E17:E21)</f>
        <v>0</v>
      </c>
      <c r="F22" s="39">
        <f ca="1">SUM(F17:F21)</f>
        <v>2</v>
      </c>
      <c r="G22" s="40">
        <f ca="1">SUM(G17:G21)</f>
        <v>2.3255813953488372E-2</v>
      </c>
      <c r="AD22" s="31" t="str">
        <f ca="1"/>
        <v>Perola d'Oeste</v>
      </c>
      <c r="AE22" s="31" t="str">
        <f ca="1">VLOOKUP(AD22,INDIRECT("'Form 1 - Município'!$B$2:$E$70"),4,FALSE)</f>
        <v>Sem Técnico</v>
      </c>
      <c r="AG22" s="31" t="str">
        <f ca="1"/>
        <v>Perola d'Oeste</v>
      </c>
      <c r="AH22" s="31" t="str">
        <f ca="1">VLOOKUP(AG22,INDIRECT("'Form 2 - UVR'!$B$2:$E$70"),4,FALSE)</f>
        <v>Sem Técnico</v>
      </c>
      <c r="AJ22" s="31" t="str">
        <f ca="1"/>
        <v>Perola d'Oeste</v>
      </c>
      <c r="AK22" s="31" t="str">
        <f ca="1">VLOOKUP(AJ22,INDIRECT("'Form 3 - Empreendimento'!$B$2:$E$70"),4,FALSE)</f>
        <v>Sem Técnico</v>
      </c>
    </row>
    <row r="23" spans="1:37">
      <c r="AD23" s="31" t="str">
        <f ca="1"/>
        <v>Planaltina do Paraná</v>
      </c>
      <c r="AE23" s="31" t="str">
        <f ca="1">VLOOKUP(AD23,INDIRECT("'Form 1 - Município'!$B$2:$E$70"),4,FALSE)</f>
        <v>Atrasado</v>
      </c>
      <c r="AG23" s="31" t="str">
        <f ca="1"/>
        <v>Planaltina do Paraná</v>
      </c>
      <c r="AH23" s="31" t="str">
        <f ca="1">VLOOKUP(AG23,INDIRECT("'Form 2 - UVR'!$B$2:$E$70"),4,FALSE)</f>
        <v>Atrasado</v>
      </c>
      <c r="AJ23" s="31" t="str">
        <f ca="1"/>
        <v>Planaltina do Paraná</v>
      </c>
      <c r="AK23" s="31" t="str">
        <f ca="1">VLOOKUP(AJ23,INDIRECT("'Form 3 - Empreendimento'!$B$2:$E$70"),4,FALSE)</f>
        <v>Atrasado</v>
      </c>
    </row>
    <row r="24" spans="1:37">
      <c r="AD24" s="31" t="str">
        <f ca="1"/>
        <v>Planalto</v>
      </c>
      <c r="AE24" s="31" t="str">
        <f ca="1">VLOOKUP(AD24,INDIRECT("'Form 1 - Município'!$B$2:$E$70"),4,FALSE)</f>
        <v>Sem Técnico</v>
      </c>
      <c r="AG24" s="31" t="str">
        <f ca="1"/>
        <v>Planalto</v>
      </c>
      <c r="AH24" s="31" t="str">
        <f ca="1">VLOOKUP(AG24,INDIRECT("'Form 2 - UVR'!$B$2:$E$70"),4,FALSE)</f>
        <v>Sem Técnico</v>
      </c>
      <c r="AJ24" s="31" t="str">
        <f ca="1"/>
        <v>Planalto</v>
      </c>
      <c r="AK24" s="31" t="str">
        <f ca="1">VLOOKUP(AJ24,INDIRECT("'Form 3 - Empreendimento'!$B$2:$E$70"),4,FALSE)</f>
        <v>Sem Técnico</v>
      </c>
    </row>
    <row r="25" spans="1:37">
      <c r="AD25" s="31" t="str">
        <f ca="1"/>
        <v>Porto Rico</v>
      </c>
      <c r="AE25" s="31" t="str">
        <f ca="1">VLOOKUP(AD25,INDIRECT("'Form 1 - Município'!$B$2:$E$70"),4,FALSE)</f>
        <v>Enviado</v>
      </c>
      <c r="AG25" s="31" t="str">
        <f ca="1"/>
        <v>Porto Rico</v>
      </c>
      <c r="AH25" s="31" t="str">
        <f ca="1">VLOOKUP(AG25,INDIRECT("'Form 2 - UVR'!$B$2:$E$70"),4,FALSE)</f>
        <v>Atrasado</v>
      </c>
      <c r="AJ25" s="31" t="str">
        <f ca="1"/>
        <v>Porto Rico</v>
      </c>
      <c r="AK25" s="31" t="str">
        <f ca="1">VLOOKUP(AJ25,INDIRECT("'Form 3 - Empreendimento'!$B$2:$E$70"),4,FALSE)</f>
        <v>Enviado</v>
      </c>
    </row>
    <row r="26" spans="1:37">
      <c r="AD26" s="31" t="str">
        <f ca="1"/>
        <v>Querencia do Norte</v>
      </c>
      <c r="AE26" s="31" t="str">
        <f ca="1">VLOOKUP(AD26,INDIRECT("'Form 1 - Município'!$B$2:$E$70"),4,FALSE)</f>
        <v>Atrasado</v>
      </c>
      <c r="AG26" s="31" t="str">
        <f ca="1"/>
        <v>Querencia do Norte</v>
      </c>
      <c r="AH26" s="31" t="str">
        <f ca="1">VLOOKUP(AG26,INDIRECT("'Form 2 - UVR'!$B$2:$E$70"),4,FALSE)</f>
        <v>Atrasado</v>
      </c>
      <c r="AJ26" s="31" t="str">
        <f ca="1"/>
        <v>Querencia do Norte</v>
      </c>
      <c r="AK26" s="31" t="str">
        <f ca="1">VLOOKUP(AJ26,INDIRECT("'Form 3 - Empreendimento'!$B$2:$E$70"),4,FALSE)</f>
        <v>Atrasado</v>
      </c>
    </row>
    <row r="27" spans="1:37">
      <c r="AD27" s="31" t="str">
        <f ca="1"/>
        <v>Santa Cruz de Monte Castelo</v>
      </c>
      <c r="AE27" s="31" t="str">
        <f ca="1">VLOOKUP(AD27,INDIRECT("'Form 1 - Município'!$B$2:$E$70"),4,FALSE)</f>
        <v>Enviado</v>
      </c>
      <c r="AG27" s="31" t="str">
        <f ca="1"/>
        <v>Santa Cruz de Monte Castelo</v>
      </c>
      <c r="AH27" s="31" t="str">
        <f ca="1">VLOOKUP(AG27,INDIRECT("'Form 2 - UVR'!$B$2:$E$70"),4,FALSE)</f>
        <v>Enviado</v>
      </c>
      <c r="AJ27" s="31" t="str">
        <f ca="1"/>
        <v>Santa Cruz de Monte Castelo</v>
      </c>
      <c r="AK27" s="31" t="str">
        <f ca="1">VLOOKUP(AJ27,INDIRECT("'Form 3 - Empreendimento'!$B$2:$E$70"),4,FALSE)</f>
        <v>Enviado</v>
      </c>
    </row>
    <row r="28" spans="1:37">
      <c r="AD28" s="31" t="str">
        <f ca="1"/>
        <v>Santa Isabel do Ivai</v>
      </c>
      <c r="AE28" s="31" t="str">
        <f ca="1">VLOOKUP(AD28,INDIRECT("'Form 1 - Município'!$B$2:$E$70"),4,FALSE)</f>
        <v>Enviado</v>
      </c>
      <c r="AG28" s="31" t="str">
        <f ca="1"/>
        <v>Santa Isabel do Ivai</v>
      </c>
      <c r="AH28" s="31" t="str">
        <f ca="1">VLOOKUP(AG28,INDIRECT("'Form 2 - UVR'!$B$2:$E$70"),4,FALSE)</f>
        <v>Enviado</v>
      </c>
      <c r="AJ28" s="31" t="str">
        <f ca="1"/>
        <v>Santa Isabel do Ivai</v>
      </c>
      <c r="AK28" s="31" t="str">
        <f ca="1">VLOOKUP(AJ28,INDIRECT("'Form 3 - Empreendimento'!$B$2:$E$70"),4,FALSE)</f>
        <v>Enviado</v>
      </c>
    </row>
    <row r="29" spans="1:37">
      <c r="AD29" s="31" t="str">
        <f ca="1"/>
        <v>Santo Antonio do Sudoeste</v>
      </c>
      <c r="AE29" s="31" t="str">
        <f ca="1">VLOOKUP(AD29,INDIRECT("'Form 1 - Município'!$B$2:$E$70"),4,FALSE)</f>
        <v>Sem Técnico</v>
      </c>
      <c r="AG29" s="31" t="str">
        <f ca="1"/>
        <v>Santo Antonio do Sudoeste</v>
      </c>
      <c r="AH29" s="31" t="str">
        <f ca="1">VLOOKUP(AG29,INDIRECT("'Form 2 - UVR'!$B$2:$E$70"),4,FALSE)</f>
        <v>Sem Técnico</v>
      </c>
      <c r="AJ29" s="31" t="str">
        <f ca="1"/>
        <v>Santo Antonio do Sudoeste</v>
      </c>
      <c r="AK29" s="31" t="str">
        <f ca="1">VLOOKUP(AJ29,INDIRECT("'Form 3 - Empreendimento'!$B$2:$E$70"),4,FALSE)</f>
        <v>Sem Técnico</v>
      </c>
    </row>
    <row r="30" spans="1:37">
      <c r="AD30" s="31" t="str">
        <f ca="1"/>
        <v>São Jorge do Patrocinio</v>
      </c>
      <c r="AE30" s="31" t="str">
        <f ca="1">VLOOKUP(AD30,INDIRECT("'Form 1 - Município'!$B$2:$E$70"),4,FALSE)</f>
        <v>Enviado</v>
      </c>
      <c r="AG30" s="31" t="str">
        <f ca="1"/>
        <v>São Jorge do Patrocinio</v>
      </c>
      <c r="AH30" s="31" t="str">
        <f ca="1">VLOOKUP(AG30,INDIRECT("'Form 2 - UVR'!$B$2:$E$70"),4,FALSE)</f>
        <v>Atrasado</v>
      </c>
      <c r="AJ30" s="31" t="str">
        <f ca="1"/>
        <v>São Jorge do Patrocinio</v>
      </c>
      <c r="AK30" s="31" t="str">
        <f ca="1">VLOOKUP(AJ30,INDIRECT("'Form 3 - Empreendimento'!$B$2:$E$70"),4,FALSE)</f>
        <v>Atrasado</v>
      </c>
    </row>
    <row r="31" spans="1:37">
      <c r="AD31" s="31" t="str">
        <f ca="1"/>
        <v>São Pedro do Paraná</v>
      </c>
      <c r="AE31" s="31" t="str">
        <f ca="1">VLOOKUP(AD31,INDIRECT("'Form 1 - Município'!$B$2:$E$70"),4,FALSE)</f>
        <v>Atrasado</v>
      </c>
      <c r="AG31" s="31" t="str">
        <f ca="1"/>
        <v>São Pedro do Paraná</v>
      </c>
      <c r="AH31" s="31" t="str">
        <f ca="1">VLOOKUP(AG31,INDIRECT("'Form 2 - UVR'!$B$2:$E$70"),4,FALSE)</f>
        <v>Atrasado</v>
      </c>
      <c r="AJ31" s="31" t="str">
        <f ca="1"/>
        <v>São Pedro do Paraná</v>
      </c>
      <c r="AK31" s="31" t="str">
        <f ca="1">VLOOKUP(AJ31,INDIRECT("'Form 3 - Empreendimento'!$B$2:$E$70"),4,FALSE)</f>
        <v>Atrasado</v>
      </c>
    </row>
    <row r="32" spans="1:37">
      <c r="AD32" s="31" t="str">
        <f ca="1"/>
        <v>Tapira</v>
      </c>
      <c r="AE32" s="31" t="str">
        <f ca="1">VLOOKUP(AD32,INDIRECT("'Form 1 - Município'!$B$2:$E$70"),4,FALSE)</f>
        <v>Enviado</v>
      </c>
      <c r="AG32" s="31" t="str">
        <f ca="1"/>
        <v>Tapira</v>
      </c>
      <c r="AH32" s="31" t="str">
        <f ca="1">VLOOKUP(AG32,INDIRECT("'Form 2 - UVR'!$B$2:$E$70"),4,FALSE)</f>
        <v>Enviado</v>
      </c>
      <c r="AJ32" s="31" t="str">
        <f ca="1"/>
        <v>Tapira</v>
      </c>
      <c r="AK32" s="31" t="str">
        <f ca="1">VLOOKUP(AJ32,INDIRECT("'Form 3 - Empreendimento'!$B$2:$E$70"),4,FALSE)</f>
        <v>Enviado</v>
      </c>
    </row>
    <row r="33" spans="30:37">
      <c r="AD33" s="31" t="str">
        <f ca="1"/>
        <v>Umuarama</v>
      </c>
      <c r="AE33" s="31" t="str">
        <f ca="1">VLOOKUP(AD33,INDIRECT("'Form 1 - Município'!$B$2:$E$70"),4,FALSE)</f>
        <v>Enviado</v>
      </c>
      <c r="AG33" s="31" t="str">
        <f ca="1"/>
        <v>Umuarama</v>
      </c>
      <c r="AH33" s="31" t="str">
        <f ca="1">VLOOKUP(AG33,INDIRECT("'Form 2 - UVR'!$B$2:$E$70"),4,FALSE)</f>
        <v>Enviado</v>
      </c>
      <c r="AJ33" s="31" t="str">
        <f ca="1"/>
        <v>Umuarama</v>
      </c>
      <c r="AK33" s="31" t="str">
        <f ca="1">VLOOKUP(AJ33,INDIRECT("'Form 3 - Empreendimento'!$B$2:$E$70"),4,FALSE)</f>
        <v>Enviado</v>
      </c>
    </row>
    <row r="34" spans="30:37">
      <c r="AD34" s="31" t="str">
        <f ca="1"/>
        <v>Xambre</v>
      </c>
      <c r="AE34" s="31" t="str">
        <f ca="1">VLOOKUP(AD34,INDIRECT("'Form 1 - Município'!$B$2:$E$70"),4,FALSE)</f>
        <v>Enviado</v>
      </c>
      <c r="AG34" s="31" t="str">
        <f ca="1"/>
        <v>Xambre</v>
      </c>
      <c r="AH34" s="31" t="str">
        <f ca="1">VLOOKUP(AG34,INDIRECT("'Form 2 - UVR'!$B$2:$E$70"),4,FALSE)</f>
        <v>Enviado</v>
      </c>
      <c r="AJ34" s="31" t="str">
        <f ca="1"/>
        <v>Xambre</v>
      </c>
      <c r="AK34" s="31" t="str">
        <f ca="1">VLOOKUP(AJ34,INDIRECT("'Form 3 - Empreendimento'!$B$2:$E$70"),4,FALSE)</f>
        <v>Enviado</v>
      </c>
    </row>
    <row r="35" spans="30:37">
      <c r="AD35" s="31" t="str">
        <f ca="1"/>
        <v>Amambai</v>
      </c>
      <c r="AE35" s="31" t="str">
        <f ca="1">VLOOKUP(AD35,INDIRECT("'Form 1 - Município'!$B$2:$E$70"),4,FALSE)</f>
        <v>Enviado</v>
      </c>
      <c r="AG35" s="31" t="str">
        <f ca="1"/>
        <v>Amambai</v>
      </c>
      <c r="AH35" s="31" t="str">
        <f ca="1">VLOOKUP(AG35,INDIRECT("'Form 2 - UVR'!$B$2:$E$70"),4,FALSE)</f>
        <v>Enviado</v>
      </c>
      <c r="AJ35" s="31" t="str">
        <f ca="1"/>
        <v>Amambai</v>
      </c>
      <c r="AK35" s="31" t="str">
        <f ca="1">VLOOKUP(AJ35,INDIRECT("'Form 3 - Empreendimento'!$B$2:$E$70"),4,FALSE)</f>
        <v>Enviado</v>
      </c>
    </row>
    <row r="36" spans="30:37">
      <c r="AD36" s="31" t="str">
        <f ca="1"/>
        <v>Aral Moreira</v>
      </c>
      <c r="AE36" s="31" t="str">
        <f ca="1">VLOOKUP(AD36,INDIRECT("'Form 1 - Município'!$B$2:$E$70"),4,FALSE)</f>
        <v>Atrasado</v>
      </c>
      <c r="AG36" s="31" t="str">
        <f ca="1"/>
        <v>Aral Moreira</v>
      </c>
      <c r="AH36" s="31" t="str">
        <f ca="1">VLOOKUP(AG36,INDIRECT("'Form 2 - UVR'!$B$2:$E$70"),4,FALSE)</f>
        <v>Atrasado</v>
      </c>
      <c r="AJ36" s="31" t="str">
        <f ca="1"/>
        <v>Aral Moreira</v>
      </c>
      <c r="AK36" s="31" t="str">
        <f ca="1">VLOOKUP(AJ36,INDIRECT("'Form 3 - Empreendimento'!$B$2:$E$70"),4,FALSE)</f>
        <v>Atrasado</v>
      </c>
    </row>
    <row r="37" spans="30:37">
      <c r="AD37" s="31" t="str">
        <f ca="1"/>
        <v>Caarapó</v>
      </c>
      <c r="AE37" s="31" t="str">
        <f ca="1">VLOOKUP(AD37,INDIRECT("'Form 1 - Município'!$B$2:$E$70"),4,FALSE)</f>
        <v>Enviado</v>
      </c>
      <c r="AG37" s="31" t="str">
        <f ca="1"/>
        <v>Caarapó</v>
      </c>
      <c r="AH37" s="31" t="str">
        <f ca="1">VLOOKUP(AG37,INDIRECT("'Form 2 - UVR'!$B$2:$E$70"),4,FALSE)</f>
        <v>Enviado</v>
      </c>
      <c r="AJ37" s="31" t="str">
        <f ca="1"/>
        <v>Caarapó</v>
      </c>
      <c r="AK37" s="31" t="str">
        <f ca="1">VLOOKUP(AJ37,INDIRECT("'Form 3 - Empreendimento'!$B$2:$E$70"),4,FALSE)</f>
        <v>Enviado</v>
      </c>
    </row>
    <row r="38" spans="30:37">
      <c r="AD38" s="31" t="str">
        <f ca="1"/>
        <v>Coronel Sapucaia</v>
      </c>
      <c r="AE38" s="31" t="str">
        <f ca="1">VLOOKUP(AD38,INDIRECT("'Form 1 - Município'!$B$2:$E$70"),4,FALSE)</f>
        <v>Atrasado</v>
      </c>
      <c r="AG38" s="31" t="str">
        <f ca="1"/>
        <v>Coronel Sapucaia</v>
      </c>
      <c r="AH38" s="31" t="str">
        <f ca="1">VLOOKUP(AG38,INDIRECT("'Form 2 - UVR'!$B$2:$E$70"),4,FALSE)</f>
        <v>Atrasado</v>
      </c>
      <c r="AJ38" s="31" t="str">
        <f ca="1"/>
        <v>Coronel Sapucaia</v>
      </c>
      <c r="AK38" s="31" t="str">
        <f ca="1">VLOOKUP(AJ38,INDIRECT("'Form 3 - Empreendimento'!$B$2:$E$70"),4,FALSE)</f>
        <v>Atrasado</v>
      </c>
    </row>
    <row r="39" spans="30:37">
      <c r="AD39" s="31" t="str">
        <f ca="1"/>
        <v>Eldorado</v>
      </c>
      <c r="AE39" s="31" t="str">
        <f ca="1">VLOOKUP(AD39,INDIRECT("'Form 1 - Município'!$B$2:$E$70"),4,FALSE)</f>
        <v>Enviado</v>
      </c>
      <c r="AG39" s="31" t="str">
        <f ca="1"/>
        <v>Eldorado</v>
      </c>
      <c r="AH39" s="31" t="str">
        <f ca="1">VLOOKUP(AG39,INDIRECT("'Form 2 - UVR'!$B$2:$E$70"),4,FALSE)</f>
        <v>Enviado</v>
      </c>
      <c r="AJ39" s="31" t="str">
        <f ca="1"/>
        <v>Eldorado</v>
      </c>
      <c r="AK39" s="31" t="str">
        <f ca="1">VLOOKUP(AJ39,INDIRECT("'Form 3 - Empreendimento'!$B$2:$E$70"),4,FALSE)</f>
        <v>Enviado</v>
      </c>
    </row>
    <row r="40" spans="30:37">
      <c r="AD40" s="31" t="str">
        <f ca="1"/>
        <v>Iguatemi</v>
      </c>
      <c r="AE40" s="31" t="str">
        <f ca="1">VLOOKUP(AD40,INDIRECT("'Form 1 - Município'!$B$2:$E$70"),4,FALSE)</f>
        <v>Enviado</v>
      </c>
      <c r="AG40" s="31" t="str">
        <f ca="1"/>
        <v>Iguatemi</v>
      </c>
      <c r="AH40" s="31" t="str">
        <f ca="1">VLOOKUP(AG40,INDIRECT("'Form 2 - UVR'!$B$2:$E$70"),4,FALSE)</f>
        <v>Atrasado</v>
      </c>
      <c r="AJ40" s="31" t="str">
        <f ca="1"/>
        <v>Iguatemi</v>
      </c>
      <c r="AK40" s="31" t="str">
        <f ca="1">VLOOKUP(AJ40,INDIRECT("'Form 3 - Empreendimento'!$B$2:$E$70"),4,FALSE)</f>
        <v>Atrasado</v>
      </c>
    </row>
    <row r="41" spans="30:37">
      <c r="AD41" s="31" t="str">
        <f ca="1"/>
        <v>Itaquiraí</v>
      </c>
      <c r="AE41" s="31" t="str">
        <f ca="1">VLOOKUP(AD41,INDIRECT("'Form 1 - Município'!$B$2:$E$70"),4,FALSE)</f>
        <v>Enviado</v>
      </c>
      <c r="AG41" s="31" t="str">
        <f ca="1"/>
        <v>Itaquiraí</v>
      </c>
      <c r="AH41" s="31" t="str">
        <f ca="1">VLOOKUP(AG41,INDIRECT("'Form 2 - UVR'!$B$2:$E$70"),4,FALSE)</f>
        <v>Enviado</v>
      </c>
      <c r="AJ41" s="31" t="str">
        <f ca="1"/>
        <v>Itaquiraí</v>
      </c>
      <c r="AK41" s="31" t="str">
        <f ca="1">VLOOKUP(AJ41,INDIRECT("'Form 3 - Empreendimento'!$B$2:$E$70"),4,FALSE)</f>
        <v>Enviado</v>
      </c>
    </row>
    <row r="42" spans="30:37">
      <c r="AD42" s="31" t="str">
        <f ca="1"/>
        <v>Japorã</v>
      </c>
      <c r="AE42" s="31" t="str">
        <f ca="1">VLOOKUP(AD42,INDIRECT("'Form 1 - Município'!$B$2:$E$70"),4,FALSE)</f>
        <v>Enviado</v>
      </c>
      <c r="AG42" s="31" t="str">
        <f ca="1"/>
        <v>Japorã</v>
      </c>
      <c r="AH42" s="31" t="str">
        <f ca="1">VLOOKUP(AG42,INDIRECT("'Form 2 - UVR'!$B$2:$E$70"),4,FALSE)</f>
        <v>Outras Ocorrências</v>
      </c>
      <c r="AJ42" s="31" t="str">
        <f ca="1"/>
        <v>Japorã</v>
      </c>
      <c r="AK42" s="31" t="str">
        <f ca="1">VLOOKUP(AJ42,INDIRECT("'Form 3 - Empreendimento'!$B$2:$E$70"),4,FALSE)</f>
        <v>Enviado</v>
      </c>
    </row>
    <row r="43" spans="30:37">
      <c r="AD43" s="31" t="str">
        <f ca="1"/>
        <v>Juti</v>
      </c>
      <c r="AE43" s="31" t="str">
        <f ca="1">VLOOKUP(AD43,INDIRECT("'Form 1 - Município'!$B$2:$E$70"),4,FALSE)</f>
        <v>Enviado</v>
      </c>
      <c r="AG43" s="31" t="str">
        <f ca="1"/>
        <v>Juti</v>
      </c>
      <c r="AH43" s="31" t="str">
        <f ca="1">VLOOKUP(AG43,INDIRECT("'Form 2 - UVR'!$B$2:$E$70"),4,FALSE)</f>
        <v>Enviado</v>
      </c>
      <c r="AJ43" s="31" t="str">
        <f ca="1"/>
        <v>Juti</v>
      </c>
      <c r="AK43" s="31" t="str">
        <f ca="1">VLOOKUP(AJ43,INDIRECT("'Form 3 - Empreendimento'!$B$2:$E$70"),4,FALSE)</f>
        <v>Enviado</v>
      </c>
    </row>
    <row r="44" spans="30:37">
      <c r="AD44" s="31" t="str">
        <f ca="1"/>
        <v>Naviraí</v>
      </c>
      <c r="AE44" s="31" t="str">
        <f ca="1">VLOOKUP(AD44,INDIRECT("'Form 1 - Município'!$B$2:$E$70"),4,FALSE)</f>
        <v>Enviado</v>
      </c>
      <c r="AG44" s="31" t="str">
        <f ca="1"/>
        <v>Naviraí</v>
      </c>
      <c r="AH44" s="31" t="str">
        <f ca="1">VLOOKUP(AG44,INDIRECT("'Form 2 - UVR'!$B$2:$E$70"),4,FALSE)</f>
        <v>Enviado</v>
      </c>
      <c r="AJ44" s="31" t="str">
        <f ca="1"/>
        <v>Naviraí</v>
      </c>
      <c r="AK44" s="31" t="str">
        <f ca="1">VLOOKUP(AJ44,INDIRECT("'Form 3 - Empreendimento'!$B$2:$E$70"),4,FALSE)</f>
        <v>Enviado</v>
      </c>
    </row>
    <row r="45" spans="30:37">
      <c r="AD45" s="31" t="str">
        <f ca="1"/>
        <v>Paranhos</v>
      </c>
      <c r="AE45" s="31" t="str">
        <f ca="1">VLOOKUP(AD45,INDIRECT("'Form 1 - Município'!$B$2:$E$70"),4,FALSE)</f>
        <v>Enviado</v>
      </c>
      <c r="AG45" s="31" t="str">
        <f ca="1"/>
        <v>Paranhos</v>
      </c>
      <c r="AH45" s="31" t="str">
        <f ca="1">VLOOKUP(AG45,INDIRECT("'Form 2 - UVR'!$B$2:$E$70"),4,FALSE)</f>
        <v>Enviado</v>
      </c>
      <c r="AJ45" s="31" t="str">
        <f ca="1"/>
        <v>Paranhos</v>
      </c>
      <c r="AK45" s="31" t="str">
        <f ca="1">VLOOKUP(AJ45,INDIRECT("'Form 3 - Empreendimento'!$B$2:$E$70"),4,FALSE)</f>
        <v>Atrasado</v>
      </c>
    </row>
    <row r="46" spans="30:37">
      <c r="AD46" s="31" t="str">
        <f ca="1"/>
        <v>Sete Quedas</v>
      </c>
      <c r="AE46" s="31" t="str">
        <f ca="1">VLOOKUP(AD46,INDIRECT("'Form 1 - Município'!$B$2:$E$70"),4,FALSE)</f>
        <v>Sem Técnico</v>
      </c>
      <c r="AG46" s="31" t="str">
        <f ca="1"/>
        <v>Sete Quedas</v>
      </c>
      <c r="AH46" s="31" t="str">
        <f ca="1">VLOOKUP(AG46,INDIRECT("'Form 2 - UVR'!$B$2:$E$70"),4,FALSE)</f>
        <v>Sem Técnico</v>
      </c>
      <c r="AJ46" s="31" t="str">
        <f ca="1"/>
        <v>Sete Quedas</v>
      </c>
      <c r="AK46" s="31" t="str">
        <f ca="1">VLOOKUP(AJ46,INDIRECT("'Form 3 - Empreendimento'!$B$2:$E$70"),4,FALSE)</f>
        <v>Sem Técnico</v>
      </c>
    </row>
    <row r="47" spans="30:37">
      <c r="AD47" s="31" t="str">
        <f ca="1"/>
        <v>Tacuru</v>
      </c>
      <c r="AE47" s="31" t="str">
        <f ca="1">VLOOKUP(AD47,INDIRECT("'Form 1 - Município'!$B$2:$E$70"),4,FALSE)</f>
        <v>Enviado</v>
      </c>
      <c r="AG47" s="31" t="str">
        <f ca="1"/>
        <v>Tacuru</v>
      </c>
      <c r="AH47" s="31" t="str">
        <f ca="1">VLOOKUP(AG47,INDIRECT("'Form 2 - UVR'!$B$2:$E$70"),4,FALSE)</f>
        <v>Enviado</v>
      </c>
      <c r="AJ47" s="31" t="str">
        <f ca="1"/>
        <v>Tacuru</v>
      </c>
      <c r="AK47" s="31" t="str">
        <f ca="1">VLOOKUP(AJ47,INDIRECT("'Form 3 - Empreendimento'!$B$2:$E$70"),4,FALSE)</f>
        <v>Enviado</v>
      </c>
    </row>
    <row r="48" spans="30:37">
      <c r="AD48">
        <f ca="1"/>
        <v>0</v>
      </c>
      <c r="AG48">
        <f ca="1"/>
        <v>0</v>
      </c>
      <c r="AJ48">
        <f ca="1"/>
        <v>0</v>
      </c>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tabSelected="1" workbookViewId="0">
      <selection activeCell="L7" sqref="L7"/>
    </sheetView>
  </sheetViews>
  <sheetFormatPr defaultRowHeight="15"/>
  <cols>
    <col min="2" max="2" width="31.140625" customWidth="1"/>
    <col min="3" max="3" width="8.5703125" customWidth="1"/>
    <col min="4" max="4" width="18.7109375" customWidth="1"/>
    <col min="5" max="5" width="22.28515625" customWidth="1"/>
    <col min="6" max="6" width="20.7109375" customWidth="1"/>
    <col min="7" max="7" width="20.42578125" customWidth="1"/>
    <col min="8" max="8" width="21" customWidth="1"/>
    <col min="9" max="9" width="23" customWidth="1"/>
  </cols>
  <sheetData>
    <row r="1" spans="1:9" ht="15.75" customHeight="1">
      <c r="A1" s="7" t="s">
        <v>14</v>
      </c>
      <c r="B1" s="7" t="s">
        <v>23</v>
      </c>
      <c r="C1" s="7" t="s">
        <v>24</v>
      </c>
      <c r="D1" s="7" t="s">
        <v>15</v>
      </c>
      <c r="E1" s="7" t="s">
        <v>16</v>
      </c>
      <c r="F1" s="8" t="s">
        <v>17</v>
      </c>
      <c r="G1" s="41" t="s">
        <v>25</v>
      </c>
      <c r="H1" s="41" t="s">
        <v>26</v>
      </c>
      <c r="I1" s="41" t="s">
        <v>27</v>
      </c>
    </row>
    <row r="2" spans="1:9" ht="15.75" customHeight="1">
      <c r="A2" s="42" t="s">
        <v>18</v>
      </c>
      <c r="B2" s="43" t="s">
        <v>28</v>
      </c>
      <c r="C2" s="31">
        <v>1</v>
      </c>
      <c r="D2" s="9"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25" t="s">
        <v>29</v>
      </c>
      <c r="F2" s="25" t="s">
        <v>29</v>
      </c>
      <c r="G2" s="25" t="s">
        <v>29</v>
      </c>
      <c r="H2" s="25" t="s">
        <v>29</v>
      </c>
      <c r="I2" s="25" t="s">
        <v>29</v>
      </c>
    </row>
    <row r="3" spans="1:9">
      <c r="A3" s="42" t="s">
        <v>18</v>
      </c>
      <c r="B3" s="43" t="s">
        <v>30</v>
      </c>
      <c r="C3" s="31">
        <v>1</v>
      </c>
      <c r="D3" s="9"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9"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9" t="str">
        <f t="array" aca="1" ref="F3" ca="1">IF(
    VLOOKUP(
        $A3,
        _xlfn._xlws.FILTER(
            INDIRECT("'"&amp;F$1&amp;"'!A2:E1000"), (INDIRECT("'"&amp;F$1&amp;"'!B2:B1000")=$B3) * (INDIRECT("'"&amp;F$1&amp;"'!C2:C1000")=$C3)
        ),
        5,
        FALSE
    )=0,
    "",
    VLOOKUP(
        $A3,
        _xlfn._xlws.FILTER(
            INDIRECT("'"&amp;F$1&amp;"'!A2:E1000"), (INDIRECT("'"&amp;F$1&amp;"'!B2:B1000")=$B3) * (INDIRECT("'"&amp;F$1&amp;"'!C2:C1000")=$C3)
        ),
        5,
        FALSE
    )
)</f>
        <v>Enviado</v>
      </c>
      <c r="G3" s="25" t="s">
        <v>31</v>
      </c>
      <c r="H3" s="25" t="s">
        <v>32</v>
      </c>
      <c r="I3" s="25" t="s">
        <v>33</v>
      </c>
    </row>
    <row r="4" spans="1:9">
      <c r="A4" s="42" t="s">
        <v>18</v>
      </c>
      <c r="B4" s="43" t="s">
        <v>34</v>
      </c>
      <c r="C4" s="31">
        <v>1</v>
      </c>
      <c r="D4" s="9"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0" t="str">
        <f t="array" aca="1" ref="E4" ca="1">IF(
    VLOOKUP(
        $A4,
        _xlfn._xlws.FILTER(
            INDIRECT("'"&amp;E$1&amp;"'!A2:E1000"), (INDIRECT("'"&amp;E$1&amp;"'!B2:B1000")=$B4) * (INDIRECT("'"&amp;E$1&amp;"'!C2:C1000")=$C4)
        ),
        5,
        FALSE
    )=0,
    "",
    VLOOKUP(
        $A4,
        _xlfn._xlws.FILTER(
            INDIRECT("'"&amp;E$1&amp;"'!A2:E1000"), (INDIRECT("'"&amp;E$1&amp;"'!B2:B1000")=$B4) * (INDIRECT("'"&amp;E$1&amp;"'!C2:C1000")=$C4)
        ),
        5,
        FALSE
    )
)</f>
        <v>Atrasado</v>
      </c>
      <c r="F4" s="9" t="str">
        <f t="array" aca="1" ref="F4" ca="1">IF(
    VLOOKUP(
        $A4,
        _xlfn._xlws.FILTER(
            INDIRECT("'"&amp;F$1&amp;"'!A2:E1000"), (INDIRECT("'"&amp;F$1&amp;"'!B2:B1000")=$B4) * (INDIRECT("'"&amp;F$1&amp;"'!C2:C1000")=$C4)
        ),
        5,
        FALSE
    )=0,
    "",
    VLOOKUP(
        $A4,
        _xlfn._xlws.FILTER(
            INDIRECT("'"&amp;F$1&amp;"'!A2:E1000"), (INDIRECT("'"&amp;F$1&amp;"'!B2:B1000")=$B4) * (INDIRECT("'"&amp;F$1&amp;"'!C2:C1000")=$C4)
        ),
        5,
        FALSE
    )
)</f>
        <v>Atrasado</v>
      </c>
      <c r="G4" s="25" t="s">
        <v>32</v>
      </c>
      <c r="H4" s="25" t="s">
        <v>32</v>
      </c>
      <c r="I4" s="25" t="s">
        <v>33</v>
      </c>
    </row>
    <row r="5" spans="1:9">
      <c r="A5" s="42" t="s">
        <v>18</v>
      </c>
      <c r="B5" s="43" t="s">
        <v>35</v>
      </c>
      <c r="C5" s="31">
        <v>1</v>
      </c>
      <c r="D5" s="9"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9"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9" t="str">
        <f t="array" aca="1" ref="F5" ca="1">IF(
    VLOOKUP(
        $A5,
        _xlfn._xlws.FILTER(
            INDIRECT("'"&amp;F$1&amp;"'!A2:E1000"), (INDIRECT("'"&amp;F$1&amp;"'!B2:B1000")=$B5) * (INDIRECT("'"&amp;F$1&amp;"'!C2:C1000")=$C5)
        ),
        5,
        FALSE
    )=0,
    "",
    VLOOKUP(
        $A5,
        _xlfn._xlws.FILTER(
            INDIRECT("'"&amp;F$1&amp;"'!A2:E1000"), (INDIRECT("'"&amp;F$1&amp;"'!B2:B1000")=$B5) * (INDIRECT("'"&amp;F$1&amp;"'!C2:C1000")=$C5)
        ),
        5,
        FALSE
    )
)</f>
        <v>Enviado</v>
      </c>
      <c r="G5" s="25" t="s">
        <v>31</v>
      </c>
      <c r="H5" s="25" t="s">
        <v>31</v>
      </c>
      <c r="I5" s="25" t="s">
        <v>33</v>
      </c>
    </row>
    <row r="6" spans="1:9">
      <c r="A6" s="42" t="s">
        <v>18</v>
      </c>
      <c r="B6" s="43" t="s">
        <v>36</v>
      </c>
      <c r="C6" s="31">
        <v>1</v>
      </c>
      <c r="D6" s="9"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9"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9" t="str">
        <f t="array" aca="1" ref="F6" ca="1">IF(
    VLOOKUP(
        $A6,
        _xlfn._xlws.FILTER(
            INDIRECT("'"&amp;F$1&amp;"'!A2:E1000"), (INDIRECT("'"&amp;F$1&amp;"'!B2:B1000")=$B6) * (INDIRECT("'"&amp;F$1&amp;"'!C2:C1000")=$C6)
        ),
        5,
        FALSE
    )=0,
    "",
    VLOOKUP(
        $A6,
        _xlfn._xlws.FILTER(
            INDIRECT("'"&amp;F$1&amp;"'!A2:E1000"), (INDIRECT("'"&amp;F$1&amp;"'!B2:B1000")=$B6) * (INDIRECT("'"&amp;F$1&amp;"'!C2:C1000")=$C6)
        ),
        5,
        FALSE
    )
)</f>
        <v>Enviado</v>
      </c>
      <c r="G6" s="25" t="s">
        <v>32</v>
      </c>
      <c r="H6" s="25" t="s">
        <v>32</v>
      </c>
      <c r="I6" s="25" t="s">
        <v>31</v>
      </c>
    </row>
    <row r="7" spans="1:9">
      <c r="A7" s="42" t="s">
        <v>18</v>
      </c>
      <c r="B7" s="43" t="s">
        <v>37</v>
      </c>
      <c r="C7" s="31">
        <v>1</v>
      </c>
      <c r="D7" s="9" t="str">
        <f t="array" aca="1" ref="D7" ca="1">IF(
    VLOOKUP(
        $A7,
        _xlfn._xlws.FILTER(
            INDIRECT("'"&amp;D$1&amp;"'!A2:E1000"), (INDIRECT("'"&amp;D$1&amp;"'!B2:B1000")=$B7) * (INDIRECT("'"&amp;D$1&amp;"'!C2:C1000")=$C7)
        ),
        5,
        FALSE
    )=0,
    "",
    VLOOKUP(
        $A7,
        _xlfn._xlws.FILTER(
            INDIRECT("'"&amp;D$1&amp;"'!A2:E1000"), (INDIRECT("'"&amp;D$1&amp;"'!B2:B1000")=$B7) * (INDIRECT("'"&amp;D$1&amp;"'!C2:C1000")=$C7)
        ),
        5,
        FALSE
    )
)</f>
        <v>Enviado</v>
      </c>
      <c r="E7" s="9" t="str">
        <f t="array" aca="1" ref="E7" ca="1">IF(
    VLOOKUP(
        $A7,
        _xlfn._xlws.FILTER(
            INDIRECT("'"&amp;E$1&amp;"'!A2:E1000"), (INDIRECT("'"&amp;E$1&amp;"'!B2:B1000")=$B7) * (INDIRECT("'"&amp;E$1&amp;"'!C2:C1000")=$C7)
        ),
        5,
        FALSE
    )=0,
    "",
    VLOOKUP(
        $A7,
        _xlfn._xlws.FILTER(
            INDIRECT("'"&amp;E$1&amp;"'!A2:E1000"), (INDIRECT("'"&amp;E$1&amp;"'!B2:B1000")=$B7) * (INDIRECT("'"&amp;E$1&amp;"'!C2:C1000")=$C7)
        ),
        5,
        FALSE
    )
)</f>
        <v>Enviado</v>
      </c>
      <c r="F7" s="9" t="str">
        <f t="array" aca="1" ref="F7" ca="1">IF(
    VLOOKUP(
        $A7,
        _xlfn._xlws.FILTER(
            INDIRECT("'"&amp;F$1&amp;"'!A2:E1000"), (INDIRECT("'"&amp;F$1&amp;"'!B2:B1000")=$B7) * (INDIRECT("'"&amp;F$1&amp;"'!C2:C1000")=$C7)
        ),
        5,
        FALSE
    )=0,
    "",
    VLOOKUP(
        $A7,
        _xlfn._xlws.FILTER(
            INDIRECT("'"&amp;F$1&amp;"'!A2:E1000"), (INDIRECT("'"&amp;F$1&amp;"'!B2:B1000")=$B7) * (INDIRECT("'"&amp;F$1&amp;"'!C2:C1000")=$C7)
        ),
        5,
        FALSE
    )
)</f>
        <v>Enviado</v>
      </c>
      <c r="G7" s="25" t="s">
        <v>31</v>
      </c>
      <c r="H7" s="25" t="s">
        <v>31</v>
      </c>
      <c r="I7" s="25" t="s">
        <v>31</v>
      </c>
    </row>
    <row r="8" spans="1:9">
      <c r="A8" s="42" t="s">
        <v>18</v>
      </c>
      <c r="B8" s="43" t="s">
        <v>38</v>
      </c>
      <c r="C8" s="31">
        <v>1</v>
      </c>
      <c r="D8" s="9"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9" t="str">
        <f t="array" aca="1" ref="E8" ca="1">IF(
    VLOOKUP(
        $A8,
        _xlfn._xlws.FILTER(
            INDIRECT("'"&amp;E$1&amp;"'!A2:E1000"), (INDIRECT("'"&amp;E$1&amp;"'!B2:B1000")=$B8) * (INDIRECT("'"&amp;E$1&amp;"'!C2:C1000")=$C8)
        ),
        5,
        FALSE
    )=0,
    "",
    VLOOKUP(
        $A8,
        _xlfn._xlws.FILTER(
            INDIRECT("'"&amp;E$1&amp;"'!A2:E1000"), (INDIRECT("'"&amp;E$1&amp;"'!B2:B1000")=$B8) * (INDIRECT("'"&amp;E$1&amp;"'!C2:C1000")=$C8)
        ),
        5,
        FALSE
    )
)</f>
        <v>Atrasado</v>
      </c>
      <c r="F8" s="9" t="str">
        <f t="array" aca="1" ref="F8" ca="1">IF(
    VLOOKUP(
        $A8,
        _xlfn._xlws.FILTER(
            INDIRECT("'"&amp;F$1&amp;"'!A2:E1000"), (INDIRECT("'"&amp;F$1&amp;"'!B2:B1000")=$B8) * (INDIRECT("'"&amp;F$1&amp;"'!C2:C1000")=$C8)
        ),
        5,
        FALSE
    )=0,
    "",
    VLOOKUP(
        $A8,
        _xlfn._xlws.FILTER(
            INDIRECT("'"&amp;F$1&amp;"'!A2:E1000"), (INDIRECT("'"&amp;F$1&amp;"'!B2:B1000")=$B8) * (INDIRECT("'"&amp;F$1&amp;"'!C2:C1000")=$C8)
        ),
        5,
        FALSE
    )
)</f>
        <v>Atrasado</v>
      </c>
      <c r="G8" s="25" t="s">
        <v>32</v>
      </c>
      <c r="H8" s="25" t="s">
        <v>32</v>
      </c>
      <c r="I8" s="25" t="s">
        <v>33</v>
      </c>
    </row>
    <row r="9" spans="1:9">
      <c r="A9" s="42" t="s">
        <v>18</v>
      </c>
      <c r="B9" s="43" t="s">
        <v>39</v>
      </c>
      <c r="C9" s="31">
        <v>1</v>
      </c>
      <c r="D9" s="9"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9"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9"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G9" s="25" t="s">
        <v>32</v>
      </c>
      <c r="H9" s="25" t="s">
        <v>31</v>
      </c>
      <c r="I9" s="25" t="s">
        <v>31</v>
      </c>
    </row>
    <row r="11" spans="1:9" ht="15.75" customHeight="1">
      <c r="A11" s="7" t="s">
        <v>14</v>
      </c>
      <c r="B11" s="7" t="s">
        <v>23</v>
      </c>
      <c r="C11" s="7" t="s">
        <v>24</v>
      </c>
      <c r="D11" s="7" t="s">
        <v>15</v>
      </c>
      <c r="E11" s="7" t="s">
        <v>16</v>
      </c>
      <c r="F11" s="8" t="s">
        <v>17</v>
      </c>
      <c r="G11" s="41" t="s">
        <v>25</v>
      </c>
      <c r="H11" s="41" t="s">
        <v>26</v>
      </c>
      <c r="I11" s="41" t="s">
        <v>27</v>
      </c>
    </row>
    <row r="12" spans="1:9">
      <c r="A12" s="44" t="s">
        <v>19</v>
      </c>
      <c r="B12" s="43" t="s">
        <v>40</v>
      </c>
      <c r="C12" s="13">
        <v>1</v>
      </c>
      <c r="D12" s="9"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9"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9" t="str">
        <f t="array" aca="1" ref="F12" ca="1">IF(
    VLOOKUP(
        $A12,
        _xlfn._xlws.FILTER(
            INDIRECT("'"&amp;F$1&amp;"'!A2:E1000"), (INDIRECT("'"&amp;F$1&amp;"'!B2:B1000")=$B12) * (INDIRECT("'"&amp;F$1&amp;"'!C2:C1000")=$C12)
        ),
        5,
        FALSE
    )=0,
    "",
    VLOOKUP(
        $A12,
        _xlfn._xlws.FILTER(
            INDIRECT("'"&amp;F$1&amp;"'!A2:E1000"), (INDIRECT("'"&amp;F$1&amp;"'!B2:B1000")=$B12) * (INDIRECT("'"&amp;F$1&amp;"'!C2:C1000")=$C12)
        ),
        5,
        FALSE
    )
)</f>
        <v>Duplicado</v>
      </c>
      <c r="G12" s="25" t="s">
        <v>32</v>
      </c>
      <c r="H12" s="25" t="s">
        <v>32</v>
      </c>
      <c r="I12" s="25" t="s">
        <v>31</v>
      </c>
    </row>
    <row r="13" spans="1:9">
      <c r="A13" s="44" t="s">
        <v>19</v>
      </c>
      <c r="B13" s="43" t="s">
        <v>41</v>
      </c>
      <c r="C13" s="13">
        <v>1</v>
      </c>
      <c r="D13" s="9" t="str">
        <f t="array" aca="1" ref="D13" ca="1">IF(
    VLOOKUP(
        $A13,
        _xlfn._xlws.FILTER(
            INDIRECT("'"&amp;D$1&amp;"'!A2:E1000"), (INDIRECT("'"&amp;D$1&amp;"'!B2:B1000")=$B13) * (INDIRECT("'"&amp;D$1&amp;"'!C2:C1000")=$C13)
        ),
        5,
        FALSE
    )=0,
    "",
    VLOOKUP(
        $A13,
        _xlfn._xlws.FILTER(
            INDIRECT("'"&amp;D$1&amp;"'!A2:E1000"), (INDIRECT("'"&amp;D$1&amp;"'!B2:B1000")=$B13) * (INDIRECT("'"&amp;D$1&amp;"'!C2:C1000")=$C13)
        ),
        5,
        FALSE
    )
)</f>
        <v>Atrasado</v>
      </c>
      <c r="E13" s="9" t="str">
        <f t="array" aca="1" ref="E13" ca="1">IF(
    VLOOKUP(
        $A13,
        _xlfn._xlws.FILTER(
            INDIRECT("'"&amp;E$1&amp;"'!A2:E1000"), (INDIRECT("'"&amp;E$1&amp;"'!B2:B1000")=$B13) * (INDIRECT("'"&amp;E$1&amp;"'!C2:C1000")=$C13)
        ),
        5,
        FALSE
    )=0,
    "",
    VLOOKUP(
        $A13,
        _xlfn._xlws.FILTER(
            INDIRECT("'"&amp;E$1&amp;"'!A2:E1000"), (INDIRECT("'"&amp;E$1&amp;"'!B2:B1000")=$B13) * (INDIRECT("'"&amp;E$1&amp;"'!C2:C1000")=$C13)
        ),
        5,
        FALSE
    )
)</f>
        <v>Atrasado</v>
      </c>
      <c r="F13" s="9" t="str">
        <f t="array" aca="1" ref="F13" ca="1">IF(
    VLOOKUP(
        $A13,
        _xlfn._xlws.FILTER(
            INDIRECT("'"&amp;F$1&amp;"'!A2:E1000"), (INDIRECT("'"&amp;F$1&amp;"'!B2:B1000")=$B13) * (INDIRECT("'"&amp;F$1&amp;"'!C2:C1000")=$C13)
        ),
        5,
        FALSE
    )=0,
    "",
    VLOOKUP(
        $A13,
        _xlfn._xlws.FILTER(
            INDIRECT("'"&amp;F$1&amp;"'!A2:E1000"), (INDIRECT("'"&amp;F$1&amp;"'!B2:B1000")=$B13) * (INDIRECT("'"&amp;F$1&amp;"'!C2:C1000")=$C13)
        ),
        5,
        FALSE
    )
)</f>
        <v>Atrasado</v>
      </c>
      <c r="G13" s="25" t="s">
        <v>32</v>
      </c>
      <c r="H13" s="25" t="s">
        <v>32</v>
      </c>
      <c r="I13" s="25" t="s">
        <v>32</v>
      </c>
    </row>
    <row r="14" spans="1:9">
      <c r="A14" s="44" t="s">
        <v>19</v>
      </c>
      <c r="B14" s="43" t="s">
        <v>42</v>
      </c>
      <c r="C14" s="13">
        <v>1</v>
      </c>
      <c r="D14" s="9"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9"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9"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G14" s="25" t="s">
        <v>32</v>
      </c>
      <c r="H14" s="25" t="s">
        <v>31</v>
      </c>
      <c r="I14" s="25" t="s">
        <v>31</v>
      </c>
    </row>
    <row r="15" spans="1:9">
      <c r="A15" s="44" t="s">
        <v>19</v>
      </c>
      <c r="B15" s="43" t="s">
        <v>43</v>
      </c>
      <c r="C15" s="13">
        <v>1</v>
      </c>
      <c r="D15" s="9"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9"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v>
      </c>
      <c r="F15" s="9" t="str">
        <f t="array" aca="1" ref="F15" ca="1">IF(
    VLOOKUP(
        $A15,
        _xlfn._xlws.FILTER(
            INDIRECT("'"&amp;F$1&amp;"'!A2:E1000"), (INDIRECT("'"&amp;F$1&amp;"'!B2:B1000")=$B15) * (INDIRECT("'"&amp;F$1&amp;"'!C2:C1000")=$C15)
        ),
        5,
        FALSE
    )=0,
    "",
    VLOOKUP(
        $A15,
        _xlfn._xlws.FILTER(
            INDIRECT("'"&amp;F$1&amp;"'!A2:E1000"), (INDIRECT("'"&amp;F$1&amp;"'!B2:B1000")=$B15) * (INDIRECT("'"&amp;F$1&amp;"'!C2:C1000")=$C15)
        ),
        5,
        FALSE
    )
)</f>
        <v>Atrasado</v>
      </c>
      <c r="G15" s="25" t="s">
        <v>32</v>
      </c>
      <c r="H15" s="25" t="s">
        <v>32</v>
      </c>
      <c r="I15" s="25" t="s">
        <v>32</v>
      </c>
    </row>
    <row r="16" spans="1:9">
      <c r="A16" s="44" t="s">
        <v>19</v>
      </c>
      <c r="B16" s="43" t="s">
        <v>44</v>
      </c>
      <c r="C16" s="13">
        <v>1</v>
      </c>
      <c r="D16" s="9" t="str">
        <f t="array" aca="1" ref="D16" ca="1">IF(
    VLOOKUP(
        $A16,
        _xlfn._xlws.FILTER(
            INDIRECT("'"&amp;D$1&amp;"'!A2:E1000"), (INDIRECT("'"&amp;D$1&amp;"'!B2:B1000")=$B16) * (INDIRECT("'"&amp;D$1&amp;"'!C2:C1000")=$C16)
        ),
        5,
        FALSE
    )=0,
    "",
    VLOOKUP(
        $A16,
        _xlfn._xlws.FILTER(
            INDIRECT("'"&amp;D$1&amp;"'!A2:E1000"), (INDIRECT("'"&amp;D$1&amp;"'!B2:B1000")=$B16) * (INDIRECT("'"&amp;D$1&amp;"'!C2:C1000")=$C16)
        ),
        5,
        FALSE
    )
)</f>
        <v>Enviado</v>
      </c>
      <c r="E16" s="9" t="str">
        <f t="array" aca="1" ref="E16" ca="1">IF(
    VLOOKUP(
        $A16,
        _xlfn._xlws.FILTER(
            INDIRECT("'"&amp;E$1&amp;"'!A2:E1000"), (INDIRECT("'"&amp;E$1&amp;"'!B2:B1000")=$B16) * (INDIRECT("'"&amp;E$1&amp;"'!C2:C1000")=$C16)
        ),
        5,
        FALSE
    )=0,
    "",
    VLOOKUP(
        $A16,
        _xlfn._xlws.FILTER(
            INDIRECT("'"&amp;E$1&amp;"'!A2:E1000"), (INDIRECT("'"&amp;E$1&amp;"'!B2:B1000")=$B16) * (INDIRECT("'"&amp;E$1&amp;"'!C2:C1000")=$C16)
        ),
        5,
        FALSE
    )
)</f>
        <v>Enviado</v>
      </c>
      <c r="F16" s="9" t="str">
        <f t="array" aca="1" ref="F16" ca="1">IF(
    VLOOKUP(
        $A16,
        _xlfn._xlws.FILTER(
            INDIRECT("'"&amp;F$1&amp;"'!A2:E1000"), (INDIRECT("'"&amp;F$1&amp;"'!B2:B1000")=$B16) * (INDIRECT("'"&amp;F$1&amp;"'!C2:C1000")=$C16)
        ),
        5,
        FALSE
    )=0,
    "",
    VLOOKUP(
        $A16,
        _xlfn._xlws.FILTER(
            INDIRECT("'"&amp;F$1&amp;"'!A2:E1000"), (INDIRECT("'"&amp;F$1&amp;"'!B2:B1000")=$B16) * (INDIRECT("'"&amp;F$1&amp;"'!C2:C1000")=$C16)
        ),
        5,
        FALSE
    )
)</f>
        <v>Duplicado</v>
      </c>
      <c r="G16" s="25" t="s">
        <v>32</v>
      </c>
      <c r="H16" s="25" t="s">
        <v>32</v>
      </c>
      <c r="I16" s="25" t="s">
        <v>31</v>
      </c>
    </row>
    <row r="17" spans="1:9">
      <c r="A17" s="44" t="s">
        <v>19</v>
      </c>
      <c r="B17" s="43" t="s">
        <v>45</v>
      </c>
      <c r="C17" s="13">
        <v>1</v>
      </c>
      <c r="D17" s="9" t="str">
        <f t="array" aca="1" ref="D17" ca="1">IF(
    VLOOKUP(
        $A17,
        _xlfn._xlws.FILTER(
            INDIRECT("'"&amp;D$1&amp;"'!A2:E1000"), (INDIRECT("'"&amp;D$1&amp;"'!B2:B1000")=$B17) * (INDIRECT("'"&amp;D$1&amp;"'!C2:C1000")=$C17)
        ),
        5,
        FALSE
    )=0,
    "",
    VLOOKUP(
        $A17,
        _xlfn._xlws.FILTER(
            INDIRECT("'"&amp;D$1&amp;"'!A2:E1000"), (INDIRECT("'"&amp;D$1&amp;"'!B2:B1000")=$B17) * (INDIRECT("'"&amp;D$1&amp;"'!C2:C1000")=$C17)
        ),
        5,
        FALSE
    )
)</f>
        <v>Atrasado</v>
      </c>
      <c r="E17" s="9" t="str">
        <f t="array" aca="1" ref="E17" ca="1">IF(
    VLOOKUP(
        $A17,
        _xlfn._xlws.FILTER(
            INDIRECT("'"&amp;E$1&amp;"'!A2:E1000"), (INDIRECT("'"&amp;E$1&amp;"'!B2:B1000")=$B17) * (INDIRECT("'"&amp;E$1&amp;"'!C2:C1000")=$C17)
        ),
        5,
        FALSE
    )=0,
    "",
    VLOOKUP(
        $A17,
        _xlfn._xlws.FILTER(
            INDIRECT("'"&amp;E$1&amp;"'!A2:E1000"), (INDIRECT("'"&amp;E$1&amp;"'!B2:B1000")=$B17) * (INDIRECT("'"&amp;E$1&amp;"'!C2:C1000")=$C17)
        ),
        5,
        FALSE
    )
)</f>
        <v>Atrasado</v>
      </c>
      <c r="F17" s="9" t="str">
        <f t="array" aca="1" ref="F17" ca="1">IF(
    VLOOKUP(
        $A17,
        _xlfn._xlws.FILTER(
            INDIRECT("'"&amp;F$1&amp;"'!A2:E1000"), (INDIRECT("'"&amp;F$1&amp;"'!B2:B1000")=$B17) * (INDIRECT("'"&amp;F$1&amp;"'!C2:C1000")=$C17)
        ),
        5,
        FALSE
    )=0,
    "",
    VLOOKUP(
        $A17,
        _xlfn._xlws.FILTER(
            INDIRECT("'"&amp;F$1&amp;"'!A2:E1000"), (INDIRECT("'"&amp;F$1&amp;"'!B2:B1000")=$B17) * (INDIRECT("'"&amp;F$1&amp;"'!C2:C1000")=$C17)
        ),
        5,
        FALSE
    )
)</f>
        <v>Atrasado</v>
      </c>
      <c r="G17" s="25" t="s">
        <v>32</v>
      </c>
      <c r="H17" s="25" t="s">
        <v>32</v>
      </c>
      <c r="I17" s="25" t="s">
        <v>32</v>
      </c>
    </row>
    <row r="18" spans="1:9">
      <c r="A18" s="44" t="s">
        <v>19</v>
      </c>
      <c r="B18" s="43" t="s">
        <v>46</v>
      </c>
      <c r="C18" s="13">
        <v>1</v>
      </c>
      <c r="D18" s="9"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9" t="str">
        <f t="array" aca="1" ref="E18" ca="1">IF(
    VLOOKUP(
        $A18,
        _xlfn._xlws.FILTER(
            INDIRECT("'"&amp;E$1&amp;"'!A2:E1000"), (INDIRECT("'"&amp;E$1&amp;"'!B2:B1000")=$B18) * (INDIRECT("'"&amp;E$1&amp;"'!C2:C1000")=$C18)
        ),
        5,
        FALSE
    )=0,
    "",
    VLOOKUP(
        $A18,
        _xlfn._xlws.FILTER(
            INDIRECT("'"&amp;E$1&amp;"'!A2:E1000"), (INDIRECT("'"&amp;E$1&amp;"'!B2:B1000")=$B18) * (INDIRECT("'"&amp;E$1&amp;"'!C2:C1000")=$C18)
        ),
        5,
        FALSE
    )
)</f>
        <v>Atrasado</v>
      </c>
      <c r="F18" s="9"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G18" s="25" t="s">
        <v>32</v>
      </c>
      <c r="H18" s="25" t="s">
        <v>31</v>
      </c>
      <c r="I18" s="25" t="s">
        <v>32</v>
      </c>
    </row>
    <row r="19" spans="1:9">
      <c r="A19" s="44" t="s">
        <v>19</v>
      </c>
      <c r="B19" s="43" t="s">
        <v>47</v>
      </c>
      <c r="C19" s="13">
        <v>1</v>
      </c>
      <c r="D19" s="9" t="str">
        <f t="array" aca="1" ref="D19" ca="1">IF(
    VLOOKUP(
        $A19,
        _xlfn._xlws.FILTER(
            INDIRECT("'"&amp;D$1&amp;"'!A2:E1000"), (INDIRECT("'"&amp;D$1&amp;"'!B2:B1000")=$B19) * (INDIRECT("'"&amp;D$1&amp;"'!C2:C1000")=$C19)
        ),
        5,
        FALSE
    )=0,
    "",
    VLOOKUP(
        $A19,
        _xlfn._xlws.FILTER(
            INDIRECT("'"&amp;D$1&amp;"'!A2:E1000"), (INDIRECT("'"&amp;D$1&amp;"'!B2:B1000")=$B19) * (INDIRECT("'"&amp;D$1&amp;"'!C2:C1000")=$C19)
        ),
        5,
        FALSE
    )
)</f>
        <v>Atrasado</v>
      </c>
      <c r="E19" s="9" t="str">
        <f t="array" aca="1" ref="E19" ca="1">IF(
    VLOOKUP(
        $A19,
        _xlfn._xlws.FILTER(
            INDIRECT("'"&amp;E$1&amp;"'!A2:E1000"), (INDIRECT("'"&amp;E$1&amp;"'!B2:B1000")=$B19) * (INDIRECT("'"&amp;E$1&amp;"'!C2:C1000")=$C19)
        ),
        5,
        FALSE
    )=0,
    "",
    VLOOKUP(
        $A19,
        _xlfn._xlws.FILTER(
            INDIRECT("'"&amp;E$1&amp;"'!A2:E1000"), (INDIRECT("'"&amp;E$1&amp;"'!B2:B1000")=$B19) * (INDIRECT("'"&amp;E$1&amp;"'!C2:C1000")=$C19)
        ),
        5,
        FALSE
    )
)</f>
        <v>Atrasado</v>
      </c>
      <c r="F19" s="9" t="str">
        <f t="array" aca="1" ref="F19" ca="1">IF(
    VLOOKUP(
        $A19,
        _xlfn._xlws.FILTER(
            INDIRECT("'"&amp;F$1&amp;"'!A2:E1000"), (INDIRECT("'"&amp;F$1&amp;"'!B2:B1000")=$B19) * (INDIRECT("'"&amp;F$1&amp;"'!C2:C1000")=$C19)
        ),
        5,
        FALSE
    )=0,
    "",
    VLOOKUP(
        $A19,
        _xlfn._xlws.FILTER(
            INDIRECT("'"&amp;F$1&amp;"'!A2:E1000"), (INDIRECT("'"&amp;F$1&amp;"'!B2:B1000")=$B19) * (INDIRECT("'"&amp;F$1&amp;"'!C2:C1000")=$C19)
        ),
        5,
        FALSE
    )
)</f>
        <v>Atrasado</v>
      </c>
      <c r="G19" s="25" t="s">
        <v>32</v>
      </c>
      <c r="H19" s="25" t="s">
        <v>32</v>
      </c>
      <c r="I19" s="25" t="s">
        <v>32</v>
      </c>
    </row>
    <row r="20" spans="1:9">
      <c r="A20" s="44" t="s">
        <v>19</v>
      </c>
      <c r="B20" s="43" t="s">
        <v>48</v>
      </c>
      <c r="C20" s="13">
        <v>1</v>
      </c>
      <c r="D20" s="9"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9"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9"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G20" s="25" t="s">
        <v>31</v>
      </c>
      <c r="H20" s="25" t="s">
        <v>31</v>
      </c>
      <c r="I20" s="25" t="s">
        <v>32</v>
      </c>
    </row>
    <row r="21" spans="1:9">
      <c r="A21" s="44" t="s">
        <v>19</v>
      </c>
      <c r="B21" s="43" t="s">
        <v>49</v>
      </c>
      <c r="C21" s="13">
        <v>1</v>
      </c>
      <c r="D21" s="9"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9"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9"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c r="G21" s="25" t="s">
        <v>31</v>
      </c>
      <c r="H21" s="25" t="s">
        <v>32</v>
      </c>
      <c r="I21" s="25" t="s">
        <v>32</v>
      </c>
    </row>
    <row r="22" spans="1:9">
      <c r="A22" s="44" t="s">
        <v>19</v>
      </c>
      <c r="B22" s="43" t="s">
        <v>50</v>
      </c>
      <c r="C22" s="13">
        <v>1</v>
      </c>
      <c r="D22" s="9" t="str">
        <f t="array" aca="1" ref="D22" ca="1">IF(
    VLOOKUP(
        $A22,
        _xlfn._xlws.FILTER(
            INDIRECT("'"&amp;D$1&amp;"'!A2:E1000"), (INDIRECT("'"&amp;D$1&amp;"'!B2:B1000")=$B22) * (INDIRECT("'"&amp;D$1&amp;"'!C2:C1000")=$C22)
        ),
        5,
        FALSE
    )=0,
    "",
    VLOOKUP(
        $A22,
        _xlfn._xlws.FILTER(
            INDIRECT("'"&amp;D$1&amp;"'!A2:E1000"), (INDIRECT("'"&amp;D$1&amp;"'!B2:B1000")=$B22) * (INDIRECT("'"&amp;D$1&amp;"'!C2:C1000")=$C22)
        ),
        5,
        FALSE
    )
)</f>
        <v>Atrasado</v>
      </c>
      <c r="E22" s="9" t="str">
        <f t="array" aca="1" ref="E22" ca="1">IF(
    VLOOKUP(
        $A22,
        _xlfn._xlws.FILTER(
            INDIRECT("'"&amp;E$1&amp;"'!A2:E1000"), (INDIRECT("'"&amp;E$1&amp;"'!B2:B1000")=$B22) * (INDIRECT("'"&amp;E$1&amp;"'!C2:C1000")=$C22)
        ),
        5,
        FALSE
    )=0,
    "",
    VLOOKUP(
        $A22,
        _xlfn._xlws.FILTER(
            INDIRECT("'"&amp;E$1&amp;"'!A2:E1000"), (INDIRECT("'"&amp;E$1&amp;"'!B2:B1000")=$B22) * (INDIRECT("'"&amp;E$1&amp;"'!C2:C1000")=$C22)
        ),
        5,
        FALSE
    )
)</f>
        <v>Atrasado</v>
      </c>
      <c r="F22" s="9" t="str">
        <f t="array" aca="1" ref="F22" ca="1">IF(
    VLOOKUP(
        $A22,
        _xlfn._xlws.FILTER(
            INDIRECT("'"&amp;F$1&amp;"'!A2:E1000"), (INDIRECT("'"&amp;F$1&amp;"'!B2:B1000")=$B22) * (INDIRECT("'"&amp;F$1&amp;"'!C2:C1000")=$C22)
        ),
        5,
        FALSE
    )=0,
    "",
    VLOOKUP(
        $A22,
        _xlfn._xlws.FILTER(
            INDIRECT("'"&amp;F$1&amp;"'!A2:E1000"), (INDIRECT("'"&amp;F$1&amp;"'!B2:B1000")=$B22) * (INDIRECT("'"&amp;F$1&amp;"'!C2:C1000")=$C22)
        ),
        5,
        FALSE
    )
)</f>
        <v>Atrasado</v>
      </c>
      <c r="G22" s="25" t="s">
        <v>32</v>
      </c>
      <c r="H22" s="25" t="s">
        <v>32</v>
      </c>
      <c r="I22" s="25" t="s">
        <v>32</v>
      </c>
    </row>
    <row r="24" spans="1:9" ht="15.75" customHeight="1">
      <c r="A24" s="7" t="s">
        <v>14</v>
      </c>
      <c r="B24" s="7" t="s">
        <v>23</v>
      </c>
      <c r="C24" s="7" t="s">
        <v>24</v>
      </c>
      <c r="D24" s="7" t="s">
        <v>15</v>
      </c>
      <c r="E24" s="7" t="s">
        <v>16</v>
      </c>
      <c r="F24" s="8" t="s">
        <v>17</v>
      </c>
      <c r="G24" s="41" t="s">
        <v>25</v>
      </c>
      <c r="H24" s="41" t="s">
        <v>26</v>
      </c>
      <c r="I24" s="41" t="s">
        <v>27</v>
      </c>
    </row>
    <row r="25" spans="1:9">
      <c r="A25" s="45" t="s">
        <v>20</v>
      </c>
      <c r="B25" s="43" t="s">
        <v>51</v>
      </c>
      <c r="C25" s="13">
        <v>1</v>
      </c>
      <c r="D25" s="9"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9"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9" t="str">
        <f t="array" aca="1" ref="F25" ca="1">IF(
    VLOOKUP(
        $A25,
        _xlfn._xlws.FILTER(
            INDIRECT("'"&amp;F$1&amp;"'!A2:E1000"), (INDIRECT("'"&amp;F$1&amp;"'!B2:B1000")=$B25) * (INDIRECT("'"&amp;F$1&amp;"'!C2:C1000")=$C25)
        ),
        5,
        FALSE
    )=0,
    "",
    VLOOKUP(
        $A25,
        _xlfn._xlws.FILTER(
            INDIRECT("'"&amp;F$1&amp;"'!A2:E1000"), (INDIRECT("'"&amp;F$1&amp;"'!B2:B1000")=$B25) * (INDIRECT("'"&amp;F$1&amp;"'!C2:C1000")=$C25)
        ),
        5,
        FALSE
    )
)</f>
        <v>Duplicado</v>
      </c>
      <c r="G25" s="25" t="s">
        <v>31</v>
      </c>
      <c r="H25" s="25" t="s">
        <v>32</v>
      </c>
      <c r="I25" s="25" t="s">
        <v>33</v>
      </c>
    </row>
    <row r="26" spans="1:9">
      <c r="A26" s="45" t="s">
        <v>20</v>
      </c>
      <c r="B26" s="43" t="s">
        <v>52</v>
      </c>
      <c r="C26" s="13">
        <v>1</v>
      </c>
      <c r="D26" s="9" t="str">
        <f t="array" aca="1" ref="D26" ca="1">IF(
    VLOOKUP(
        $A26,
        _xlfn._xlws.FILTER(
            INDIRECT("'"&amp;D$1&amp;"'!A2:E1000"), (INDIRECT("'"&amp;D$1&amp;"'!B2:B1000")=$B26) * (INDIRECT("'"&amp;D$1&amp;"'!C2:C1000")=$C26)
        ),
        5,
        FALSE
    )=0,
    "",
    VLOOKUP(
        $A26,
        _xlfn._xlws.FILTER(
            INDIRECT("'"&amp;D$1&amp;"'!A2:E1000"), (INDIRECT("'"&amp;D$1&amp;"'!B2:B1000")=$B26) * (INDIRECT("'"&amp;D$1&amp;"'!C2:C1000")=$C26)
        ),
        5,
        FALSE
    )
)</f>
        <v>Enviado</v>
      </c>
      <c r="E26" s="9"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9"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G26" s="25" t="s">
        <v>31</v>
      </c>
      <c r="H26" s="25" t="s">
        <v>31</v>
      </c>
      <c r="I26" s="25" t="s">
        <v>5</v>
      </c>
    </row>
    <row r="27" spans="1:9">
      <c r="A27" s="45" t="s">
        <v>20</v>
      </c>
      <c r="B27" s="43" t="s">
        <v>53</v>
      </c>
      <c r="C27" s="13">
        <v>1</v>
      </c>
      <c r="D27" s="9"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9"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9"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G27" s="25" t="s">
        <v>31</v>
      </c>
      <c r="H27" s="25" t="s">
        <v>31</v>
      </c>
      <c r="I27" s="25" t="s">
        <v>33</v>
      </c>
    </row>
    <row r="28" spans="1:9" ht="14.25" customHeight="1">
      <c r="A28" s="45" t="s">
        <v>20</v>
      </c>
      <c r="B28" s="43" t="s">
        <v>54</v>
      </c>
      <c r="C28" s="13">
        <v>1</v>
      </c>
      <c r="D28" s="9"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9"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9"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G28" s="25" t="s">
        <v>31</v>
      </c>
      <c r="H28" s="25" t="s">
        <v>31</v>
      </c>
      <c r="I28" s="25" t="s">
        <v>31</v>
      </c>
    </row>
    <row r="29" spans="1:9">
      <c r="A29" s="45" t="s">
        <v>20</v>
      </c>
      <c r="B29" s="43" t="s">
        <v>55</v>
      </c>
      <c r="C29" s="13">
        <v>1</v>
      </c>
      <c r="D29" s="9"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9"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9"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c r="G29" s="25" t="s">
        <v>31</v>
      </c>
      <c r="H29" s="25" t="s">
        <v>31</v>
      </c>
      <c r="I29" s="25" t="s">
        <v>31</v>
      </c>
    </row>
    <row r="30" spans="1:9">
      <c r="A30" s="45" t="s">
        <v>20</v>
      </c>
      <c r="B30" s="43" t="s">
        <v>56</v>
      </c>
      <c r="C30" s="13">
        <v>1</v>
      </c>
      <c r="D30" s="9"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9"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9"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c r="G30" s="25" t="s">
        <v>32</v>
      </c>
      <c r="H30" s="25" t="s">
        <v>32</v>
      </c>
      <c r="I30" s="25" t="s">
        <v>33</v>
      </c>
    </row>
    <row r="31" spans="1:9">
      <c r="A31" s="45" t="s">
        <v>20</v>
      </c>
      <c r="B31" s="43" t="s">
        <v>57</v>
      </c>
      <c r="C31" s="13">
        <v>1</v>
      </c>
      <c r="D31" s="9"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25" t="str">
        <f t="array" aca="1" ref="E31" ca="1">IF(
    VLOOKUP(
        $A31,
        _xlfn._xlws.FILTER(
            INDIRECT("'"&amp;E$1&amp;"'!A2:E1000"), (INDIRECT("'"&amp;E$1&amp;"'!B2:B1000")=$B31) * (INDIRECT("'"&amp;E$1&amp;"'!C2:C1000")=$C31)
        ),
        5,
        FALSE
    )=0,
    "",
    VLOOKUP(
        $A31,
        _xlfn._xlws.FILTER(
            INDIRECT("'"&amp;E$1&amp;"'!A2:E1000"), (INDIRECT("'"&amp;E$1&amp;"'!B2:B1000")=$B31) * (INDIRECT("'"&amp;E$1&amp;"'!C2:C1000")=$C31)
        ),
        5,
        FALSE
    )
)</f>
        <v>Outras Ocorrências</v>
      </c>
      <c r="F31" s="25" t="str">
        <f t="array" aca="1" ref="F31" ca="1">IF(
    VLOOKUP(
        $A31,
        _xlfn._xlws.FILTER(
            INDIRECT("'"&amp;F$1&amp;"'!A2:E1000"), (INDIRECT("'"&amp;F$1&amp;"'!B2:B1000")=$B31) * (INDIRECT("'"&amp;F$1&amp;"'!C2:C1000")=$C31)
        ),
        5,
        FALSE
    )=0,
    "",
    VLOOKUP(
        $A31,
        _xlfn._xlws.FILTER(
            INDIRECT("'"&amp;F$1&amp;"'!A2:E1000"), (INDIRECT("'"&amp;F$1&amp;"'!B2:B1000")=$B31) * (INDIRECT("'"&amp;F$1&amp;"'!C2:C1000")=$C31)
        ),
        5,
        FALSE
    )
)</f>
        <v>Outras Ocorrências</v>
      </c>
      <c r="G31" s="25" t="s">
        <v>29</v>
      </c>
      <c r="H31" s="25" t="s">
        <v>29</v>
      </c>
      <c r="I31" s="25" t="s">
        <v>29</v>
      </c>
    </row>
    <row r="32" spans="1:9">
      <c r="A32" s="45" t="s">
        <v>20</v>
      </c>
      <c r="B32" s="43" t="s">
        <v>58</v>
      </c>
      <c r="C32" s="13">
        <v>1</v>
      </c>
      <c r="D32" s="9"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9"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9"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c r="G32" s="25" t="s">
        <v>31</v>
      </c>
      <c r="H32" s="25" t="s">
        <v>31</v>
      </c>
      <c r="I32" s="25" t="s">
        <v>33</v>
      </c>
    </row>
    <row r="33" spans="1:9">
      <c r="A33" s="45" t="s">
        <v>20</v>
      </c>
      <c r="B33" s="43" t="s">
        <v>59</v>
      </c>
      <c r="C33" s="13">
        <v>1</v>
      </c>
      <c r="D33" s="9"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9" t="str">
        <f t="array" aca="1" ref="E33" ca="1">IF(
    VLOOKUP(
        $A33,
        _xlfn._xlws.FILTER(
            INDIRECT("'"&amp;E$1&amp;"'!A2:E1000"), (INDIRECT("'"&amp;E$1&amp;"'!B2:B1000")=$B33) * (INDIRECT("'"&amp;E$1&amp;"'!C2:C1000")=$C33)
        ),
        5,
        FALSE
    )=0,
    "",
    VLOOKUP(
        $A33,
        _xlfn._xlws.FILTER(
            INDIRECT("'"&amp;E$1&amp;"'!A2:E1000"), (INDIRECT("'"&amp;E$1&amp;"'!B2:B1000")=$B33) * (INDIRECT("'"&amp;E$1&amp;"'!C2:C1000")=$C33)
        ),
        5,
        FALSE
    )
)</f>
        <v>Enviado</v>
      </c>
      <c r="F33" s="9"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c r="G33" s="25" t="s">
        <v>31</v>
      </c>
      <c r="H33" s="25" t="s">
        <v>31</v>
      </c>
      <c r="I33" s="25" t="s">
        <v>31</v>
      </c>
    </row>
    <row r="34" spans="1:9">
      <c r="A34" s="45" t="s">
        <v>20</v>
      </c>
      <c r="B34" s="43" t="s">
        <v>60</v>
      </c>
      <c r="C34" s="13">
        <v>1</v>
      </c>
      <c r="D34" s="9"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9"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9"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c r="G34" s="25" t="s">
        <v>31</v>
      </c>
      <c r="H34" s="25" t="s">
        <v>31</v>
      </c>
      <c r="I34" s="25" t="s">
        <v>31</v>
      </c>
    </row>
    <row r="36" spans="1:9" ht="15.75" customHeight="1">
      <c r="A36" s="7" t="s">
        <v>14</v>
      </c>
      <c r="B36" s="7" t="s">
        <v>23</v>
      </c>
      <c r="C36" s="7" t="s">
        <v>24</v>
      </c>
      <c r="D36" s="7" t="s">
        <v>15</v>
      </c>
      <c r="E36" s="7" t="s">
        <v>16</v>
      </c>
      <c r="F36" s="7" t="s">
        <v>17</v>
      </c>
      <c r="G36" s="41" t="s">
        <v>25</v>
      </c>
      <c r="H36" s="41" t="s">
        <v>26</v>
      </c>
      <c r="I36" s="41" t="s">
        <v>27</v>
      </c>
    </row>
    <row r="37" spans="1:9">
      <c r="A37" s="46" t="s">
        <v>21</v>
      </c>
      <c r="B37" s="43" t="s">
        <v>61</v>
      </c>
      <c r="C37" s="13">
        <v>1</v>
      </c>
      <c r="D37" s="9" t="str">
        <f t="array" aca="1" ref="D37" ca="1">IF(
    VLOOKUP(
        $A37,
        _xlfn._xlws.FILTER(
            INDIRECT("'"&amp;D$1&amp;"'!A2:E1000"), (INDIRECT("'"&amp;D$1&amp;"'!B2:B1000")=$B37) * (INDIRECT("'"&amp;D$1&amp;"'!C2:C1000")=$C37)
        ),
        5,
        FALSE
    )=0,
    "",
    VLOOKUP(
        $A37,
        _xlfn._xlws.FILTER(
            INDIRECT("'"&amp;D$1&amp;"'!A2:E1000"), (INDIRECT("'"&amp;D$1&amp;"'!B2:B1000")=$B37) * (INDIRECT("'"&amp;D$1&amp;"'!C2:C1000")=$C37)
        ),
        5,
        FALSE
    )
)</f>
        <v>Sem Técnico</v>
      </c>
      <c r="E37" s="9" t="str">
        <f t="array" aca="1" ref="E37" ca="1">IF(
    VLOOKUP(
        $A37,
        _xlfn._xlws.FILTER(
            INDIRECT("'"&amp;E$1&amp;"'!A2:E1000"), (INDIRECT("'"&amp;E$1&amp;"'!B2:B1000")=$B37) * (INDIRECT("'"&amp;E$1&amp;"'!C2:C1000")=$C37)
        ),
        5,
        FALSE
    )=0,
    "",
    VLOOKUP(
        $A37,
        _xlfn._xlws.FILTER(
            INDIRECT("'"&amp;E$1&amp;"'!A2:E1000"), (INDIRECT("'"&amp;E$1&amp;"'!B2:B1000")=$B37) * (INDIRECT("'"&amp;E$1&amp;"'!C2:C1000")=$C37)
        ),
        5,
        FALSE
    )
)</f>
        <v>Sem Técnico</v>
      </c>
      <c r="F37" s="9" t="str">
        <f t="array" aca="1" ref="F37" ca="1">IF(
    VLOOKUP(
        $A37,
        _xlfn._xlws.FILTER(
            INDIRECT("'"&amp;F$1&amp;"'!A2:E1000"), (INDIRECT("'"&amp;F$1&amp;"'!B2:B1000")=$B37) * (INDIRECT("'"&amp;F$1&amp;"'!C2:C1000")=$C37)
        ),
        5,
        FALSE
    )=0,
    "",
    VLOOKUP(
        $A37,
        _xlfn._xlws.FILTER(
            INDIRECT("'"&amp;F$1&amp;"'!A2:E1000"), (INDIRECT("'"&amp;F$1&amp;"'!B2:B1000")=$B37) * (INDIRECT("'"&amp;F$1&amp;"'!C2:C1000")=$C37)
        ),
        5,
        FALSE
    )
)</f>
        <v>Sem Técnico</v>
      </c>
      <c r="G37" s="25" t="s">
        <v>4</v>
      </c>
      <c r="H37" s="25" t="s">
        <v>4</v>
      </c>
      <c r="I37" s="25" t="s">
        <v>4</v>
      </c>
    </row>
    <row r="38" spans="1:9">
      <c r="A38" s="46" t="s">
        <v>21</v>
      </c>
      <c r="B38" s="43" t="s">
        <v>62</v>
      </c>
      <c r="C38" s="13">
        <v>1</v>
      </c>
      <c r="D38" s="9" t="str">
        <f t="array" aca="1" ref="D38" ca="1">IF(
    VLOOKUP(
        $A38,
        _xlfn._xlws.FILTER(
            INDIRECT("'"&amp;D$1&amp;"'!A2:E1000"), (INDIRECT("'"&amp;D$1&amp;"'!B2:B1000")=$B38) * (INDIRECT("'"&amp;D$1&amp;"'!C2:C1000")=$C38)
        ),
        5,
        FALSE
    )=0,
    "",
    VLOOKUP(
        $A38,
        _xlfn._xlws.FILTER(
            INDIRECT("'"&amp;D$1&amp;"'!A2:E1000"), (INDIRECT("'"&amp;D$1&amp;"'!B2:B1000")=$B38) * (INDIRECT("'"&amp;D$1&amp;"'!C2:C1000")=$C38)
        ),
        5,
        FALSE
    )
)</f>
        <v>Sem Técnico</v>
      </c>
      <c r="E38" s="9" t="str">
        <f t="array" aca="1" ref="E38" ca="1">IF(
    VLOOKUP(
        $A38,
        _xlfn._xlws.FILTER(
            INDIRECT("'"&amp;E$1&amp;"'!A2:E1000"), (INDIRECT("'"&amp;E$1&amp;"'!B2:B1000")=$B38) * (INDIRECT("'"&amp;E$1&amp;"'!C2:C1000")=$C38)
        ),
        5,
        FALSE
    )=0,
    "",
    VLOOKUP(
        $A38,
        _xlfn._xlws.FILTER(
            INDIRECT("'"&amp;E$1&amp;"'!A2:E1000"), (INDIRECT("'"&amp;E$1&amp;"'!B2:B1000")=$B38) * (INDIRECT("'"&amp;E$1&amp;"'!C2:C1000")=$C38)
        ),
        5,
        FALSE
    )
)</f>
        <v>Sem Técnico</v>
      </c>
      <c r="F38" s="9" t="str">
        <f t="array" aca="1" ref="F38" ca="1">IF(
    VLOOKUP(
        $A38,
        _xlfn._xlws.FILTER(
            INDIRECT("'"&amp;F$1&amp;"'!A2:E1000"), (INDIRECT("'"&amp;F$1&amp;"'!B2:B1000")=$B38) * (INDIRECT("'"&amp;F$1&amp;"'!C2:C1000")=$C38)
        ),
        5,
        FALSE
    )=0,
    "",
    VLOOKUP(
        $A38,
        _xlfn._xlws.FILTER(
            INDIRECT("'"&amp;F$1&amp;"'!A2:E1000"), (INDIRECT("'"&amp;F$1&amp;"'!B2:B1000")=$B38) * (INDIRECT("'"&amp;F$1&amp;"'!C2:C1000")=$C38)
        ),
        5,
        FALSE
    )
)</f>
        <v>Sem Técnico</v>
      </c>
      <c r="G38" s="25" t="s">
        <v>4</v>
      </c>
      <c r="H38" s="25" t="s">
        <v>4</v>
      </c>
      <c r="I38" s="25" t="s">
        <v>4</v>
      </c>
    </row>
    <row r="39" spans="1:9">
      <c r="A39" s="46" t="s">
        <v>21</v>
      </c>
      <c r="B39" s="43" t="s">
        <v>63</v>
      </c>
      <c r="C39" s="13">
        <v>1</v>
      </c>
      <c r="D39" s="9" t="str">
        <f t="array" aca="1" ref="D39" ca="1">IF(
    VLOOKUP(
        $A39,
        _xlfn._xlws.FILTER(
            INDIRECT("'"&amp;D$1&amp;"'!A2:E1000"), (INDIRECT("'"&amp;D$1&amp;"'!B2:B1000")=$B39) * (INDIRECT("'"&amp;D$1&amp;"'!C2:C1000")=$C39)
        ),
        5,
        FALSE
    )=0,
    "",
    VLOOKUP(
        $A39,
        _xlfn._xlws.FILTER(
            INDIRECT("'"&amp;D$1&amp;"'!A2:E1000"), (INDIRECT("'"&amp;D$1&amp;"'!B2:B1000")=$B39) * (INDIRECT("'"&amp;D$1&amp;"'!C2:C1000")=$C39)
        ),
        5,
        FALSE
    )
)</f>
        <v>Sem Técnico</v>
      </c>
      <c r="E39" s="9"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9" t="str">
        <f t="array" aca="1" ref="F39" ca="1">IF(
    VLOOKUP(
        $A39,
        _xlfn._xlws.FILTER(
            INDIRECT("'"&amp;F$1&amp;"'!A2:E1000"), (INDIRECT("'"&amp;F$1&amp;"'!B2:B1000")=$B39) * (INDIRECT("'"&amp;F$1&amp;"'!C2:C1000")=$C39)
        ),
        5,
        FALSE
    )=0,
    "",
    VLOOKUP(
        $A39,
        _xlfn._xlws.FILTER(
            INDIRECT("'"&amp;F$1&amp;"'!A2:E1000"), (INDIRECT("'"&amp;F$1&amp;"'!B2:B1000")=$B39) * (INDIRECT("'"&amp;F$1&amp;"'!C2:C1000")=$C39)
        ),
        5,
        FALSE
    )
)</f>
        <v>Sem Técnico</v>
      </c>
      <c r="G39" s="25" t="s">
        <v>4</v>
      </c>
      <c r="H39" s="25" t="s">
        <v>4</v>
      </c>
      <c r="I39" s="25" t="s">
        <v>4</v>
      </c>
    </row>
    <row r="40" spans="1:9">
      <c r="A40" s="46" t="s">
        <v>21</v>
      </c>
      <c r="B40" s="43" t="s">
        <v>64</v>
      </c>
      <c r="C40" s="13">
        <v>1</v>
      </c>
      <c r="D40" s="9" t="str">
        <f t="array" aca="1" ref="D40" ca="1">IF(
    VLOOKUP(
        $A40,
        _xlfn._xlws.FILTER(
            INDIRECT("'"&amp;D$1&amp;"'!A2:E1000"), (INDIRECT("'"&amp;D$1&amp;"'!B2:B1000")=$B40) * (INDIRECT("'"&amp;D$1&amp;"'!C2:C1000")=$C40)
        ),
        5,
        FALSE
    )=0,
    "",
    VLOOKUP(
        $A40,
        _xlfn._xlws.FILTER(
            INDIRECT("'"&amp;D$1&amp;"'!A2:E1000"), (INDIRECT("'"&amp;D$1&amp;"'!B2:B1000")=$B40) * (INDIRECT("'"&amp;D$1&amp;"'!C2:C1000")=$C40)
        ),
        5,
        FALSE
    )
)</f>
        <v>Sem Técnico</v>
      </c>
      <c r="E40" s="9"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9" t="str">
        <f t="array" aca="1" ref="F40" ca="1">IF(
    VLOOKUP(
        $A40,
        _xlfn._xlws.FILTER(
            INDIRECT("'"&amp;F$1&amp;"'!A2:E1000"), (INDIRECT("'"&amp;F$1&amp;"'!B2:B1000")=$B40) * (INDIRECT("'"&amp;F$1&amp;"'!C2:C1000")=$C40)
        ),
        5,
        FALSE
    )=0,
    "",
    VLOOKUP(
        $A40,
        _xlfn._xlws.FILTER(
            INDIRECT("'"&amp;F$1&amp;"'!A2:E1000"), (INDIRECT("'"&amp;F$1&amp;"'!B2:B1000")=$B40) * (INDIRECT("'"&amp;F$1&amp;"'!C2:C1000")=$C40)
        ),
        5,
        FALSE
    )
)</f>
        <v>Sem Técnico</v>
      </c>
      <c r="G40" s="25" t="s">
        <v>4</v>
      </c>
      <c r="H40" s="25" t="s">
        <v>4</v>
      </c>
      <c r="I40" s="25" t="s">
        <v>4</v>
      </c>
    </row>
    <row r="42" spans="1:9" ht="15.75" customHeight="1">
      <c r="A42" s="7" t="s">
        <v>14</v>
      </c>
      <c r="B42" s="7" t="s">
        <v>23</v>
      </c>
      <c r="C42" s="7" t="s">
        <v>24</v>
      </c>
      <c r="D42" s="7" t="s">
        <v>15</v>
      </c>
      <c r="E42" s="7" t="s">
        <v>16</v>
      </c>
      <c r="F42" s="8" t="s">
        <v>17</v>
      </c>
      <c r="G42" s="41" t="s">
        <v>25</v>
      </c>
      <c r="H42" s="41" t="s">
        <v>26</v>
      </c>
      <c r="I42" s="41" t="s">
        <v>27</v>
      </c>
    </row>
    <row r="43" spans="1:9">
      <c r="A43" s="47" t="s">
        <v>22</v>
      </c>
      <c r="B43" s="43" t="s">
        <v>65</v>
      </c>
      <c r="C43" s="13">
        <v>1</v>
      </c>
      <c r="D43" s="9"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9"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9"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c r="G43" s="25" t="s">
        <v>31</v>
      </c>
      <c r="H43" s="25" t="s">
        <v>32</v>
      </c>
      <c r="I43" s="25" t="s">
        <v>33</v>
      </c>
    </row>
    <row r="44" spans="1:9">
      <c r="A44" s="47" t="s">
        <v>22</v>
      </c>
      <c r="B44" s="43" t="s">
        <v>66</v>
      </c>
      <c r="C44" s="13">
        <v>1</v>
      </c>
      <c r="D44" s="9" t="str">
        <f t="array" aca="1" ref="D44" ca="1">IF(
    VLOOKUP(
        $A44,
        _xlfn._xlws.FILTER(
            INDIRECT("'"&amp;D$1&amp;"'!A2:E1000"), (INDIRECT("'"&amp;D$1&amp;"'!B2:B1000")=$B44) * (INDIRECT("'"&amp;D$1&amp;"'!C2:C1000")=$C44)
        ),
        5,
        FALSE
    )=0,
    "",
    VLOOKUP(
        $A44,
        _xlfn._xlws.FILTER(
            INDIRECT("'"&amp;D$1&amp;"'!A2:E1000"), (INDIRECT("'"&amp;D$1&amp;"'!B2:B1000")=$B44) * (INDIRECT("'"&amp;D$1&amp;"'!C2:C1000")=$C44)
        ),
        5,
        FALSE
    )
)</f>
        <v>Atrasado</v>
      </c>
      <c r="E44" s="9" t="str">
        <f t="array" aca="1" ref="E44" ca="1">IF(
    VLOOKUP(
        $A44,
        _xlfn._xlws.FILTER(
            INDIRECT("'"&amp;E$1&amp;"'!A2:E1000"), (INDIRECT("'"&amp;E$1&amp;"'!B2:B1000")=$B44) * (INDIRECT("'"&amp;E$1&amp;"'!C2:C1000")=$C44)
        ),
        5,
        FALSE
    )=0,
    "",
    VLOOKUP(
        $A44,
        _xlfn._xlws.FILTER(
            INDIRECT("'"&amp;E$1&amp;"'!A2:E1000"), (INDIRECT("'"&amp;E$1&amp;"'!B2:B1000")=$B44) * (INDIRECT("'"&amp;E$1&amp;"'!C2:C1000")=$C44)
        ),
        5,
        FALSE
    )
)</f>
        <v>Atrasado</v>
      </c>
      <c r="F44" s="9" t="str">
        <f t="array" aca="1" ref="F44" ca="1">IF(
    VLOOKUP(
        $A44,
        _xlfn._xlws.FILTER(
            INDIRECT("'"&amp;F$1&amp;"'!A2:E1000"), (INDIRECT("'"&amp;F$1&amp;"'!B2:B1000")=$B44) * (INDIRECT("'"&amp;F$1&amp;"'!C2:C1000")=$C44)
        ),
        5,
        FALSE
    )=0,
    "",
    VLOOKUP(
        $A44,
        _xlfn._xlws.FILTER(
            INDIRECT("'"&amp;F$1&amp;"'!A2:E1000"), (INDIRECT("'"&amp;F$1&amp;"'!B2:B1000")=$B44) * (INDIRECT("'"&amp;F$1&amp;"'!C2:C1000")=$C44)
        ),
        5,
        FALSE
    )
)</f>
        <v>Atrasado</v>
      </c>
      <c r="G44" s="25" t="s">
        <v>32</v>
      </c>
      <c r="H44" s="25" t="s">
        <v>32</v>
      </c>
      <c r="I44" s="25" t="s">
        <v>33</v>
      </c>
    </row>
    <row r="45" spans="1:9">
      <c r="A45" s="47" t="s">
        <v>22</v>
      </c>
      <c r="B45" s="43" t="s">
        <v>67</v>
      </c>
      <c r="C45" s="13">
        <v>1</v>
      </c>
      <c r="D45" s="9"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9"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9"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c r="G45" s="25" t="s">
        <v>31</v>
      </c>
      <c r="H45" s="25" t="s">
        <v>31</v>
      </c>
      <c r="I45" s="25" t="s">
        <v>33</v>
      </c>
    </row>
    <row r="46" spans="1:9">
      <c r="A46" s="47" t="s">
        <v>22</v>
      </c>
      <c r="B46" s="43" t="s">
        <v>68</v>
      </c>
      <c r="C46" s="13">
        <v>1</v>
      </c>
      <c r="D46" s="9" t="str">
        <f t="array" aca="1" ref="D46" ca="1">IF(
    VLOOKUP(
        $A46,
        _xlfn._xlws.FILTER(
            INDIRECT("'"&amp;D$1&amp;"'!A2:E1000"), (INDIRECT("'"&amp;D$1&amp;"'!B2:B1000")=$B46) * (INDIRECT("'"&amp;D$1&amp;"'!C2:C1000")=$C46)
        ),
        5,
        FALSE
    )=0,
    "",
    VLOOKUP(
        $A46,
        _xlfn._xlws.FILTER(
            INDIRECT("'"&amp;D$1&amp;"'!A2:E1000"), (INDIRECT("'"&amp;D$1&amp;"'!B2:B1000")=$B46) * (INDIRECT("'"&amp;D$1&amp;"'!C2:C1000")=$C46)
        ),
        5,
        FALSE
    )
)</f>
        <v>Atrasado</v>
      </c>
      <c r="E46" s="9" t="str">
        <f t="array" aca="1" ref="E46" ca="1">IF(
    VLOOKUP(
        $A46,
        _xlfn._xlws.FILTER(
            INDIRECT("'"&amp;E$1&amp;"'!A2:E1000"), (INDIRECT("'"&amp;E$1&amp;"'!B2:B1000")=$B46) * (INDIRECT("'"&amp;E$1&amp;"'!C2:C1000")=$C46)
        ),
        5,
        FALSE
    )=0,
    "",
    VLOOKUP(
        $A46,
        _xlfn._xlws.FILTER(
            INDIRECT("'"&amp;E$1&amp;"'!A2:E1000"), (INDIRECT("'"&amp;E$1&amp;"'!B2:B1000")=$B46) * (INDIRECT("'"&amp;E$1&amp;"'!C2:C1000")=$C46)
        ),
        5,
        FALSE
    )
)</f>
        <v>Atrasado</v>
      </c>
      <c r="F46" s="9" t="str">
        <f t="array" aca="1" ref="F46" ca="1">IF(
    VLOOKUP(
        $A46,
        _xlfn._xlws.FILTER(
            INDIRECT("'"&amp;F$1&amp;"'!A2:E1000"), (INDIRECT("'"&amp;F$1&amp;"'!B2:B1000")=$B46) * (INDIRECT("'"&amp;F$1&amp;"'!C2:C1000")=$C46)
        ),
        5,
        FALSE
    )=0,
    "",
    VLOOKUP(
        $A46,
        _xlfn._xlws.FILTER(
            INDIRECT("'"&amp;F$1&amp;"'!A2:E1000"), (INDIRECT("'"&amp;F$1&amp;"'!B2:B1000")=$B46) * (INDIRECT("'"&amp;F$1&amp;"'!C2:C1000")=$C46)
        ),
        5,
        FALSE
    )
)</f>
        <v>Atrasado</v>
      </c>
      <c r="G46" s="25" t="s">
        <v>32</v>
      </c>
      <c r="H46" s="25" t="s">
        <v>32</v>
      </c>
      <c r="I46" s="25" t="s">
        <v>33</v>
      </c>
    </row>
    <row r="47" spans="1:9">
      <c r="A47" s="47" t="s">
        <v>22</v>
      </c>
      <c r="B47" s="43" t="s">
        <v>69</v>
      </c>
      <c r="C47" s="13">
        <v>1</v>
      </c>
      <c r="D47" s="9"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9"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9"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c r="G47" s="25" t="s">
        <v>31</v>
      </c>
      <c r="H47" s="25" t="s">
        <v>31</v>
      </c>
      <c r="I47" s="25" t="s">
        <v>31</v>
      </c>
    </row>
    <row r="48" spans="1:9">
      <c r="A48" s="47" t="s">
        <v>22</v>
      </c>
      <c r="B48" s="43" t="s">
        <v>70</v>
      </c>
      <c r="C48" s="13">
        <v>1</v>
      </c>
      <c r="D48" s="9" t="str">
        <f t="array" aca="1" ref="D48" ca="1">IF(
    VLOOKUP(
        $A48,
        _xlfn._xlws.FILTER(
            INDIRECT("'"&amp;D$1&amp;"'!A2:E1000"), (INDIRECT("'"&amp;D$1&amp;"'!B2:B1000")=$B48) * (INDIRECT("'"&amp;D$1&amp;"'!C2:C1000")=$C48)
        ),
        5,
        FALSE
    )=0,
    "",
    VLOOKUP(
        $A48,
        _xlfn._xlws.FILTER(
            INDIRECT("'"&amp;D$1&amp;"'!A2:E1000"), (INDIRECT("'"&amp;D$1&amp;"'!B2:B1000")=$B48) * (INDIRECT("'"&amp;D$1&amp;"'!C2:C1000")=$C48)
        ),
        5,
        FALSE
    )
)</f>
        <v>Enviado</v>
      </c>
      <c r="E48" s="9" t="str">
        <f t="array" aca="1" ref="E48" ca="1">IF(
    VLOOKUP(
        $A48,
        _xlfn._xlws.FILTER(
            INDIRECT("'"&amp;E$1&amp;"'!A2:E1000"), (INDIRECT("'"&amp;E$1&amp;"'!B2:B1000")=$B48) * (INDIRECT("'"&amp;E$1&amp;"'!C2:C1000")=$C48)
        ),
        5,
        FALSE
    )=0,
    "",
    VLOOKUP(
        $A48,
        _xlfn._xlws.FILTER(
            INDIRECT("'"&amp;E$1&amp;"'!A2:E1000"), (INDIRECT("'"&amp;E$1&amp;"'!B2:B1000")=$B48) * (INDIRECT("'"&amp;E$1&amp;"'!C2:C1000")=$C48)
        ),
        5,
        FALSE
    )
)</f>
        <v>Atrasado</v>
      </c>
      <c r="F48" s="9" t="str">
        <f t="array" aca="1" ref="F48" ca="1">IF(
    VLOOKUP(
        $A48,
        _xlfn._xlws.FILTER(
            INDIRECT("'"&amp;F$1&amp;"'!A2:E1000"), (INDIRECT("'"&amp;F$1&amp;"'!B2:B1000")=$B48) * (INDIRECT("'"&amp;F$1&amp;"'!C2:C1000")=$C48)
        ),
        5,
        FALSE
    )=0,
    "",
    VLOOKUP(
        $A48,
        _xlfn._xlws.FILTER(
            INDIRECT("'"&amp;F$1&amp;"'!A2:E1000"), (INDIRECT("'"&amp;F$1&amp;"'!B2:B1000")=$B48) * (INDIRECT("'"&amp;F$1&amp;"'!C2:C1000")=$C48)
        ),
        5,
        FALSE
    )
)</f>
        <v>Atrasado</v>
      </c>
      <c r="G48" s="25" t="s">
        <v>32</v>
      </c>
      <c r="H48" s="25" t="s">
        <v>32</v>
      </c>
      <c r="I48" s="25" t="s">
        <v>33</v>
      </c>
    </row>
    <row r="49" spans="1:9">
      <c r="A49" s="47" t="s">
        <v>22</v>
      </c>
      <c r="B49" s="43" t="s">
        <v>71</v>
      </c>
      <c r="C49" s="13">
        <v>1</v>
      </c>
      <c r="D49" s="9" t="str">
        <f t="array" aca="1" ref="D49" ca="1">IF(
    VLOOKUP(
        $A49,
        _xlfn._xlws.FILTER(
            INDIRECT("'"&amp;D$1&amp;"'!A2:E1000"), (INDIRECT("'"&amp;D$1&amp;"'!B2:B1000")=$B49) * (INDIRECT("'"&amp;D$1&amp;"'!C2:C1000")=$C49)
        ),
        5,
        FALSE
    )=0,
    "",
    VLOOKUP(
        $A49,
        _xlfn._xlws.FILTER(
            INDIRECT("'"&amp;D$1&amp;"'!A2:E1000"), (INDIRECT("'"&amp;D$1&amp;"'!B2:B1000")=$B49) * (INDIRECT("'"&amp;D$1&amp;"'!C2:C1000")=$C49)
        ),
        5,
        FALSE
    )
)</f>
        <v>Enviado</v>
      </c>
      <c r="E49" s="9" t="str">
        <f t="array" aca="1" ref="E49" ca="1">IF(
    VLOOKUP(
        $A49,
        _xlfn._xlws.FILTER(
            INDIRECT("'"&amp;E$1&amp;"'!A2:E1000"), (INDIRECT("'"&amp;E$1&amp;"'!B2:B1000")=$B49) * (INDIRECT("'"&amp;E$1&amp;"'!C2:C1000")=$C49)
        ),
        5,
        FALSE
    )=0,
    "",
    VLOOKUP(
        $A49,
        _xlfn._xlws.FILTER(
            INDIRECT("'"&amp;E$1&amp;"'!A2:E1000"), (INDIRECT("'"&amp;E$1&amp;"'!B2:B1000")=$B49) * (INDIRECT("'"&amp;E$1&amp;"'!C2:C1000")=$C49)
        ),
        5,
        FALSE
    )
)</f>
        <v>Enviado</v>
      </c>
      <c r="F49" s="9" t="str">
        <f t="array" aca="1" ref="F49" ca="1">IF(
    VLOOKUP(
        $A49,
        _xlfn._xlws.FILTER(
            INDIRECT("'"&amp;F$1&amp;"'!A2:E1000"), (INDIRECT("'"&amp;F$1&amp;"'!B2:B1000")=$B49) * (INDIRECT("'"&amp;F$1&amp;"'!C2:C1000")=$C49)
        ),
        5,
        FALSE
    )=0,
    "",
    VLOOKUP(
        $A49,
        _xlfn._xlws.FILTER(
            INDIRECT("'"&amp;F$1&amp;"'!A2:E1000"), (INDIRECT("'"&amp;F$1&amp;"'!B2:B1000")=$B49) * (INDIRECT("'"&amp;F$1&amp;"'!C2:C1000")=$C49)
        ),
        5,
        FALSE
    )
)</f>
        <v>Enviado</v>
      </c>
      <c r="G49" s="25" t="s">
        <v>31</v>
      </c>
      <c r="H49" s="25" t="s">
        <v>31</v>
      </c>
      <c r="I49" s="25" t="s">
        <v>33</v>
      </c>
    </row>
    <row r="50" spans="1:9">
      <c r="A50" s="47" t="s">
        <v>22</v>
      </c>
      <c r="B50" s="43" t="s">
        <v>72</v>
      </c>
      <c r="C50" s="13">
        <v>1</v>
      </c>
      <c r="D50" s="9" t="str">
        <f t="array" aca="1" ref="D50" ca="1">IF(
    VLOOKUP(
        $A50,
        _xlfn._xlws.FILTER(
            INDIRECT("'"&amp;D$1&amp;"'!A2:E1000"), (INDIRECT("'"&amp;D$1&amp;"'!B2:B1000")=$B50) * (INDIRECT("'"&amp;D$1&amp;"'!C2:C1000")=$C50)
        ),
        5,
        FALSE
    )=0,
    "",
    VLOOKUP(
        $A50,
        _xlfn._xlws.FILTER(
            INDIRECT("'"&amp;D$1&amp;"'!A2:E1000"), (INDIRECT("'"&amp;D$1&amp;"'!B2:B1000")=$B50) * (INDIRECT("'"&amp;D$1&amp;"'!C2:C1000")=$C50)
        ),
        5,
        FALSE
    )
)</f>
        <v>Enviado</v>
      </c>
      <c r="E50" s="25" t="s">
        <v>29</v>
      </c>
      <c r="F50" s="9"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c r="G50" s="25" t="s">
        <v>32</v>
      </c>
      <c r="H50" s="25" t="s">
        <v>32</v>
      </c>
      <c r="I50" s="25" t="s">
        <v>33</v>
      </c>
    </row>
    <row r="51" spans="1:9">
      <c r="A51" s="47" t="s">
        <v>22</v>
      </c>
      <c r="B51" s="43" t="s">
        <v>73</v>
      </c>
      <c r="C51" s="13">
        <v>1</v>
      </c>
      <c r="D51" s="9" t="str">
        <f t="array" aca="1" ref="D51" ca="1">IF(
    VLOOKUP(
        $A51,
        _xlfn._xlws.FILTER(
            INDIRECT("'"&amp;D$1&amp;"'!A2:E1000"), (INDIRECT("'"&amp;D$1&amp;"'!B2:B1000")=$B51) * (INDIRECT("'"&amp;D$1&amp;"'!C2:C1000")=$C51)
        ),
        5,
        FALSE
    )=0,
    "",
    VLOOKUP(
        $A51,
        _xlfn._xlws.FILTER(
            INDIRECT("'"&amp;D$1&amp;"'!A2:E1000"), (INDIRECT("'"&amp;D$1&amp;"'!B2:B1000")=$B51) * (INDIRECT("'"&amp;D$1&amp;"'!C2:C1000")=$C51)
        ),
        5,
        FALSE
    )
)</f>
        <v>Enviado</v>
      </c>
      <c r="E51" s="9" t="str">
        <f t="array" aca="1" ref="E51" ca="1">IF(
    VLOOKUP(
        $A51,
        _xlfn._xlws.FILTER(
            INDIRECT("'"&amp;E$1&amp;"'!A2:E1000"), (INDIRECT("'"&amp;E$1&amp;"'!B2:B1000")=$B51) * (INDIRECT("'"&amp;E$1&amp;"'!C2:C1000")=$C51)
        ),
        5,
        FALSE
    )=0,
    "",
    VLOOKUP(
        $A51,
        _xlfn._xlws.FILTER(
            INDIRECT("'"&amp;E$1&amp;"'!A2:E1000"), (INDIRECT("'"&amp;E$1&amp;"'!B2:B1000")=$B51) * (INDIRECT("'"&amp;E$1&amp;"'!C2:C1000")=$C51)
        ),
        5,
        FALSE
    )
)</f>
        <v>Enviado</v>
      </c>
      <c r="F51" s="9" t="str">
        <f t="array" aca="1" ref="F51" ca="1">IF(
    VLOOKUP(
        $A51,
        _xlfn._xlws.FILTER(
            INDIRECT("'"&amp;F$1&amp;"'!A2:E1000"), (INDIRECT("'"&amp;F$1&amp;"'!B2:B1000")=$B51) * (INDIRECT("'"&amp;F$1&amp;"'!C2:C1000")=$C51)
        ),
        5,
        FALSE
    )=0,
    "",
    VLOOKUP(
        $A51,
        _xlfn._xlws.FILTER(
            INDIRECT("'"&amp;F$1&amp;"'!A2:E1000"), (INDIRECT("'"&amp;F$1&amp;"'!B2:B1000")=$B51) * (INDIRECT("'"&amp;F$1&amp;"'!C2:C1000")=$C51)
        ),
        5,
        FALSE
    )
)</f>
        <v>Enviado</v>
      </c>
      <c r="G51" s="25" t="s">
        <v>31</v>
      </c>
      <c r="H51" s="25" t="s">
        <v>31</v>
      </c>
      <c r="I51" s="25" t="s">
        <v>33</v>
      </c>
    </row>
    <row r="52" spans="1:9">
      <c r="A52" s="47" t="s">
        <v>22</v>
      </c>
      <c r="B52" s="43" t="s">
        <v>74</v>
      </c>
      <c r="C52" s="13">
        <v>1</v>
      </c>
      <c r="D52" s="9" t="str">
        <f t="array" aca="1" ref="D52" ca="1">IF(
    VLOOKUP(
        $A52,
        _xlfn._xlws.FILTER(
            INDIRECT("'"&amp;D$1&amp;"'!A2:E1000"), (INDIRECT("'"&amp;D$1&amp;"'!B2:B1000")=$B52) * (INDIRECT("'"&amp;D$1&amp;"'!C2:C1000")=$C52)
        ),
        5,
        FALSE
    )=0,
    "",
    VLOOKUP(
        $A52,
        _xlfn._xlws.FILTER(
            INDIRECT("'"&amp;D$1&amp;"'!A2:E1000"), (INDIRECT("'"&amp;D$1&amp;"'!B2:B1000")=$B52) * (INDIRECT("'"&amp;D$1&amp;"'!C2:C1000")=$C52)
        ),
        5,
        FALSE
    )
)</f>
        <v>Enviado</v>
      </c>
      <c r="E52" s="9" t="str">
        <f t="array" aca="1" ref="E52" ca="1">IF(
    VLOOKUP(
        $A52,
        _xlfn._xlws.FILTER(
            INDIRECT("'"&amp;E$1&amp;"'!A2:E1000"), (INDIRECT("'"&amp;E$1&amp;"'!B2:B1000")=$B52) * (INDIRECT("'"&amp;E$1&amp;"'!C2:C1000")=$C52)
        ),
        5,
        FALSE
    )=0,
    "",
    VLOOKUP(
        $A52,
        _xlfn._xlws.FILTER(
            INDIRECT("'"&amp;E$1&amp;"'!A2:E1000"), (INDIRECT("'"&amp;E$1&amp;"'!B2:B1000")=$B52) * (INDIRECT("'"&amp;E$1&amp;"'!C2:C1000")=$C52)
        ),
        5,
        FALSE
    )
)</f>
        <v>Enviado</v>
      </c>
      <c r="F52" s="9" t="str">
        <f t="array" aca="1" ref="F52" ca="1">IF(
    VLOOKUP(
        $A52,
        _xlfn._xlws.FILTER(
            INDIRECT("'"&amp;F$1&amp;"'!A2:E1000"), (INDIRECT("'"&amp;F$1&amp;"'!B2:B1000")=$B52) * (INDIRECT("'"&amp;F$1&amp;"'!C2:C1000")=$C52)
        ),
        5,
        FALSE
    )=0,
    "",
    VLOOKUP(
        $A52,
        _xlfn._xlws.FILTER(
            INDIRECT("'"&amp;F$1&amp;"'!A2:E1000"), (INDIRECT("'"&amp;F$1&amp;"'!B2:B1000")=$B52) * (INDIRECT("'"&amp;F$1&amp;"'!C2:C1000")=$C52)
        ),
        5,
        FALSE
    )
)</f>
        <v>Enviado</v>
      </c>
      <c r="G52" s="25" t="s">
        <v>5</v>
      </c>
      <c r="H52" s="25" t="s">
        <v>31</v>
      </c>
      <c r="I52" s="25" t="s">
        <v>31</v>
      </c>
    </row>
    <row r="53" spans="1:9">
      <c r="A53" s="47" t="s">
        <v>22</v>
      </c>
      <c r="B53" s="43" t="s">
        <v>75</v>
      </c>
      <c r="C53" s="13">
        <v>1</v>
      </c>
      <c r="D53" s="9"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9"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9" t="str">
        <f t="array" aca="1" ref="F53" ca="1">IF(
    VLOOKUP(
        $A53,
        _xlfn._xlws.FILTER(
            INDIRECT("'"&amp;F$1&amp;"'!A2:E1000"), (INDIRECT("'"&amp;F$1&amp;"'!B2:B1000")=$B53) * (INDIRECT("'"&amp;F$1&amp;"'!C2:C1000")=$C53)
        ),
        5,
        FALSE
    )=0,
    "",
    VLOOKUP(
        $A53,
        _xlfn._xlws.FILTER(
            INDIRECT("'"&amp;F$1&amp;"'!A2:E1000"), (INDIRECT("'"&amp;F$1&amp;"'!B2:B1000")=$B53) * (INDIRECT("'"&amp;F$1&amp;"'!C2:C1000")=$C53)
        ),
        5,
        FALSE
    )
)</f>
        <v>Atrasado</v>
      </c>
      <c r="G53" s="25" t="s">
        <v>32</v>
      </c>
      <c r="H53" s="25" t="s">
        <v>32</v>
      </c>
      <c r="I53" s="25" t="s">
        <v>33</v>
      </c>
    </row>
    <row r="54" spans="1:9">
      <c r="A54" s="47" t="s">
        <v>22</v>
      </c>
      <c r="B54" s="43" t="s">
        <v>76</v>
      </c>
      <c r="C54" s="13">
        <v>1</v>
      </c>
      <c r="D54" s="9" t="str">
        <f t="array" aca="1" ref="D54" ca="1">IF(
    VLOOKUP(
        $A54,
        _xlfn._xlws.FILTER(
            INDIRECT("'"&amp;D$1&amp;"'!A2:E1000"), (INDIRECT("'"&amp;D$1&amp;"'!B2:B1000")=$B54) * (INDIRECT("'"&amp;D$1&amp;"'!C2:C1000")=$C54)
        ),
        5,
        FALSE
    )=0,
    "",
    VLOOKUP(
        $A54,
        _xlfn._xlws.FILTER(
            INDIRECT("'"&amp;D$1&amp;"'!A2:E1000"), (INDIRECT("'"&amp;D$1&amp;"'!B2:B1000")=$B54) * (INDIRECT("'"&amp;D$1&amp;"'!C2:C1000")=$C54)
        ),
        5,
        FALSE
    )
)</f>
        <v>Sem Técnico</v>
      </c>
      <c r="E54" s="9" t="str">
        <f t="array" aca="1" ref="E54" ca="1">IF(
    VLOOKUP(
        $A54,
        _xlfn._xlws.FILTER(
            INDIRECT("'"&amp;E$1&amp;"'!A2:E1000"), (INDIRECT("'"&amp;E$1&amp;"'!B2:B1000")=$B54) * (INDIRECT("'"&amp;E$1&amp;"'!C2:C1000")=$C54)
        ),
        5,
        FALSE
    )=0,
    "",
    VLOOKUP(
        $A54,
        _xlfn._xlws.FILTER(
            INDIRECT("'"&amp;E$1&amp;"'!A2:E1000"), (INDIRECT("'"&amp;E$1&amp;"'!B2:B1000")=$B54) * (INDIRECT("'"&amp;E$1&amp;"'!C2:C1000")=$C54)
        ),
        5,
        FALSE
    )
)</f>
        <v>Sem Técnico</v>
      </c>
      <c r="F54" s="9" t="str">
        <f t="array" aca="1" ref="F54" ca="1">IF(
    VLOOKUP(
        $A54,
        _xlfn._xlws.FILTER(
            INDIRECT("'"&amp;F$1&amp;"'!A2:E1000"), (INDIRECT("'"&amp;F$1&amp;"'!B2:B1000")=$B54) * (INDIRECT("'"&amp;F$1&amp;"'!C2:C1000")=$C54)
        ),
        5,
        FALSE
    )=0,
    "",
    VLOOKUP(
        $A54,
        _xlfn._xlws.FILTER(
            INDIRECT("'"&amp;F$1&amp;"'!A2:E1000"), (INDIRECT("'"&amp;F$1&amp;"'!B2:B1000")=$B54) * (INDIRECT("'"&amp;F$1&amp;"'!C2:C1000")=$C54)
        ),
        5,
        FALSE
    )
)</f>
        <v>Sem Técnico</v>
      </c>
      <c r="G54" s="25" t="s">
        <v>4</v>
      </c>
      <c r="H54" s="25" t="s">
        <v>4</v>
      </c>
      <c r="I54" s="25" t="s">
        <v>4</v>
      </c>
    </row>
    <row r="55" spans="1:9">
      <c r="A55" s="47" t="s">
        <v>22</v>
      </c>
      <c r="B55" s="43" t="s">
        <v>77</v>
      </c>
      <c r="C55" s="13">
        <v>1</v>
      </c>
      <c r="D55" s="9"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9" t="str">
        <f t="array" aca="1" ref="E55" ca="1">IF(
    VLOOKUP(
        $A55,
        _xlfn._xlws.FILTER(
            INDIRECT("'"&amp;E$1&amp;"'!A2:E1000"), (INDIRECT("'"&amp;E$1&amp;"'!B2:B1000")=$B55) * (INDIRECT("'"&amp;E$1&amp;"'!C2:C1000")=$C55)
        ),
        5,
        FALSE
    )=0,
    "",
    VLOOKUP(
        $A55,
        _xlfn._xlws.FILTER(
            INDIRECT("'"&amp;E$1&amp;"'!A2:E1000"), (INDIRECT("'"&amp;E$1&amp;"'!B2:B1000")=$B55) * (INDIRECT("'"&amp;E$1&amp;"'!C2:C1000")=$C55)
        ),
        5,
        FALSE
    )
)</f>
        <v>Enviado</v>
      </c>
      <c r="F55" s="9" t="str">
        <f t="array" aca="1" ref="F55" ca="1">IF(
    VLOOKUP(
        $A55,
        _xlfn._xlws.FILTER(
            INDIRECT("'"&amp;F$1&amp;"'!A2:E1000"), (INDIRECT("'"&amp;F$1&amp;"'!B2:B1000")=$B55) * (INDIRECT("'"&amp;F$1&amp;"'!C2:C1000")=$C55)
        ),
        5,
        FALSE
    )=0,
    "",
    VLOOKUP(
        $A55,
        _xlfn._xlws.FILTER(
            INDIRECT("'"&amp;F$1&amp;"'!A2:E1000"), (INDIRECT("'"&amp;F$1&amp;"'!B2:B1000")=$B55) * (INDIRECT("'"&amp;F$1&amp;"'!C2:C1000")=$C55)
        ),
        5,
        FALSE
    )
)</f>
        <v>Enviado</v>
      </c>
      <c r="G55" s="25" t="s">
        <v>31</v>
      </c>
      <c r="H55" s="25" t="s">
        <v>31</v>
      </c>
      <c r="I55" s="25" t="s">
        <v>31</v>
      </c>
    </row>
  </sheetData>
  <conditionalFormatting sqref="D10">
    <cfRule type="containsText" dxfId="118" priority="281" operator="containsText" text="Atrasado">
      <formula>NOT(ISERROR(SEARCH("Atrasado",D10)))</formula>
    </cfRule>
  </conditionalFormatting>
  <conditionalFormatting sqref="D2 D3:F9">
    <cfRule type="cellIs" dxfId="117" priority="277" operator="equal">
      <formula>"Duplicado"</formula>
    </cfRule>
    <cfRule type="cellIs" dxfId="116" priority="278" operator="equal">
      <formula>"Sem Técnico"</formula>
    </cfRule>
    <cfRule type="cellIs" dxfId="115" priority="279" operator="equal">
      <formula>"Atrasado"</formula>
    </cfRule>
    <cfRule type="cellIs" dxfId="114" priority="280" operator="equal">
      <formula>"Enviado"</formula>
    </cfRule>
  </conditionalFormatting>
  <conditionalFormatting sqref="E3:E9">
    <cfRule type="cellIs" dxfId="113" priority="273" operator="equal">
      <formula>"Duplicado"</formula>
    </cfRule>
    <cfRule type="cellIs" dxfId="112" priority="274" operator="equal">
      <formula>"Sem Técnico"</formula>
    </cfRule>
    <cfRule type="cellIs" dxfId="111" priority="275" operator="equal">
      <formula>"Atrasado"</formula>
    </cfRule>
    <cfRule type="cellIs" dxfId="110" priority="276" operator="equal">
      <formula>"Enviado"</formula>
    </cfRule>
  </conditionalFormatting>
  <conditionalFormatting sqref="F3:F9">
    <cfRule type="cellIs" dxfId="109" priority="269" operator="equal">
      <formula>"Duplicado"</formula>
    </cfRule>
    <cfRule type="cellIs" dxfId="108" priority="270" operator="equal">
      <formula>"Sem Técnico"</formula>
    </cfRule>
    <cfRule type="cellIs" dxfId="107" priority="271" operator="equal">
      <formula>"Atrasado"</formula>
    </cfRule>
    <cfRule type="cellIs" dxfId="106" priority="272" operator="equal">
      <formula>"Enviado"</formula>
    </cfRule>
  </conditionalFormatting>
  <conditionalFormatting sqref="D12:F22">
    <cfRule type="cellIs" dxfId="105" priority="265" operator="equal">
      <formula>"Duplicado"</formula>
    </cfRule>
    <cfRule type="cellIs" dxfId="104" priority="266" operator="equal">
      <formula>"Sem Técnico"</formula>
    </cfRule>
    <cfRule type="cellIs" dxfId="103" priority="267" operator="equal">
      <formula>"Atrasado"</formula>
    </cfRule>
    <cfRule type="cellIs" dxfId="102" priority="268" operator="equal">
      <formula>"Enviado"</formula>
    </cfRule>
  </conditionalFormatting>
  <conditionalFormatting sqref="D25:F30 D31 D32:F34">
    <cfRule type="cellIs" dxfId="101" priority="261" operator="equal">
      <formula>"Duplicado"</formula>
    </cfRule>
    <cfRule type="cellIs" dxfId="100" priority="262" operator="equal">
      <formula>"Sem Técnico"</formula>
    </cfRule>
    <cfRule type="cellIs" dxfId="99" priority="263" operator="equal">
      <formula>"Atrasado"</formula>
    </cfRule>
    <cfRule type="cellIs" dxfId="98" priority="264" operator="equal">
      <formula>"Enviado"</formula>
    </cfRule>
  </conditionalFormatting>
  <conditionalFormatting sqref="D37:F40">
    <cfRule type="cellIs" dxfId="97" priority="241" operator="equal">
      <formula>"Duplicado"</formula>
    </cfRule>
    <cfRule type="cellIs" dxfId="96" priority="242" operator="equal">
      <formula>"Sem Técnico"</formula>
    </cfRule>
    <cfRule type="cellIs" dxfId="95" priority="243" operator="equal">
      <formula>"Atrasado"</formula>
    </cfRule>
    <cfRule type="cellIs" dxfId="94" priority="244" operator="equal">
      <formula>"Enviado"</formula>
    </cfRule>
  </conditionalFormatting>
  <conditionalFormatting sqref="D43:F49 D50 D51:F55 F50">
    <cfRule type="cellIs" dxfId="93" priority="237" operator="equal">
      <formula>"Duplicado"</formula>
    </cfRule>
    <cfRule type="cellIs" dxfId="92" priority="238" operator="equal">
      <formula>"Sem Técnico"</formula>
    </cfRule>
    <cfRule type="cellIs" dxfId="91" priority="239" operator="equal">
      <formula>"Atrasado"</formula>
    </cfRule>
    <cfRule type="cellIs" dxfId="90" priority="240" operator="equal">
      <formula>"Enviado"</formula>
    </cfRule>
  </conditionalFormatting>
  <conditionalFormatting sqref="E2:F2">
    <cfRule type="cellIs" dxfId="89" priority="167" operator="equal">
      <formula>"Duplicado"</formula>
    </cfRule>
    <cfRule type="cellIs" dxfId="88" priority="168" operator="equal">
      <formula>"Sem Técnico"</formula>
    </cfRule>
    <cfRule type="cellIs" dxfId="87" priority="169" operator="equal">
      <formula>"Outras Ocorrências"</formula>
    </cfRule>
    <cfRule type="cellIs" dxfId="86" priority="170" operator="equal">
      <formula>"Atrasado &gt;= 2"</formula>
    </cfRule>
    <cfRule type="cellIs" dxfId="85" priority="171" operator="equal">
      <formula>"Atrasado"</formula>
    </cfRule>
    <cfRule type="cellIs" dxfId="84" priority="172" operator="equal">
      <formula>"Enviado"</formula>
    </cfRule>
    <cfRule type="cellIs" dxfId="83" priority="161" operator="equal">
      <formula>"Duplicado"</formula>
    </cfRule>
    <cfRule type="cellIs" dxfId="82" priority="162" operator="equal">
      <formula>"Sem Técnico"</formula>
    </cfRule>
    <cfRule type="cellIs" dxfId="81" priority="163" operator="equal">
      <formula>"Outras Ocorrências"</formula>
    </cfRule>
    <cfRule type="cellIs" dxfId="80" priority="164" operator="equal">
      <formula>"Atrasado &gt;= 2"</formula>
    </cfRule>
    <cfRule type="cellIs" dxfId="79" priority="165" operator="equal">
      <formula>"Atrasado"</formula>
    </cfRule>
    <cfRule type="cellIs" dxfId="78" priority="166" operator="equal">
      <formula>"Enviado"</formula>
    </cfRule>
  </conditionalFormatting>
  <conditionalFormatting sqref="E50">
    <cfRule type="cellIs" dxfId="77" priority="155" operator="equal">
      <formula>"Duplicado"</formula>
    </cfRule>
    <cfRule type="cellIs" dxfId="76" priority="156" operator="equal">
      <formula>"Sem Técnico"</formula>
    </cfRule>
    <cfRule type="cellIs" dxfId="75" priority="157" operator="equal">
      <formula>"Outras Ocorrências"</formula>
    </cfRule>
    <cfRule type="cellIs" dxfId="74" priority="158" operator="equal">
      <formula>"Atrasado &gt;= 2"</formula>
    </cfRule>
    <cfRule type="cellIs" dxfId="73" priority="159" operator="equal">
      <formula>"Atrasado"</formula>
    </cfRule>
    <cfRule type="cellIs" dxfId="72" priority="160" operator="equal">
      <formula>"Enviado"</formula>
    </cfRule>
    <cfRule type="cellIs" dxfId="71" priority="149" operator="equal">
      <formula>"Duplicado"</formula>
    </cfRule>
    <cfRule type="cellIs" dxfId="70" priority="150" operator="equal">
      <formula>"Sem Técnico"</formula>
    </cfRule>
    <cfRule type="cellIs" dxfId="69" priority="151" operator="equal">
      <formula>"Outras Ocorrências"</formula>
    </cfRule>
    <cfRule type="cellIs" dxfId="68" priority="152" operator="equal">
      <formula>"Atrasado &gt;= 2"</formula>
    </cfRule>
    <cfRule type="cellIs" dxfId="67" priority="153" operator="equal">
      <formula>"Atrasado"</formula>
    </cfRule>
    <cfRule type="cellIs" dxfId="66" priority="154" operator="equal">
      <formula>"Enviado"</formula>
    </cfRule>
  </conditionalFormatting>
  <conditionalFormatting sqref="E31:F31">
    <cfRule type="cellIs" dxfId="65" priority="43" operator="equal">
      <formula>"Duplicado"</formula>
    </cfRule>
    <cfRule type="cellIs" dxfId="64" priority="44" operator="equal">
      <formula>"Sem Técnico"</formula>
    </cfRule>
    <cfRule type="cellIs" dxfId="63" priority="45" operator="equal">
      <formula>"Outras Ocorrências"</formula>
    </cfRule>
    <cfRule type="cellIs" dxfId="62" priority="46" operator="equal">
      <formula>"Atrasado &gt;= 2"</formula>
    </cfRule>
    <cfRule type="cellIs" dxfId="61" priority="47" operator="equal">
      <formula>"Atrasado"</formula>
    </cfRule>
    <cfRule type="cellIs" dxfId="60" priority="48" operator="equal">
      <formula>"Enviado"</formula>
    </cfRule>
    <cfRule type="cellIs" dxfId="59" priority="37" operator="equal">
      <formula>"Duplicado"</formula>
    </cfRule>
    <cfRule type="cellIs" dxfId="58" priority="38" operator="equal">
      <formula>"Sem Técnico"</formula>
    </cfRule>
    <cfRule type="cellIs" dxfId="57" priority="39" operator="equal">
      <formula>"Outras Ocorrências"</formula>
    </cfRule>
    <cfRule type="cellIs" dxfId="56" priority="40" operator="equal">
      <formula>"Atrasado &gt;= 2"</formula>
    </cfRule>
    <cfRule type="cellIs" dxfId="55" priority="41" operator="equal">
      <formula>"Atrasado"</formula>
    </cfRule>
    <cfRule type="cellIs" dxfId="54" priority="42" operator="equal">
      <formula>"Enviado"</formula>
    </cfRule>
  </conditionalFormatting>
  <conditionalFormatting sqref="G2:I9 G25:I34 G37:I40 G43:I55">
    <cfRule type="cellIs" dxfId="53" priority="19" operator="equal">
      <formula>"Duplicado"</formula>
    </cfRule>
    <cfRule type="cellIs" dxfId="52" priority="20" operator="equal">
      <formula>"Sem Técnico"</formula>
    </cfRule>
    <cfRule type="cellIs" dxfId="51" priority="21" operator="equal">
      <formula>"Outras Ocorrências"</formula>
    </cfRule>
    <cfRule type="cellIs" dxfId="50" priority="22" operator="equal">
      <formula>"Atrasado &gt;= 2"</formula>
    </cfRule>
    <cfRule type="cellIs" dxfId="49" priority="23" operator="equal">
      <formula>"Atrasado"</formula>
    </cfRule>
    <cfRule type="cellIs" dxfId="48" priority="24" operator="equal">
      <formula>"Enviado"</formula>
    </cfRule>
    <cfRule type="cellIs" dxfId="47" priority="13" operator="equal">
      <formula>"Duplicado"</formula>
    </cfRule>
    <cfRule type="cellIs" dxfId="46" priority="14" operator="equal">
      <formula>"Sem Técnico"</formula>
    </cfRule>
    <cfRule type="cellIs" dxfId="45" priority="15" operator="equal">
      <formula>"Outras Ocorrências"</formula>
    </cfRule>
    <cfRule type="cellIs" dxfId="44" priority="16" operator="equal">
      <formula>"Atrasado &gt;= 2"</formula>
    </cfRule>
    <cfRule type="cellIs" dxfId="43" priority="17" operator="equal">
      <formula>"Atrasado"</formula>
    </cfRule>
    <cfRule type="cellIs" dxfId="42" priority="18" operator="equal">
      <formula>"Enviado"</formula>
    </cfRule>
  </conditionalFormatting>
  <conditionalFormatting sqref="G12:I22">
    <cfRule type="cellIs" dxfId="41" priority="7" operator="equal">
      <formula>"Duplicado"</formula>
    </cfRule>
    <cfRule type="cellIs" dxfId="40" priority="8" operator="equal">
      <formula>"Sem Técnico"</formula>
    </cfRule>
    <cfRule type="cellIs" dxfId="39" priority="9" operator="equal">
      <formula>"Outras Ocorrências"</formula>
    </cfRule>
    <cfRule type="cellIs" dxfId="38" priority="10" operator="equal">
      <formula>"Atrasado &gt;= 2"</formula>
    </cfRule>
    <cfRule type="cellIs" dxfId="37" priority="11" operator="equal">
      <formula>"Atrasado"</formula>
    </cfRule>
    <cfRule type="cellIs" dxfId="36" priority="12" operator="equal">
      <formula>"Enviado"</formula>
    </cfRule>
  </conditionalFormatting>
  <conditionalFormatting sqref="G12:I22">
    <cfRule type="cellIs" dxfId="35" priority="1" operator="equal">
      <formula>"Duplicado"</formula>
    </cfRule>
    <cfRule type="cellIs" dxfId="34" priority="2" operator="equal">
      <formula>"Sem Técnico"</formula>
    </cfRule>
    <cfRule type="cellIs" dxfId="33" priority="3" operator="equal">
      <formula>"Outras Ocorrências"</formula>
    </cfRule>
    <cfRule type="cellIs" dxfId="32" priority="4" operator="equal">
      <formula>"Atrasado &gt;= 2"</formula>
    </cfRule>
    <cfRule type="cellIs" dxfId="31" priority="5" operator="equal">
      <formula>"Atrasado"</formula>
    </cfRule>
    <cfRule type="cellIs" dxfId="30" priority="6"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39"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12" t="s">
        <v>18</v>
      </c>
      <c r="B2" s="13" t="s">
        <v>28</v>
      </c>
      <c r="C2" s="13">
        <v>1</v>
      </c>
      <c r="D2" s="13" t="s">
        <v>87</v>
      </c>
      <c r="E2" s="14" t="s">
        <v>31</v>
      </c>
      <c r="F2" s="13" t="s">
        <v>88</v>
      </c>
      <c r="G2" s="15" t="s">
        <v>89</v>
      </c>
      <c r="H2" s="13"/>
      <c r="I2" s="13"/>
      <c r="J2" s="13" t="s">
        <v>89</v>
      </c>
      <c r="K2" s="13"/>
    </row>
    <row r="3" spans="1:11">
      <c r="A3" s="16" t="s">
        <v>20</v>
      </c>
      <c r="B3" s="13" t="s">
        <v>51</v>
      </c>
      <c r="C3" s="13">
        <v>1</v>
      </c>
      <c r="D3" s="13" t="s">
        <v>90</v>
      </c>
      <c r="E3" s="14" t="s">
        <v>31</v>
      </c>
      <c r="F3" s="13" t="s">
        <v>91</v>
      </c>
      <c r="G3" s="15" t="s">
        <v>89</v>
      </c>
      <c r="H3" s="13"/>
      <c r="I3" s="13"/>
      <c r="J3" s="13" t="s">
        <v>89</v>
      </c>
      <c r="K3" s="13"/>
    </row>
    <row r="4" spans="1:11">
      <c r="A4" s="17" t="s">
        <v>21</v>
      </c>
      <c r="B4" s="13" t="s">
        <v>61</v>
      </c>
      <c r="C4" s="13">
        <v>1</v>
      </c>
      <c r="D4" s="13"/>
      <c r="E4" s="18" t="s">
        <v>4</v>
      </c>
      <c r="F4" s="13"/>
      <c r="G4" s="15" t="s">
        <v>89</v>
      </c>
      <c r="H4" s="13"/>
      <c r="I4" s="13"/>
      <c r="J4" s="13" t="s">
        <v>89</v>
      </c>
      <c r="K4" s="13"/>
    </row>
    <row r="5" spans="1:11">
      <c r="A5" s="16" t="s">
        <v>20</v>
      </c>
      <c r="B5" s="13" t="s">
        <v>52</v>
      </c>
      <c r="C5" s="13">
        <v>1</v>
      </c>
      <c r="D5" s="13" t="s">
        <v>92</v>
      </c>
      <c r="E5" s="14" t="s">
        <v>31</v>
      </c>
      <c r="F5" s="13" t="s">
        <v>93</v>
      </c>
      <c r="G5" s="15" t="s">
        <v>89</v>
      </c>
      <c r="H5" s="13"/>
      <c r="I5" s="13"/>
      <c r="J5" s="13" t="s">
        <v>89</v>
      </c>
      <c r="K5" s="13"/>
    </row>
    <row r="6" spans="1:11">
      <c r="A6" s="16" t="s">
        <v>20</v>
      </c>
      <c r="B6" s="13" t="s">
        <v>53</v>
      </c>
      <c r="C6" s="13">
        <v>1</v>
      </c>
      <c r="D6" s="13" t="s">
        <v>94</v>
      </c>
      <c r="E6" s="14" t="s">
        <v>31</v>
      </c>
      <c r="F6" s="13" t="s">
        <v>95</v>
      </c>
      <c r="G6" s="15" t="s">
        <v>89</v>
      </c>
      <c r="H6" s="13"/>
      <c r="I6" s="13"/>
      <c r="J6" s="13" t="s">
        <v>89</v>
      </c>
      <c r="K6" s="13"/>
    </row>
    <row r="7" spans="1:11">
      <c r="A7" s="19" t="s">
        <v>19</v>
      </c>
      <c r="B7" s="13" t="s">
        <v>40</v>
      </c>
      <c r="C7" s="13">
        <v>1</v>
      </c>
      <c r="D7" s="13" t="s">
        <v>96</v>
      </c>
      <c r="E7" s="14" t="s">
        <v>31</v>
      </c>
      <c r="F7" s="13" t="s">
        <v>97</v>
      </c>
      <c r="G7" s="15" t="s">
        <v>89</v>
      </c>
      <c r="H7" s="13"/>
      <c r="I7" s="13"/>
      <c r="J7" s="13" t="s">
        <v>89</v>
      </c>
      <c r="K7" s="13"/>
    </row>
    <row r="8" spans="1:11">
      <c r="A8" s="12" t="s">
        <v>18</v>
      </c>
      <c r="B8" s="13" t="s">
        <v>30</v>
      </c>
      <c r="C8" s="13">
        <v>1</v>
      </c>
      <c r="D8" s="13" t="s">
        <v>98</v>
      </c>
      <c r="E8" s="14" t="s">
        <v>31</v>
      </c>
      <c r="F8" s="13" t="s">
        <v>88</v>
      </c>
      <c r="G8" s="15" t="s">
        <v>89</v>
      </c>
      <c r="H8" s="13"/>
      <c r="I8" s="13"/>
      <c r="J8" s="13" t="s">
        <v>89</v>
      </c>
      <c r="K8" s="13"/>
    </row>
    <row r="9" spans="1:11">
      <c r="A9" s="12" t="s">
        <v>18</v>
      </c>
      <c r="B9" s="13" t="s">
        <v>34</v>
      </c>
      <c r="C9" s="13">
        <v>1</v>
      </c>
      <c r="D9" s="13" t="s">
        <v>99</v>
      </c>
      <c r="E9" s="14" t="s">
        <v>31</v>
      </c>
      <c r="F9" s="13" t="s">
        <v>100</v>
      </c>
      <c r="G9" s="15" t="s">
        <v>89</v>
      </c>
      <c r="H9" s="13"/>
      <c r="I9" s="13"/>
      <c r="J9" s="13" t="s">
        <v>89</v>
      </c>
      <c r="K9" s="13"/>
    </row>
    <row r="10" spans="1:11">
      <c r="A10" s="12" t="s">
        <v>18</v>
      </c>
      <c r="B10" s="13" t="s">
        <v>35</v>
      </c>
      <c r="C10" s="13">
        <v>1</v>
      </c>
      <c r="D10" s="13" t="s">
        <v>101</v>
      </c>
      <c r="E10" s="14" t="s">
        <v>31</v>
      </c>
      <c r="F10" s="13" t="s">
        <v>102</v>
      </c>
      <c r="G10" s="15" t="s">
        <v>89</v>
      </c>
      <c r="H10" s="13"/>
      <c r="I10" s="13"/>
      <c r="J10" s="13" t="s">
        <v>89</v>
      </c>
      <c r="K10" s="13"/>
    </row>
    <row r="11" spans="1:11">
      <c r="A11" s="16" t="s">
        <v>20</v>
      </c>
      <c r="B11" s="13" t="s">
        <v>54</v>
      </c>
      <c r="C11" s="13">
        <v>1</v>
      </c>
      <c r="D11" s="13" t="s">
        <v>103</v>
      </c>
      <c r="E11" s="14" t="s">
        <v>31</v>
      </c>
      <c r="F11" s="13" t="s">
        <v>88</v>
      </c>
      <c r="G11" s="15" t="s">
        <v>89</v>
      </c>
      <c r="H11" s="13"/>
      <c r="I11" s="13"/>
      <c r="J11" s="13" t="s">
        <v>89</v>
      </c>
      <c r="K11" s="13"/>
    </row>
    <row r="12" spans="1:11">
      <c r="A12" s="16" t="s">
        <v>20</v>
      </c>
      <c r="B12" s="13" t="s">
        <v>55</v>
      </c>
      <c r="C12" s="13">
        <v>1</v>
      </c>
      <c r="D12" s="13" t="s">
        <v>104</v>
      </c>
      <c r="E12" s="14" t="s">
        <v>31</v>
      </c>
      <c r="F12" s="13" t="s">
        <v>105</v>
      </c>
      <c r="G12" s="15" t="s">
        <v>89</v>
      </c>
      <c r="H12" s="13"/>
      <c r="I12" s="13"/>
      <c r="J12" s="13" t="s">
        <v>89</v>
      </c>
      <c r="K12" s="13"/>
    </row>
    <row r="13" spans="1:11">
      <c r="A13" s="19" t="s">
        <v>19</v>
      </c>
      <c r="B13" s="13" t="s">
        <v>41</v>
      </c>
      <c r="C13" s="13">
        <v>1</v>
      </c>
      <c r="D13" s="13" t="s">
        <v>106</v>
      </c>
      <c r="E13" s="20" t="s">
        <v>33</v>
      </c>
      <c r="F13" s="13"/>
      <c r="G13" s="15" t="s">
        <v>89</v>
      </c>
      <c r="H13" s="13"/>
      <c r="I13" s="13"/>
      <c r="J13" s="13" t="s">
        <v>89</v>
      </c>
      <c r="K13" s="13"/>
    </row>
    <row r="14" spans="1:11">
      <c r="A14" s="19" t="s">
        <v>19</v>
      </c>
      <c r="B14" s="13" t="s">
        <v>42</v>
      </c>
      <c r="C14" s="13">
        <v>1</v>
      </c>
      <c r="D14" s="13" t="s">
        <v>107</v>
      </c>
      <c r="E14" s="14" t="s">
        <v>31</v>
      </c>
      <c r="F14" s="13" t="s">
        <v>108</v>
      </c>
      <c r="G14" s="15" t="s">
        <v>89</v>
      </c>
      <c r="H14" s="13"/>
      <c r="I14" s="13"/>
      <c r="J14" s="13" t="s">
        <v>89</v>
      </c>
      <c r="K14" s="13"/>
    </row>
    <row r="15" spans="1:11">
      <c r="A15" s="12" t="s">
        <v>18</v>
      </c>
      <c r="B15" s="13" t="s">
        <v>36</v>
      </c>
      <c r="C15" s="13">
        <v>1</v>
      </c>
      <c r="D15" s="13" t="s">
        <v>109</v>
      </c>
      <c r="E15" s="14" t="s">
        <v>31</v>
      </c>
      <c r="F15" s="13" t="s">
        <v>102</v>
      </c>
      <c r="G15" s="15" t="s">
        <v>89</v>
      </c>
      <c r="H15" s="13"/>
      <c r="I15" s="13"/>
      <c r="J15" s="13" t="s">
        <v>89</v>
      </c>
      <c r="K15" s="13"/>
    </row>
    <row r="16" spans="1:11">
      <c r="A16" s="19" t="s">
        <v>19</v>
      </c>
      <c r="B16" s="13" t="s">
        <v>43</v>
      </c>
      <c r="C16" s="13">
        <v>1</v>
      </c>
      <c r="D16" s="13" t="s">
        <v>110</v>
      </c>
      <c r="E16" s="14" t="s">
        <v>31</v>
      </c>
      <c r="F16" s="13" t="s">
        <v>108</v>
      </c>
      <c r="G16" s="15" t="s">
        <v>89</v>
      </c>
      <c r="H16" s="13"/>
      <c r="I16" s="13"/>
      <c r="J16" s="13" t="s">
        <v>89</v>
      </c>
      <c r="K16" s="13"/>
    </row>
    <row r="17" spans="1:11">
      <c r="A17" s="16" t="s">
        <v>20</v>
      </c>
      <c r="B17" s="13" t="s">
        <v>56</v>
      </c>
      <c r="C17" s="13">
        <v>1</v>
      </c>
      <c r="D17" s="13" t="s">
        <v>111</v>
      </c>
      <c r="E17" s="14" t="s">
        <v>31</v>
      </c>
      <c r="F17" s="13" t="s">
        <v>112</v>
      </c>
      <c r="G17" s="15" t="s">
        <v>113</v>
      </c>
      <c r="H17" s="13"/>
      <c r="I17" s="13" t="s">
        <v>114</v>
      </c>
      <c r="J17" s="13" t="s">
        <v>113</v>
      </c>
      <c r="K17" s="13" t="s">
        <v>115</v>
      </c>
    </row>
    <row r="18" spans="1:11">
      <c r="A18" s="19" t="s">
        <v>19</v>
      </c>
      <c r="B18" s="13" t="s">
        <v>44</v>
      </c>
      <c r="C18" s="13">
        <v>1</v>
      </c>
      <c r="D18" s="13" t="s">
        <v>116</v>
      </c>
      <c r="E18" s="14" t="s">
        <v>31</v>
      </c>
      <c r="F18" s="13" t="s">
        <v>117</v>
      </c>
      <c r="G18" s="15" t="s">
        <v>89</v>
      </c>
      <c r="H18" s="13"/>
      <c r="I18" s="13"/>
      <c r="J18" s="13" t="s">
        <v>89</v>
      </c>
      <c r="K18" s="13"/>
    </row>
    <row r="19" spans="1:11">
      <c r="A19" s="12" t="s">
        <v>18</v>
      </c>
      <c r="B19" s="13" t="s">
        <v>37</v>
      </c>
      <c r="C19" s="13">
        <v>1</v>
      </c>
      <c r="D19" s="13" t="s">
        <v>118</v>
      </c>
      <c r="E19" s="14" t="s">
        <v>31</v>
      </c>
      <c r="F19" s="13" t="s">
        <v>119</v>
      </c>
      <c r="G19" s="15" t="s">
        <v>89</v>
      </c>
      <c r="H19" s="13"/>
      <c r="I19" s="13"/>
      <c r="J19" s="13" t="s">
        <v>89</v>
      </c>
      <c r="K19" s="13"/>
    </row>
    <row r="20" spans="1:11">
      <c r="A20" s="16" t="s">
        <v>20</v>
      </c>
      <c r="B20" s="13" t="s">
        <v>57</v>
      </c>
      <c r="C20" s="13">
        <v>1</v>
      </c>
      <c r="D20" s="13" t="s">
        <v>120</v>
      </c>
      <c r="E20" s="14" t="s">
        <v>31</v>
      </c>
      <c r="F20" s="13" t="s">
        <v>95</v>
      </c>
      <c r="G20" s="15" t="s">
        <v>89</v>
      </c>
      <c r="H20" s="13"/>
      <c r="I20" s="13"/>
      <c r="J20" s="13" t="s">
        <v>89</v>
      </c>
      <c r="K20" s="13"/>
    </row>
    <row r="21" spans="1:11">
      <c r="A21" s="16" t="s">
        <v>20</v>
      </c>
      <c r="B21" s="13" t="s">
        <v>58</v>
      </c>
      <c r="C21" s="13">
        <v>1</v>
      </c>
      <c r="D21" s="13" t="s">
        <v>121</v>
      </c>
      <c r="E21" s="14" t="s">
        <v>31</v>
      </c>
      <c r="F21" s="13" t="s">
        <v>108</v>
      </c>
      <c r="G21" s="15" t="s">
        <v>89</v>
      </c>
      <c r="H21" s="13"/>
      <c r="I21" s="13"/>
      <c r="J21" s="13" t="s">
        <v>89</v>
      </c>
      <c r="K21" s="13"/>
    </row>
    <row r="22" spans="1:11">
      <c r="A22" s="17" t="s">
        <v>21</v>
      </c>
      <c r="B22" s="13" t="s">
        <v>62</v>
      </c>
      <c r="C22" s="13">
        <v>1</v>
      </c>
      <c r="D22" s="13"/>
      <c r="E22" s="18" t="s">
        <v>4</v>
      </c>
      <c r="F22" s="13"/>
      <c r="G22" s="15" t="s">
        <v>89</v>
      </c>
      <c r="H22" s="13"/>
      <c r="I22" s="13"/>
      <c r="J22" s="13" t="s">
        <v>89</v>
      </c>
      <c r="K22" s="13"/>
    </row>
    <row r="23" spans="1:11">
      <c r="A23" s="19" t="s">
        <v>19</v>
      </c>
      <c r="B23" s="13" t="s">
        <v>45</v>
      </c>
      <c r="C23" s="13">
        <v>1</v>
      </c>
      <c r="D23" s="13" t="s">
        <v>122</v>
      </c>
      <c r="E23" s="20" t="s">
        <v>33</v>
      </c>
      <c r="F23" s="13"/>
      <c r="G23" s="15" t="s">
        <v>89</v>
      </c>
      <c r="H23" s="13"/>
      <c r="I23" s="13"/>
      <c r="J23" s="13" t="s">
        <v>89</v>
      </c>
      <c r="K23" s="13"/>
    </row>
    <row r="24" spans="1:11">
      <c r="A24" s="17" t="s">
        <v>21</v>
      </c>
      <c r="B24" s="13" t="s">
        <v>63</v>
      </c>
      <c r="C24" s="13">
        <v>1</v>
      </c>
      <c r="D24" s="13"/>
      <c r="E24" s="18" t="s">
        <v>4</v>
      </c>
      <c r="F24" s="13"/>
      <c r="G24" s="15" t="s">
        <v>89</v>
      </c>
      <c r="H24" s="13"/>
      <c r="I24" s="13"/>
      <c r="J24" s="13" t="s">
        <v>89</v>
      </c>
      <c r="K24" s="13"/>
    </row>
    <row r="25" spans="1:11">
      <c r="A25" s="19" t="s">
        <v>19</v>
      </c>
      <c r="B25" s="13" t="s">
        <v>46</v>
      </c>
      <c r="C25" s="13">
        <v>1</v>
      </c>
      <c r="D25" s="13" t="s">
        <v>123</v>
      </c>
      <c r="E25" s="14" t="s">
        <v>31</v>
      </c>
      <c r="F25" s="13" t="s">
        <v>91</v>
      </c>
      <c r="G25" s="15" t="s">
        <v>89</v>
      </c>
      <c r="H25" s="13"/>
      <c r="I25" s="13"/>
      <c r="J25" s="13" t="s">
        <v>89</v>
      </c>
      <c r="K25" s="13"/>
    </row>
    <row r="26" spans="1:11">
      <c r="A26" s="19" t="s">
        <v>19</v>
      </c>
      <c r="B26" s="13" t="s">
        <v>47</v>
      </c>
      <c r="C26" s="13">
        <v>1</v>
      </c>
      <c r="D26" s="13" t="s">
        <v>124</v>
      </c>
      <c r="E26" s="20" t="s">
        <v>33</v>
      </c>
      <c r="F26" s="13"/>
      <c r="G26" s="15" t="s">
        <v>89</v>
      </c>
      <c r="H26" s="13"/>
      <c r="I26" s="13"/>
      <c r="J26" s="13" t="s">
        <v>89</v>
      </c>
      <c r="K26" s="13"/>
    </row>
    <row r="27" spans="1:11">
      <c r="A27" s="19" t="s">
        <v>19</v>
      </c>
      <c r="B27" s="13" t="s">
        <v>48</v>
      </c>
      <c r="C27" s="13">
        <v>1</v>
      </c>
      <c r="D27" s="13" t="s">
        <v>125</v>
      </c>
      <c r="E27" s="14" t="s">
        <v>31</v>
      </c>
      <c r="F27" s="13" t="s">
        <v>119</v>
      </c>
      <c r="G27" s="15" t="s">
        <v>89</v>
      </c>
      <c r="H27" s="13"/>
      <c r="I27" s="13"/>
      <c r="J27" s="13" t="s">
        <v>89</v>
      </c>
      <c r="K27" s="13"/>
    </row>
    <row r="28" spans="1:11">
      <c r="A28" s="19" t="s">
        <v>19</v>
      </c>
      <c r="B28" s="13" t="s">
        <v>49</v>
      </c>
      <c r="C28" s="13">
        <v>1</v>
      </c>
      <c r="D28" s="13" t="s">
        <v>126</v>
      </c>
      <c r="E28" s="14" t="s">
        <v>31</v>
      </c>
      <c r="F28" s="13" t="s">
        <v>102</v>
      </c>
      <c r="G28" s="15" t="s">
        <v>89</v>
      </c>
      <c r="H28" s="13"/>
      <c r="I28" s="13"/>
      <c r="J28" s="13" t="s">
        <v>89</v>
      </c>
      <c r="K28" s="13"/>
    </row>
    <row r="29" spans="1:11">
      <c r="A29" s="17" t="s">
        <v>21</v>
      </c>
      <c r="B29" s="13" t="s">
        <v>64</v>
      </c>
      <c r="C29" s="13">
        <v>1</v>
      </c>
      <c r="D29" s="13"/>
      <c r="E29" s="18" t="s">
        <v>4</v>
      </c>
      <c r="F29" s="13"/>
      <c r="G29" s="15" t="s">
        <v>89</v>
      </c>
      <c r="H29" s="13"/>
      <c r="I29" s="13"/>
      <c r="J29" s="13" t="s">
        <v>89</v>
      </c>
      <c r="K29" s="13"/>
    </row>
    <row r="30" spans="1:11">
      <c r="A30" s="12" t="s">
        <v>18</v>
      </c>
      <c r="B30" s="13" t="s">
        <v>38</v>
      </c>
      <c r="C30" s="13">
        <v>1</v>
      </c>
      <c r="D30" s="13" t="s">
        <v>127</v>
      </c>
      <c r="E30" s="14" t="s">
        <v>31</v>
      </c>
      <c r="F30" s="13" t="s">
        <v>88</v>
      </c>
      <c r="G30" s="15" t="s">
        <v>89</v>
      </c>
      <c r="H30" s="13"/>
      <c r="I30" s="13"/>
      <c r="J30" s="13" t="s">
        <v>89</v>
      </c>
      <c r="K30" s="13"/>
    </row>
    <row r="31" spans="1:11">
      <c r="A31" s="19" t="s">
        <v>19</v>
      </c>
      <c r="B31" s="13" t="s">
        <v>50</v>
      </c>
      <c r="C31" s="13">
        <v>1</v>
      </c>
      <c r="D31" s="13" t="s">
        <v>128</v>
      </c>
      <c r="E31" s="20" t="s">
        <v>33</v>
      </c>
      <c r="F31" s="13"/>
      <c r="G31" s="15" t="s">
        <v>89</v>
      </c>
      <c r="H31" s="13"/>
      <c r="I31" s="13"/>
      <c r="J31" s="13" t="s">
        <v>89</v>
      </c>
      <c r="K31" s="13"/>
    </row>
    <row r="32" spans="1:11">
      <c r="A32" s="12" t="s">
        <v>18</v>
      </c>
      <c r="B32" s="13" t="s">
        <v>39</v>
      </c>
      <c r="C32" s="13">
        <v>1</v>
      </c>
      <c r="D32" s="13" t="s">
        <v>129</v>
      </c>
      <c r="E32" s="14" t="s">
        <v>31</v>
      </c>
      <c r="F32" s="13" t="s">
        <v>130</v>
      </c>
      <c r="G32" s="15" t="s">
        <v>89</v>
      </c>
      <c r="H32" s="13"/>
      <c r="I32" s="13"/>
      <c r="J32" s="13" t="s">
        <v>89</v>
      </c>
      <c r="K32" s="13"/>
    </row>
    <row r="33" spans="1:11">
      <c r="A33" s="16" t="s">
        <v>20</v>
      </c>
      <c r="B33" s="13" t="s">
        <v>59</v>
      </c>
      <c r="C33" s="13">
        <v>1</v>
      </c>
      <c r="D33" s="13" t="s">
        <v>131</v>
      </c>
      <c r="E33" s="14" t="s">
        <v>31</v>
      </c>
      <c r="F33" s="13" t="s">
        <v>105</v>
      </c>
      <c r="G33" s="15" t="s">
        <v>89</v>
      </c>
      <c r="H33" s="13"/>
      <c r="I33" s="13"/>
      <c r="J33" s="13" t="s">
        <v>89</v>
      </c>
      <c r="K33" s="13"/>
    </row>
    <row r="34" spans="1:11">
      <c r="A34" s="16" t="s">
        <v>20</v>
      </c>
      <c r="B34" s="13" t="s">
        <v>60</v>
      </c>
      <c r="C34" s="13">
        <v>1</v>
      </c>
      <c r="D34" s="13" t="s">
        <v>132</v>
      </c>
      <c r="E34" s="14" t="s">
        <v>31</v>
      </c>
      <c r="F34" s="13" t="s">
        <v>133</v>
      </c>
      <c r="G34" s="15" t="s">
        <v>89</v>
      </c>
      <c r="H34" s="13"/>
      <c r="I34" s="13"/>
      <c r="J34" s="13" t="s">
        <v>89</v>
      </c>
      <c r="K34" s="13"/>
    </row>
    <row r="35" spans="1:11">
      <c r="A35" s="21" t="s">
        <v>22</v>
      </c>
      <c r="B35" s="13" t="s">
        <v>65</v>
      </c>
      <c r="C35" s="13">
        <v>1</v>
      </c>
      <c r="D35" s="13" t="s">
        <v>134</v>
      </c>
      <c r="E35" s="14" t="s">
        <v>31</v>
      </c>
      <c r="F35" s="13" t="s">
        <v>95</v>
      </c>
      <c r="G35" s="15" t="s">
        <v>89</v>
      </c>
      <c r="H35" s="13"/>
      <c r="I35" s="13"/>
      <c r="J35" s="13" t="s">
        <v>89</v>
      </c>
      <c r="K35" s="13"/>
    </row>
    <row r="36" spans="1:11">
      <c r="A36" s="21" t="s">
        <v>22</v>
      </c>
      <c r="B36" s="13" t="s">
        <v>66</v>
      </c>
      <c r="C36" s="13">
        <v>1</v>
      </c>
      <c r="D36" s="13" t="s">
        <v>135</v>
      </c>
      <c r="E36" s="20" t="s">
        <v>33</v>
      </c>
      <c r="F36" s="13"/>
      <c r="G36" s="15" t="s">
        <v>89</v>
      </c>
      <c r="H36" s="13"/>
      <c r="I36" s="13"/>
      <c r="J36" s="13" t="s">
        <v>89</v>
      </c>
      <c r="K36" s="13"/>
    </row>
    <row r="37" spans="1:11">
      <c r="A37" s="21" t="s">
        <v>22</v>
      </c>
      <c r="B37" s="13" t="s">
        <v>67</v>
      </c>
      <c r="C37" s="13">
        <v>1</v>
      </c>
      <c r="D37" s="13" t="s">
        <v>136</v>
      </c>
      <c r="E37" s="14" t="s">
        <v>31</v>
      </c>
      <c r="F37" s="13" t="s">
        <v>137</v>
      </c>
      <c r="G37" s="15" t="s">
        <v>89</v>
      </c>
      <c r="H37" s="13"/>
      <c r="I37" s="13"/>
      <c r="J37" s="13" t="s">
        <v>89</v>
      </c>
      <c r="K37" s="13"/>
    </row>
    <row r="38" spans="1:11">
      <c r="A38" s="21" t="s">
        <v>22</v>
      </c>
      <c r="B38" s="13" t="s">
        <v>68</v>
      </c>
      <c r="C38" s="13">
        <v>1</v>
      </c>
      <c r="D38" s="13" t="s">
        <v>138</v>
      </c>
      <c r="E38" s="20" t="s">
        <v>33</v>
      </c>
      <c r="F38" s="13"/>
      <c r="G38" s="15" t="s">
        <v>89</v>
      </c>
      <c r="H38" s="13"/>
      <c r="I38" s="13"/>
      <c r="J38" s="13" t="s">
        <v>89</v>
      </c>
      <c r="K38" s="13"/>
    </row>
    <row r="39" spans="1:11">
      <c r="A39" s="21" t="s">
        <v>22</v>
      </c>
      <c r="B39" s="13" t="s">
        <v>69</v>
      </c>
      <c r="C39" s="13">
        <v>1</v>
      </c>
      <c r="D39" s="13" t="s">
        <v>139</v>
      </c>
      <c r="E39" s="14" t="s">
        <v>31</v>
      </c>
      <c r="F39" s="13" t="s">
        <v>119</v>
      </c>
      <c r="G39" s="15" t="s">
        <v>89</v>
      </c>
      <c r="H39" s="13"/>
      <c r="I39" s="13"/>
      <c r="J39" s="13" t="s">
        <v>89</v>
      </c>
      <c r="K39" s="13"/>
    </row>
    <row r="40" spans="1:11">
      <c r="A40" s="21" t="s">
        <v>22</v>
      </c>
      <c r="B40" s="13" t="s">
        <v>70</v>
      </c>
      <c r="C40" s="13">
        <v>1</v>
      </c>
      <c r="D40" s="13" t="s">
        <v>140</v>
      </c>
      <c r="E40" s="14" t="s">
        <v>31</v>
      </c>
      <c r="F40" s="13" t="s">
        <v>130</v>
      </c>
      <c r="G40" s="15" t="s">
        <v>89</v>
      </c>
      <c r="H40" s="13"/>
      <c r="I40" s="13"/>
      <c r="J40" s="13" t="s">
        <v>89</v>
      </c>
      <c r="K40" s="13"/>
    </row>
    <row r="41" spans="1:11">
      <c r="A41" s="21" t="s">
        <v>22</v>
      </c>
      <c r="B41" s="13" t="s">
        <v>71</v>
      </c>
      <c r="C41" s="13">
        <v>1</v>
      </c>
      <c r="D41" s="13" t="s">
        <v>141</v>
      </c>
      <c r="E41" s="14" t="s">
        <v>31</v>
      </c>
      <c r="F41" s="13" t="s">
        <v>142</v>
      </c>
      <c r="G41" s="15" t="s">
        <v>89</v>
      </c>
      <c r="H41" s="13"/>
      <c r="I41" s="13"/>
      <c r="J41" s="13" t="s">
        <v>89</v>
      </c>
      <c r="K41" s="13"/>
    </row>
    <row r="42" spans="1:11">
      <c r="A42" s="21" t="s">
        <v>22</v>
      </c>
      <c r="B42" s="13" t="s">
        <v>72</v>
      </c>
      <c r="C42" s="13">
        <v>1</v>
      </c>
      <c r="D42" s="13" t="s">
        <v>143</v>
      </c>
      <c r="E42" s="14" t="s">
        <v>31</v>
      </c>
      <c r="F42" s="13" t="s">
        <v>119</v>
      </c>
      <c r="G42" s="15" t="s">
        <v>89</v>
      </c>
      <c r="H42" s="13"/>
      <c r="I42" s="13"/>
      <c r="J42" s="13" t="s">
        <v>89</v>
      </c>
      <c r="K42" s="13"/>
    </row>
    <row r="43" spans="1:11">
      <c r="A43" s="21" t="s">
        <v>22</v>
      </c>
      <c r="B43" s="13" t="s">
        <v>73</v>
      </c>
      <c r="C43" s="13">
        <v>1</v>
      </c>
      <c r="D43" s="13" t="s">
        <v>144</v>
      </c>
      <c r="E43" s="14" t="s">
        <v>31</v>
      </c>
      <c r="F43" s="13" t="s">
        <v>105</v>
      </c>
      <c r="G43" s="15" t="s">
        <v>89</v>
      </c>
      <c r="H43" s="13"/>
      <c r="I43" s="13"/>
      <c r="J43" s="13" t="s">
        <v>89</v>
      </c>
      <c r="K43" s="13"/>
    </row>
    <row r="44" spans="1:11">
      <c r="A44" s="21" t="s">
        <v>22</v>
      </c>
      <c r="B44" s="13" t="s">
        <v>74</v>
      </c>
      <c r="C44" s="13">
        <v>1</v>
      </c>
      <c r="D44" s="13" t="s">
        <v>145</v>
      </c>
      <c r="E44" s="14" t="s">
        <v>31</v>
      </c>
      <c r="F44" s="13" t="s">
        <v>146</v>
      </c>
      <c r="G44" s="15" t="s">
        <v>89</v>
      </c>
      <c r="H44" s="13"/>
      <c r="I44" s="13"/>
      <c r="J44" s="13" t="s">
        <v>89</v>
      </c>
      <c r="K44" s="13"/>
    </row>
    <row r="45" spans="1:11">
      <c r="A45" s="21" t="s">
        <v>22</v>
      </c>
      <c r="B45" s="13" t="s">
        <v>75</v>
      </c>
      <c r="C45" s="13">
        <v>1</v>
      </c>
      <c r="D45" s="13" t="s">
        <v>147</v>
      </c>
      <c r="E45" s="14" t="s">
        <v>31</v>
      </c>
      <c r="F45" s="13" t="s">
        <v>100</v>
      </c>
      <c r="G45" s="15" t="s">
        <v>89</v>
      </c>
      <c r="H45" s="13"/>
      <c r="I45" s="13"/>
      <c r="J45" s="13" t="s">
        <v>89</v>
      </c>
      <c r="K45" s="13"/>
    </row>
    <row r="46" spans="1:11">
      <c r="A46" s="21" t="s">
        <v>22</v>
      </c>
      <c r="B46" s="13" t="s">
        <v>76</v>
      </c>
      <c r="C46" s="13">
        <v>1</v>
      </c>
      <c r="D46" s="13"/>
      <c r="E46" s="18" t="s">
        <v>4</v>
      </c>
      <c r="F46" s="13"/>
      <c r="G46" s="15" t="s">
        <v>89</v>
      </c>
      <c r="H46" s="13"/>
      <c r="I46" s="13"/>
      <c r="J46" s="13" t="s">
        <v>89</v>
      </c>
      <c r="K46" s="13"/>
    </row>
    <row r="47" spans="1:11">
      <c r="A47" s="21" t="s">
        <v>22</v>
      </c>
      <c r="B47" s="13" t="s">
        <v>77</v>
      </c>
      <c r="C47" s="13">
        <v>1</v>
      </c>
      <c r="D47" s="13" t="s">
        <v>148</v>
      </c>
      <c r="E47" s="14" t="s">
        <v>31</v>
      </c>
      <c r="F47" s="13" t="s">
        <v>100</v>
      </c>
      <c r="G47" s="15" t="s">
        <v>89</v>
      </c>
      <c r="H47" s="13"/>
      <c r="I47" s="13"/>
      <c r="J47" s="13" t="s">
        <v>89</v>
      </c>
      <c r="K47" s="13"/>
    </row>
  </sheetData>
  <autoFilter ref="A1:G1" xr:uid="{00000000-0009-0000-0000-000002000000}"/>
  <conditionalFormatting sqref="G2:G47">
    <cfRule type="cellIs" dxfId="29" priority="1" stopIfTrue="1" operator="equal">
      <formula>"Sim"</formula>
    </cfRule>
    <cfRule type="cellIs" dxfId="28" priority="3" stopIfTrue="1" operator="equal">
      <formula>"Não"</formula>
    </cfRule>
  </conditionalFormatting>
  <conditionalFormatting sqref="J2:J47">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47">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12" t="s">
        <v>18</v>
      </c>
      <c r="B2" s="13" t="s">
        <v>28</v>
      </c>
      <c r="C2" s="13">
        <v>1</v>
      </c>
      <c r="D2" s="13" t="str">
        <f>IFERROR(IF(INDEX('Form 1 - Município'!D2:D500, MATCH(B2&amp;C2, INDEX('Form 1 - Município'!B2:B500&amp;'Form 1 - Município'!C2:C500, 0), 0))="", "", INDEX('Form 1 - Município'!D2:D500, MATCH(B2&amp;C2, INDEX('Form 1 - Município'!B2:B500&amp;'Form 1 - Município'!C2:C500, 0), 0))), "")</f>
        <v>Danúbia Hotrich dos Santos Silva</v>
      </c>
      <c r="E2" s="22" t="s">
        <v>29</v>
      </c>
      <c r="F2" s="13"/>
      <c r="G2" s="15" t="s">
        <v>89</v>
      </c>
      <c r="H2" s="13" t="s">
        <v>149</v>
      </c>
      <c r="I2" s="13"/>
      <c r="J2" s="13" t="s">
        <v>89</v>
      </c>
      <c r="K2" s="13"/>
    </row>
    <row r="3" spans="1:11">
      <c r="A3" s="16" t="s">
        <v>20</v>
      </c>
      <c r="B3" s="13" t="s">
        <v>51</v>
      </c>
      <c r="C3" s="13">
        <v>1</v>
      </c>
      <c r="D3" s="13" t="str">
        <f>IFERROR(IF(INDEX('Form 1 - Município'!D2:D500, MATCH(B3&amp;C3, INDEX('Form 1 - Município'!B2:B500&amp;'Form 1 - Município'!C2:C500, 0), 0))="", "", INDEX('Form 1 - Município'!D2:D500, MATCH(B3&amp;C3, INDEX('Form 1 - Município'!B2:B500&amp;'Form 1 - Município'!C2:C500, 0), 0))), "")</f>
        <v>Beatriz Piffer</v>
      </c>
      <c r="E3" s="14" t="s">
        <v>31</v>
      </c>
      <c r="F3" s="13" t="s">
        <v>91</v>
      </c>
      <c r="G3" s="15" t="s">
        <v>89</v>
      </c>
      <c r="H3" s="13"/>
      <c r="I3" s="13"/>
      <c r="J3" s="13" t="s">
        <v>89</v>
      </c>
      <c r="K3" s="13"/>
    </row>
    <row r="4" spans="1:11">
      <c r="A4" s="17" t="s">
        <v>21</v>
      </c>
      <c r="B4" s="13" t="s">
        <v>61</v>
      </c>
      <c r="C4" s="13">
        <v>1</v>
      </c>
      <c r="D4" s="13" t="str">
        <f>IFERROR(IF(INDEX('Form 1 - Município'!D2:D500, MATCH(B4&amp;C4, INDEX('Form 1 - Município'!B2:B500&amp;'Form 1 - Município'!C2:C500, 0), 0))="", "", INDEX('Form 1 - Município'!D2:D500, MATCH(B4&amp;C4, INDEX('Form 1 - Município'!B2:B500&amp;'Form 1 - Município'!C2:C500, 0), 0))), "")</f>
        <v/>
      </c>
      <c r="E4" s="18" t="s">
        <v>4</v>
      </c>
      <c r="F4" s="13"/>
      <c r="G4" s="15" t="s">
        <v>89</v>
      </c>
      <c r="H4" s="13"/>
      <c r="I4" s="13"/>
      <c r="J4" s="13" t="s">
        <v>89</v>
      </c>
      <c r="K4" s="13"/>
    </row>
    <row r="5" spans="1:11">
      <c r="A5" s="16" t="s">
        <v>20</v>
      </c>
      <c r="B5" s="13" t="s">
        <v>52</v>
      </c>
      <c r="C5" s="13">
        <v>1</v>
      </c>
      <c r="D5" s="13" t="str">
        <f>IFERROR(IF(INDEX('Form 1 - Município'!D2:D500, MATCH(B5&amp;C5, INDEX('Form 1 - Município'!B2:B500&amp;'Form 1 - Município'!C2:C500, 0), 0))="", "", INDEX('Form 1 - Município'!D2:D500, MATCH(B5&amp;C5, INDEX('Form 1 - Município'!B2:B500&amp;'Form 1 - Município'!C2:C500, 0), 0))), "")</f>
        <v>Ana Paula Freire</v>
      </c>
      <c r="E5" s="14" t="s">
        <v>31</v>
      </c>
      <c r="F5" s="13" t="s">
        <v>119</v>
      </c>
      <c r="G5" s="15" t="s">
        <v>89</v>
      </c>
      <c r="H5" s="13"/>
      <c r="I5" s="13"/>
      <c r="J5" s="13" t="s">
        <v>89</v>
      </c>
      <c r="K5" s="13"/>
    </row>
    <row r="6" spans="1:11">
      <c r="A6" s="16" t="s">
        <v>20</v>
      </c>
      <c r="B6" s="13" t="s">
        <v>53</v>
      </c>
      <c r="C6" s="13">
        <v>1</v>
      </c>
      <c r="D6" s="13" t="str">
        <f>IFERROR(IF(INDEX('Form 1 - Município'!D2:D500, MATCH(B6&amp;C6, INDEX('Form 1 - Município'!B2:B500&amp;'Form 1 - Município'!C2:C500, 0), 0))="", "", INDEX('Form 1 - Município'!D2:D500, MATCH(B6&amp;C6, INDEX('Form 1 - Município'!B2:B500&amp;'Form 1 - Município'!C2:C500, 0), 0))), "")</f>
        <v>Leonardo Zavilenski Fogaça</v>
      </c>
      <c r="E6" s="14" t="s">
        <v>31</v>
      </c>
      <c r="F6" s="13" t="s">
        <v>95</v>
      </c>
      <c r="G6" s="15" t="s">
        <v>89</v>
      </c>
      <c r="H6" s="13"/>
      <c r="I6" s="13"/>
      <c r="J6" s="13" t="s">
        <v>89</v>
      </c>
      <c r="K6" s="13"/>
    </row>
    <row r="7" spans="1:11">
      <c r="A7" s="19" t="s">
        <v>19</v>
      </c>
      <c r="B7" s="13" t="s">
        <v>40</v>
      </c>
      <c r="C7" s="13">
        <v>1</v>
      </c>
      <c r="D7" s="13" t="str">
        <f>IFERROR(IF(INDEX('Form 1 - Município'!D2:D500, MATCH(B7&amp;C7, INDEX('Form 1 - Município'!B2:B500&amp;'Form 1 - Município'!C2:C500, 0), 0))="", "", INDEX('Form 1 - Município'!D2:D500, MATCH(B7&amp;C7, INDEX('Form 1 - Município'!B2:B500&amp;'Form 1 - Município'!C2:C500, 0), 0))), "")</f>
        <v>Armindo Ferreira da Silva</v>
      </c>
      <c r="E7" s="14" t="s">
        <v>31</v>
      </c>
      <c r="F7" s="13" t="s">
        <v>150</v>
      </c>
      <c r="G7" s="15" t="s">
        <v>89</v>
      </c>
      <c r="H7" s="13"/>
      <c r="I7" s="13"/>
      <c r="J7" s="13" t="s">
        <v>89</v>
      </c>
      <c r="K7" s="13"/>
    </row>
    <row r="8" spans="1:11">
      <c r="A8" s="12" t="s">
        <v>18</v>
      </c>
      <c r="B8" s="13" t="s">
        <v>30</v>
      </c>
      <c r="C8" s="13">
        <v>1</v>
      </c>
      <c r="D8" s="13" t="str">
        <f>IFERROR(IF(INDEX('Form 1 - Município'!D2:D500, MATCH(B8&amp;C8, INDEX('Form 1 - Município'!B2:B500&amp;'Form 1 - Município'!C2:C500, 0), 0))="", "", INDEX('Form 1 - Município'!D2:D500, MATCH(B8&amp;C8, INDEX('Form 1 - Município'!B2:B500&amp;'Form 1 - Município'!C2:C500, 0), 0))), "")</f>
        <v>Henderson Heim</v>
      </c>
      <c r="E8" s="14" t="s">
        <v>31</v>
      </c>
      <c r="F8" s="13" t="s">
        <v>88</v>
      </c>
      <c r="G8" s="15" t="s">
        <v>89</v>
      </c>
      <c r="H8" s="13"/>
      <c r="I8" s="13"/>
      <c r="J8" s="13" t="s">
        <v>89</v>
      </c>
      <c r="K8" s="13"/>
    </row>
    <row r="9" spans="1:11">
      <c r="A9" s="12" t="s">
        <v>18</v>
      </c>
      <c r="B9" s="13" t="s">
        <v>34</v>
      </c>
      <c r="C9" s="13">
        <v>1</v>
      </c>
      <c r="D9" s="13" t="str">
        <f>IFERROR(IF(INDEX('Form 1 - Município'!D2:D500, MATCH(B9&amp;C9, INDEX('Form 1 - Município'!B2:B500&amp;'Form 1 - Município'!C2:C500, 0), 0))="", "", INDEX('Form 1 - Município'!D2:D500, MATCH(B9&amp;C9, INDEX('Form 1 - Município'!B2:B500&amp;'Form 1 - Município'!C2:C500, 0), 0))), "")</f>
        <v>Helton Pinto de Castro</v>
      </c>
      <c r="E9" s="20" t="s">
        <v>33</v>
      </c>
      <c r="F9" s="13"/>
      <c r="G9" s="15" t="s">
        <v>89</v>
      </c>
      <c r="H9" s="13"/>
      <c r="I9" s="13"/>
      <c r="J9" s="13" t="s">
        <v>89</v>
      </c>
      <c r="K9" s="13"/>
    </row>
    <row r="10" spans="1:11">
      <c r="A10" s="12" t="s">
        <v>18</v>
      </c>
      <c r="B10" s="13" t="s">
        <v>35</v>
      </c>
      <c r="C10" s="13">
        <v>1</v>
      </c>
      <c r="D10" s="13" t="str">
        <f>IFERROR(IF(INDEX('Form 1 - Município'!D2:D500, MATCH(B10&amp;C10, INDEX('Form 1 - Município'!B2:B500&amp;'Form 1 - Município'!C2:C500, 0), 0))="", "", INDEX('Form 1 - Município'!D2:D500, MATCH(B10&amp;C10, INDEX('Form 1 - Município'!B2:B500&amp;'Form 1 - Município'!C2:C500, 0), 0))), "")</f>
        <v>Jose roberto pogioli</v>
      </c>
      <c r="E10" s="20" t="s">
        <v>33</v>
      </c>
      <c r="F10" s="13"/>
      <c r="G10" s="15" t="s">
        <v>89</v>
      </c>
      <c r="H10" s="13"/>
      <c r="I10" s="13"/>
      <c r="J10" s="13" t="s">
        <v>89</v>
      </c>
      <c r="K10" s="13"/>
    </row>
    <row r="11" spans="1:11">
      <c r="A11" s="16" t="s">
        <v>20</v>
      </c>
      <c r="B11" s="13" t="s">
        <v>54</v>
      </c>
      <c r="C11" s="13">
        <v>1</v>
      </c>
      <c r="D11" s="13" t="str">
        <f>IFERROR(IF(INDEX('Form 1 - Município'!D2:D500, MATCH(B11&amp;C11, INDEX('Form 1 - Município'!B2:B500&amp;'Form 1 - Município'!C2:C500, 0), 0))="", "", INDEX('Form 1 - Município'!D2:D500, MATCH(B11&amp;C11, INDEX('Form 1 - Município'!B2:B500&amp;'Form 1 - Município'!C2:C500, 0), 0))), "")</f>
        <v>Analigia de Santana Abreu</v>
      </c>
      <c r="E11" s="14" t="s">
        <v>31</v>
      </c>
      <c r="F11" s="13" t="s">
        <v>88</v>
      </c>
      <c r="G11" s="15" t="s">
        <v>89</v>
      </c>
      <c r="H11" s="13"/>
      <c r="I11" s="13"/>
      <c r="J11" s="13" t="s">
        <v>89</v>
      </c>
      <c r="K11" s="13"/>
    </row>
    <row r="12" spans="1:11">
      <c r="A12" s="16" t="s">
        <v>20</v>
      </c>
      <c r="B12" s="13" t="s">
        <v>55</v>
      </c>
      <c r="C12" s="13">
        <v>1</v>
      </c>
      <c r="D12" s="13" t="str">
        <f>IFERROR(IF(INDEX('Form 1 - Município'!D2:D500, MATCH(B12&amp;C12, INDEX('Form 1 - Município'!B2:B500&amp;'Form 1 - Município'!C2:C500, 0), 0))="", "", INDEX('Form 1 - Município'!D2:D500, MATCH(B12&amp;C12, INDEX('Form 1 - Município'!B2:B500&amp;'Form 1 - Município'!C2:C500, 0), 0))), "")</f>
        <v xml:space="preserve">Anderson Bergamasco Hryczyna </v>
      </c>
      <c r="E12" s="14" t="s">
        <v>31</v>
      </c>
      <c r="F12" s="13" t="s">
        <v>105</v>
      </c>
      <c r="G12" s="15" t="s">
        <v>89</v>
      </c>
      <c r="H12" s="13"/>
      <c r="I12" s="13"/>
      <c r="J12" s="13" t="s">
        <v>89</v>
      </c>
      <c r="K12" s="13"/>
    </row>
    <row r="13" spans="1:11">
      <c r="A13" s="19" t="s">
        <v>19</v>
      </c>
      <c r="B13" s="13" t="s">
        <v>41</v>
      </c>
      <c r="C13" s="13">
        <v>1</v>
      </c>
      <c r="D13" s="13" t="str">
        <f>IFERROR(IF(INDEX('Form 1 - Município'!D2:D500, MATCH(B13&amp;C13, INDEX('Form 1 - Município'!B2:B500&amp;'Form 1 - Município'!C2:C500, 0), 0))="", "", INDEX('Form 1 - Município'!D2:D500, MATCH(B13&amp;C13, INDEX('Form 1 - Município'!B2:B500&amp;'Form 1 - Município'!C2:C500, 0), 0))), "")</f>
        <v>Andressa da Silva</v>
      </c>
      <c r="E13" s="20" t="s">
        <v>33</v>
      </c>
      <c r="F13" s="13"/>
      <c r="G13" s="15" t="s">
        <v>89</v>
      </c>
      <c r="H13" s="13"/>
      <c r="I13" s="13"/>
      <c r="J13" s="13" t="s">
        <v>89</v>
      </c>
      <c r="K13" s="13"/>
    </row>
    <row r="14" spans="1:11">
      <c r="A14" s="19" t="s">
        <v>19</v>
      </c>
      <c r="B14" s="13" t="s">
        <v>42</v>
      </c>
      <c r="C14" s="13">
        <v>1</v>
      </c>
      <c r="D14" s="13" t="str">
        <f>IFERROR(IF(INDEX('Form 1 - Município'!D2:D500, MATCH(B14&amp;C14, INDEX('Form 1 - Município'!B2:B500&amp;'Form 1 - Município'!C2:C500, 0), 0))="", "", INDEX('Form 1 - Município'!D2:D500, MATCH(B14&amp;C14, INDEX('Form 1 - Município'!B2:B500&amp;'Form 1 - Município'!C2:C500, 0), 0))), "")</f>
        <v>Isadora Gil</v>
      </c>
      <c r="E14" s="14" t="s">
        <v>31</v>
      </c>
      <c r="F14" s="13" t="s">
        <v>151</v>
      </c>
      <c r="G14" s="15" t="s">
        <v>89</v>
      </c>
      <c r="H14" s="13"/>
      <c r="I14" s="13"/>
      <c r="J14" s="13" t="s">
        <v>89</v>
      </c>
      <c r="K14" s="13"/>
    </row>
    <row r="15" spans="1:11">
      <c r="A15" s="12" t="s">
        <v>18</v>
      </c>
      <c r="B15" s="13" t="s">
        <v>36</v>
      </c>
      <c r="C15" s="13">
        <v>1</v>
      </c>
      <c r="D15" s="13" t="str">
        <f>IFERROR(IF(INDEX('Form 1 - Município'!D2:D500, MATCH(B15&amp;C15, INDEX('Form 1 - Município'!B2:B500&amp;'Form 1 - Município'!C2:C500, 0), 0))="", "", INDEX('Form 1 - Município'!D2:D500, MATCH(B15&amp;C15, INDEX('Form 1 - Município'!B2:B500&amp;'Form 1 - Município'!C2:C500, 0), 0))), "")</f>
        <v>Marcella Regyna Scarassatti</v>
      </c>
      <c r="E15" s="14" t="s">
        <v>31</v>
      </c>
      <c r="F15" s="13" t="s">
        <v>95</v>
      </c>
      <c r="G15" s="15" t="s">
        <v>89</v>
      </c>
      <c r="H15" s="13"/>
      <c r="I15" s="13"/>
      <c r="J15" s="13" t="s">
        <v>89</v>
      </c>
      <c r="K15" s="13"/>
    </row>
    <row r="16" spans="1:11">
      <c r="A16" s="19" t="s">
        <v>19</v>
      </c>
      <c r="B16" s="13" t="s">
        <v>43</v>
      </c>
      <c r="C16" s="13">
        <v>1</v>
      </c>
      <c r="D16" s="13" t="str">
        <f>IFERROR(IF(INDEX('Form 1 - Município'!D2:D500, MATCH(B16&amp;C16, INDEX('Form 1 - Município'!B2:B500&amp;'Form 1 - Município'!C2:C500, 0), 0))="", "", INDEX('Form 1 - Município'!D2:D500, MATCH(B16&amp;C16, INDEX('Form 1 - Município'!B2:B500&amp;'Form 1 - Município'!C2:C500, 0), 0))), "")</f>
        <v>Emerson Henrique Moreira</v>
      </c>
      <c r="E16" s="20" t="s">
        <v>33</v>
      </c>
      <c r="F16" s="13"/>
      <c r="G16" s="15" t="s">
        <v>89</v>
      </c>
      <c r="H16" s="13"/>
      <c r="I16" s="13"/>
      <c r="J16" s="13" t="s">
        <v>89</v>
      </c>
      <c r="K16" s="13"/>
    </row>
    <row r="17" spans="1:11">
      <c r="A17" s="16" t="s">
        <v>20</v>
      </c>
      <c r="B17" s="13" t="s">
        <v>56</v>
      </c>
      <c r="C17" s="13">
        <v>1</v>
      </c>
      <c r="D17" s="13" t="str">
        <f>IFERROR(IF(INDEX('Form 1 - Município'!D2:D500, MATCH(B17&amp;C17, INDEX('Form 1 - Município'!B2:B500&amp;'Form 1 - Município'!C2:C500, 0), 0))="", "", INDEX('Form 1 - Município'!D2:D500, MATCH(B17&amp;C17, INDEX('Form 1 - Município'!B2:B500&amp;'Form 1 - Município'!C2:C500, 0), 0))), "")</f>
        <v>Fabio Soares Clemente</v>
      </c>
      <c r="E17" s="14" t="s">
        <v>31</v>
      </c>
      <c r="F17" s="13" t="s">
        <v>112</v>
      </c>
      <c r="G17" s="15" t="s">
        <v>89</v>
      </c>
      <c r="H17" s="13"/>
      <c r="I17" s="13"/>
      <c r="J17" s="13" t="s">
        <v>89</v>
      </c>
      <c r="K17" s="13"/>
    </row>
    <row r="18" spans="1:11">
      <c r="A18" s="19" t="s">
        <v>19</v>
      </c>
      <c r="B18" s="13" t="s">
        <v>44</v>
      </c>
      <c r="C18" s="13">
        <v>1</v>
      </c>
      <c r="D18" s="13" t="str">
        <f>IFERROR(IF(INDEX('Form 1 - Município'!D2:D500, MATCH(B18&amp;C18, INDEX('Form 1 - Município'!B2:B500&amp;'Form 1 - Município'!C2:C500, 0), 0))="", "", INDEX('Form 1 - Município'!D2:D500, MATCH(B18&amp;C18, INDEX('Form 1 - Município'!B2:B500&amp;'Form 1 - Município'!C2:C500, 0), 0))), "")</f>
        <v>Valdirlei de Araujo</v>
      </c>
      <c r="E18" s="14" t="s">
        <v>31</v>
      </c>
      <c r="F18" s="13" t="s">
        <v>152</v>
      </c>
      <c r="G18" s="15" t="s">
        <v>89</v>
      </c>
      <c r="H18" s="13"/>
      <c r="I18" s="13"/>
      <c r="J18" s="13" t="s">
        <v>89</v>
      </c>
      <c r="K18" s="13"/>
    </row>
    <row r="19" spans="1:11">
      <c r="A19" s="12" t="s">
        <v>18</v>
      </c>
      <c r="B19" s="13" t="s">
        <v>37</v>
      </c>
      <c r="C19" s="13">
        <v>1</v>
      </c>
      <c r="D19" s="13" t="str">
        <f>IFERROR(IF(INDEX('Form 1 - Município'!D2:D500, MATCH(B19&amp;C19, INDEX('Form 1 - Município'!B2:B500&amp;'Form 1 - Município'!C2:C500, 0), 0))="", "", INDEX('Form 1 - Município'!D2:D500, MATCH(B19&amp;C19, INDEX('Form 1 - Município'!B2:B500&amp;'Form 1 - Município'!C2:C500, 0), 0))), "")</f>
        <v>Glassys Louise de Souza Cortez</v>
      </c>
      <c r="E19" s="14" t="s">
        <v>31</v>
      </c>
      <c r="F19" s="13" t="s">
        <v>153</v>
      </c>
      <c r="G19" s="15" t="s">
        <v>89</v>
      </c>
      <c r="H19" s="13"/>
      <c r="I19" s="13"/>
      <c r="J19" s="13" t="s">
        <v>89</v>
      </c>
      <c r="K19" s="13"/>
    </row>
    <row r="20" spans="1:11">
      <c r="A20" s="16" t="s">
        <v>20</v>
      </c>
      <c r="B20" s="13" t="s">
        <v>57</v>
      </c>
      <c r="C20" s="13">
        <v>1</v>
      </c>
      <c r="D20" s="13" t="str">
        <f>IFERROR(IF(INDEX('Form 1 - Município'!D2:D500, MATCH(B20&amp;C20, INDEX('Form 1 - Município'!B2:B500&amp;'Form 1 - Município'!C2:C500, 0), 0))="", "", INDEX('Form 1 - Município'!D2:D500, MATCH(B20&amp;C20, INDEX('Form 1 - Município'!B2:B500&amp;'Form 1 - Município'!C2:C500, 0), 0))), "")</f>
        <v>Octavio Fellipe j Barbosa</v>
      </c>
      <c r="E20" s="22" t="s">
        <v>29</v>
      </c>
      <c r="F20" s="13"/>
      <c r="G20" s="15" t="s">
        <v>89</v>
      </c>
      <c r="H20" s="13" t="s">
        <v>149</v>
      </c>
      <c r="I20" s="13"/>
      <c r="J20" s="13" t="s">
        <v>89</v>
      </c>
      <c r="K20" s="13"/>
    </row>
    <row r="21" spans="1:11">
      <c r="A21" s="16" t="s">
        <v>20</v>
      </c>
      <c r="B21" s="13" t="s">
        <v>58</v>
      </c>
      <c r="C21" s="13">
        <v>1</v>
      </c>
      <c r="D21" s="13" t="str">
        <f>IFERROR(IF(INDEX('Form 1 - Município'!D2:D500, MATCH(B21&amp;C21, INDEX('Form 1 - Município'!B2:B500&amp;'Form 1 - Município'!C2:C500, 0), 0))="", "", INDEX('Form 1 - Município'!D2:D500, MATCH(B21&amp;C21, INDEX('Form 1 - Município'!B2:B500&amp;'Form 1 - Município'!C2:C500, 0), 0))), "")</f>
        <v>Rony Eduardo Souza Terra</v>
      </c>
      <c r="E21" s="14" t="s">
        <v>31</v>
      </c>
      <c r="F21" s="13" t="s">
        <v>108</v>
      </c>
      <c r="G21" s="15" t="s">
        <v>89</v>
      </c>
      <c r="H21" s="13"/>
      <c r="I21" s="13"/>
      <c r="J21" s="13" t="s">
        <v>89</v>
      </c>
      <c r="K21" s="13"/>
    </row>
    <row r="22" spans="1:11">
      <c r="A22" s="17" t="s">
        <v>21</v>
      </c>
      <c r="B22" s="13" t="s">
        <v>62</v>
      </c>
      <c r="C22" s="13">
        <v>1</v>
      </c>
      <c r="D22" s="13" t="str">
        <f>IFERROR(IF(INDEX('Form 1 - Município'!D2:D500, MATCH(B22&amp;C22, INDEX('Form 1 - Município'!B2:B500&amp;'Form 1 - Município'!C2:C500, 0), 0))="", "", INDEX('Form 1 - Município'!D2:D500, MATCH(B22&amp;C22, INDEX('Form 1 - Município'!B2:B500&amp;'Form 1 - Município'!C2:C500, 0), 0))), "")</f>
        <v/>
      </c>
      <c r="E22" s="18" t="s">
        <v>4</v>
      </c>
      <c r="F22" s="13"/>
      <c r="G22" s="15" t="s">
        <v>89</v>
      </c>
      <c r="H22" s="13"/>
      <c r="I22" s="13"/>
      <c r="J22" s="13" t="s">
        <v>89</v>
      </c>
      <c r="K22" s="13"/>
    </row>
    <row r="23" spans="1:11">
      <c r="A23" s="19" t="s">
        <v>19</v>
      </c>
      <c r="B23" s="13" t="s">
        <v>45</v>
      </c>
      <c r="C23" s="13">
        <v>1</v>
      </c>
      <c r="D23" s="13" t="str">
        <f>IFERROR(IF(INDEX('Form 1 - Município'!D2:D500, MATCH(B23&amp;C23, INDEX('Form 1 - Município'!B2:B500&amp;'Form 1 - Município'!C2:C500, 0), 0))="", "", INDEX('Form 1 - Município'!D2:D500, MATCH(B23&amp;C23, INDEX('Form 1 - Município'!B2:B500&amp;'Form 1 - Município'!C2:C500, 0), 0))), "")</f>
        <v>Angelo Cesar Favaro</v>
      </c>
      <c r="E23" s="20" t="s">
        <v>33</v>
      </c>
      <c r="F23" s="13"/>
      <c r="G23" s="15" t="s">
        <v>89</v>
      </c>
      <c r="H23" s="13"/>
      <c r="I23" s="13"/>
      <c r="J23" s="13" t="s">
        <v>89</v>
      </c>
      <c r="K23" s="13"/>
    </row>
    <row r="24" spans="1:11">
      <c r="A24" s="17" t="s">
        <v>21</v>
      </c>
      <c r="B24" s="13" t="s">
        <v>63</v>
      </c>
      <c r="C24" s="13">
        <v>1</v>
      </c>
      <c r="D24" s="13" t="str">
        <f>IFERROR(IF(INDEX('Form 1 - Município'!D2:D500, MATCH(B24&amp;C24, INDEX('Form 1 - Município'!B2:B500&amp;'Form 1 - Município'!C2:C500, 0), 0))="", "", INDEX('Form 1 - Município'!D2:D500, MATCH(B24&amp;C24, INDEX('Form 1 - Município'!B2:B500&amp;'Form 1 - Município'!C2:C500, 0), 0))), "")</f>
        <v/>
      </c>
      <c r="E24" s="18" t="s">
        <v>4</v>
      </c>
      <c r="F24" s="13"/>
      <c r="G24" s="15" t="s">
        <v>89</v>
      </c>
      <c r="H24" s="13"/>
      <c r="I24" s="13"/>
      <c r="J24" s="13" t="s">
        <v>89</v>
      </c>
      <c r="K24" s="13"/>
    </row>
    <row r="25" spans="1:11">
      <c r="A25" s="19" t="s">
        <v>19</v>
      </c>
      <c r="B25" s="13" t="s">
        <v>46</v>
      </c>
      <c r="C25" s="13">
        <v>1</v>
      </c>
      <c r="D25" s="13" t="str">
        <f>IFERROR(IF(INDEX('Form 1 - Município'!D2:D500, MATCH(B25&amp;C25, INDEX('Form 1 - Município'!B2:B500&amp;'Form 1 - Município'!C2:C500, 0), 0))="", "", INDEX('Form 1 - Município'!D2:D500, MATCH(B25&amp;C25, INDEX('Form 1 - Município'!B2:B500&amp;'Form 1 - Município'!C2:C500, 0), 0))), "")</f>
        <v>Ana Julia Pereira</v>
      </c>
      <c r="E25" s="20" t="s">
        <v>33</v>
      </c>
      <c r="F25" s="13"/>
      <c r="G25" s="15" t="s">
        <v>89</v>
      </c>
      <c r="H25" s="13"/>
      <c r="I25" s="13"/>
      <c r="J25" s="13" t="s">
        <v>89</v>
      </c>
      <c r="K25" s="13"/>
    </row>
    <row r="26" spans="1:11">
      <c r="A26" s="19" t="s">
        <v>19</v>
      </c>
      <c r="B26" s="13" t="s">
        <v>47</v>
      </c>
      <c r="C26" s="13">
        <v>1</v>
      </c>
      <c r="D26" s="13" t="str">
        <f>IFERROR(IF(INDEX('Form 1 - Município'!D2:D500, MATCH(B26&amp;C26, INDEX('Form 1 - Município'!B2:B500&amp;'Form 1 - Município'!C2:C500, 0), 0))="", "", INDEX('Form 1 - Município'!D2:D500, MATCH(B26&amp;C26, INDEX('Form 1 - Município'!B2:B500&amp;'Form 1 - Município'!C2:C500, 0), 0))), "")</f>
        <v>Aparecido dos Santos</v>
      </c>
      <c r="E26" s="20" t="s">
        <v>33</v>
      </c>
      <c r="F26" s="13"/>
      <c r="G26" s="15" t="s">
        <v>89</v>
      </c>
      <c r="H26" s="13"/>
      <c r="I26" s="13"/>
      <c r="J26" s="13" t="s">
        <v>89</v>
      </c>
      <c r="K26" s="13"/>
    </row>
    <row r="27" spans="1:11">
      <c r="A27" s="19" t="s">
        <v>19</v>
      </c>
      <c r="B27" s="13" t="s">
        <v>48</v>
      </c>
      <c r="C27" s="13">
        <v>1</v>
      </c>
      <c r="D27" s="13" t="str">
        <f>IFERROR(IF(INDEX('Form 1 - Município'!D2:D500, MATCH(B27&amp;C27, INDEX('Form 1 - Município'!B2:B500&amp;'Form 1 - Município'!C2:C500, 0), 0))="", "", INDEX('Form 1 - Município'!D2:D500, MATCH(B27&amp;C27, INDEX('Form 1 - Município'!B2:B500&amp;'Form 1 - Município'!C2:C500, 0), 0))), "")</f>
        <v>Joao Lucas Côrtes Silva Freitas</v>
      </c>
      <c r="E27" s="14" t="s">
        <v>31</v>
      </c>
      <c r="F27" s="13" t="s">
        <v>117</v>
      </c>
      <c r="G27" s="15" t="s">
        <v>89</v>
      </c>
      <c r="H27" s="13"/>
      <c r="I27" s="13"/>
      <c r="J27" s="13" t="s">
        <v>89</v>
      </c>
      <c r="K27" s="13"/>
    </row>
    <row r="28" spans="1:11">
      <c r="A28" s="19" t="s">
        <v>19</v>
      </c>
      <c r="B28" s="13" t="s">
        <v>49</v>
      </c>
      <c r="C28" s="13">
        <v>1</v>
      </c>
      <c r="D28" s="13" t="str">
        <f>IFERROR(IF(INDEX('Form 1 - Município'!D2:D500, MATCH(B28&amp;C28, INDEX('Form 1 - Município'!B2:B500&amp;'Form 1 - Município'!C2:C500, 0), 0))="", "", INDEX('Form 1 - Município'!D2:D500, MATCH(B28&amp;C28, INDEX('Form 1 - Município'!B2:B500&amp;'Form 1 - Município'!C2:C500, 0), 0))), "")</f>
        <v>Jose Antonio Pinheiro Munhoz</v>
      </c>
      <c r="E28" s="14" t="s">
        <v>31</v>
      </c>
      <c r="F28" s="13" t="s">
        <v>102</v>
      </c>
      <c r="G28" s="15" t="s">
        <v>89</v>
      </c>
      <c r="H28" s="13"/>
      <c r="I28" s="13"/>
      <c r="J28" s="13" t="s">
        <v>89</v>
      </c>
      <c r="K28" s="13"/>
    </row>
    <row r="29" spans="1:11">
      <c r="A29" s="17" t="s">
        <v>21</v>
      </c>
      <c r="B29" s="13" t="s">
        <v>64</v>
      </c>
      <c r="C29" s="13">
        <v>1</v>
      </c>
      <c r="D29" s="13" t="str">
        <f>IFERROR(IF(INDEX('Form 1 - Município'!D2:D500, MATCH(B29&amp;C29, INDEX('Form 1 - Município'!B2:B500&amp;'Form 1 - Município'!C2:C500, 0), 0))="", "", INDEX('Form 1 - Município'!D2:D500, MATCH(B29&amp;C29, INDEX('Form 1 - Município'!B2:B500&amp;'Form 1 - Município'!C2:C500, 0), 0))), "")</f>
        <v/>
      </c>
      <c r="E29" s="18" t="s">
        <v>4</v>
      </c>
      <c r="F29" s="13"/>
      <c r="G29" s="15" t="s">
        <v>89</v>
      </c>
      <c r="H29" s="13"/>
      <c r="I29" s="13"/>
      <c r="J29" s="13" t="s">
        <v>89</v>
      </c>
      <c r="K29" s="13"/>
    </row>
    <row r="30" spans="1:11">
      <c r="A30" s="12" t="s">
        <v>18</v>
      </c>
      <c r="B30" s="13" t="s">
        <v>38</v>
      </c>
      <c r="C30" s="13">
        <v>1</v>
      </c>
      <c r="D30" s="13" t="str">
        <f>IFERROR(IF(INDEX('Form 1 - Município'!D2:D500, MATCH(B30&amp;C30, INDEX('Form 1 - Município'!B2:B500&amp;'Form 1 - Município'!C2:C500, 0), 0))="", "", INDEX('Form 1 - Município'!D2:D500, MATCH(B30&amp;C30, INDEX('Form 1 - Município'!B2:B500&amp;'Form 1 - Município'!C2:C500, 0), 0))), "")</f>
        <v>Alana Bardela dos Santos</v>
      </c>
      <c r="E30" s="20" t="s">
        <v>33</v>
      </c>
      <c r="F30" s="13"/>
      <c r="G30" s="15" t="s">
        <v>89</v>
      </c>
      <c r="H30" s="13"/>
      <c r="I30" s="13"/>
      <c r="J30" s="13" t="s">
        <v>89</v>
      </c>
      <c r="K30" s="13"/>
    </row>
    <row r="31" spans="1:11">
      <c r="A31" s="19" t="s">
        <v>19</v>
      </c>
      <c r="B31" s="13" t="s">
        <v>50</v>
      </c>
      <c r="C31" s="13">
        <v>1</v>
      </c>
      <c r="D31" s="13" t="str">
        <f>IFERROR(IF(INDEX('Form 1 - Município'!D2:D500, MATCH(B31&amp;C31, INDEX('Form 1 - Município'!B2:B500&amp;'Form 1 - Município'!C2:C500, 0), 0))="", "", INDEX('Form 1 - Município'!D2:D500, MATCH(B31&amp;C31, INDEX('Form 1 - Município'!B2:B500&amp;'Form 1 - Município'!C2:C500, 0), 0))), "")</f>
        <v>Diogo Augusto Graeff Vizini</v>
      </c>
      <c r="E31" s="20" t="s">
        <v>33</v>
      </c>
      <c r="F31" s="13"/>
      <c r="G31" s="15" t="s">
        <v>89</v>
      </c>
      <c r="H31" s="13"/>
      <c r="I31" s="13"/>
      <c r="J31" s="13" t="s">
        <v>89</v>
      </c>
      <c r="K31" s="13"/>
    </row>
    <row r="32" spans="1:11">
      <c r="A32" s="12" t="s">
        <v>18</v>
      </c>
      <c r="B32" s="13" t="s">
        <v>39</v>
      </c>
      <c r="C32" s="13">
        <v>1</v>
      </c>
      <c r="D32" s="13" t="str">
        <f>IFERROR(IF(INDEX('Form 1 - Município'!D2:D500, MATCH(B32&amp;C32, INDEX('Form 1 - Município'!B2:B500&amp;'Form 1 - Município'!C2:C500, 0), 0))="", "", INDEX('Form 1 - Município'!D2:D500, MATCH(B32&amp;C32, INDEX('Form 1 - Município'!B2:B500&amp;'Form 1 - Município'!C2:C500, 0), 0))), "")</f>
        <v>Tiago Cabrera de Oliveira</v>
      </c>
      <c r="E32" s="14" t="s">
        <v>31</v>
      </c>
      <c r="F32" s="13" t="s">
        <v>130</v>
      </c>
      <c r="G32" s="15" t="s">
        <v>89</v>
      </c>
      <c r="H32" s="13"/>
      <c r="I32" s="13"/>
      <c r="J32" s="13" t="s">
        <v>89</v>
      </c>
      <c r="K32" s="13"/>
    </row>
    <row r="33" spans="1:11">
      <c r="A33" s="16" t="s">
        <v>20</v>
      </c>
      <c r="B33" s="13" t="s">
        <v>59</v>
      </c>
      <c r="C33" s="13">
        <v>1</v>
      </c>
      <c r="D33" s="13" t="str">
        <f>IFERROR(IF(INDEX('Form 1 - Município'!D2:D500, MATCH(B33&amp;C33, INDEX('Form 1 - Município'!B2:B500&amp;'Form 1 - Município'!C2:C500, 0), 0))="", "", INDEX('Form 1 - Município'!D2:D500, MATCH(B33&amp;C33, INDEX('Form 1 - Município'!B2:B500&amp;'Form 1 - Município'!C2:C500, 0), 0))), "")</f>
        <v>Vanessa Diovana Biassi Soares</v>
      </c>
      <c r="E33" s="14" t="s">
        <v>31</v>
      </c>
      <c r="F33" s="13" t="s">
        <v>133</v>
      </c>
      <c r="G33" s="15" t="s">
        <v>89</v>
      </c>
      <c r="H33" s="13"/>
      <c r="I33" s="13"/>
      <c r="J33" s="13" t="s">
        <v>89</v>
      </c>
      <c r="K33" s="13"/>
    </row>
    <row r="34" spans="1:11">
      <c r="A34" s="16" t="s">
        <v>20</v>
      </c>
      <c r="B34" s="13" t="s">
        <v>60</v>
      </c>
      <c r="C34" s="13">
        <v>1</v>
      </c>
      <c r="D34" s="13" t="str">
        <f>IFERROR(IF(INDEX('Form 1 - Município'!D2:D500, MATCH(B34&amp;C34, INDEX('Form 1 - Município'!B2:B500&amp;'Form 1 - Município'!C2:C500, 0), 0))="", "", INDEX('Form 1 - Município'!D2:D500, MATCH(B34&amp;C34, INDEX('Form 1 - Município'!B2:B500&amp;'Form 1 - Município'!C2:C500, 0), 0))), "")</f>
        <v>Carlos Eduardo Meira Freire</v>
      </c>
      <c r="E34" s="14" t="s">
        <v>31</v>
      </c>
      <c r="F34" s="13" t="s">
        <v>112</v>
      </c>
      <c r="G34" s="15" t="s">
        <v>89</v>
      </c>
      <c r="H34" s="13"/>
      <c r="I34" s="13"/>
      <c r="J34" s="13" t="s">
        <v>89</v>
      </c>
      <c r="K34" s="13"/>
    </row>
    <row r="35" spans="1:11">
      <c r="A35" s="21" t="s">
        <v>22</v>
      </c>
      <c r="B35" s="13" t="s">
        <v>65</v>
      </c>
      <c r="C35" s="13">
        <v>1</v>
      </c>
      <c r="D35" s="13" t="str">
        <f>IFERROR(IF(INDEX('Form 1 - Município'!D2:D500, MATCH(B35&amp;C35, INDEX('Form 1 - Município'!B2:B500&amp;'Form 1 - Município'!C2:C500, 0), 0))="", "", INDEX('Form 1 - Município'!D2:D500, MATCH(B35&amp;C35, INDEX('Form 1 - Município'!B2:B500&amp;'Form 1 - Município'!C2:C500, 0), 0))), "")</f>
        <v>Vania Tomazelli de Lima</v>
      </c>
      <c r="E35" s="14" t="s">
        <v>31</v>
      </c>
      <c r="F35" s="13" t="s">
        <v>105</v>
      </c>
      <c r="G35" s="15" t="s">
        <v>89</v>
      </c>
      <c r="H35" s="13"/>
      <c r="I35" s="13"/>
      <c r="J35" s="13" t="s">
        <v>89</v>
      </c>
      <c r="K35" s="13"/>
    </row>
    <row r="36" spans="1:11">
      <c r="A36" s="21" t="s">
        <v>22</v>
      </c>
      <c r="B36" s="13" t="s">
        <v>66</v>
      </c>
      <c r="C36" s="13">
        <v>1</v>
      </c>
      <c r="D36" s="13" t="str">
        <f>IFERROR(IF(INDEX('Form 1 - Município'!D2:D500, MATCH(B36&amp;C36, INDEX('Form 1 - Município'!B2:B500&amp;'Form 1 - Município'!C2:C500, 0), 0))="", "", INDEX('Form 1 - Município'!D2:D500, MATCH(B36&amp;C36, INDEX('Form 1 - Município'!B2:B500&amp;'Form 1 - Município'!C2:C500, 0), 0))), "")</f>
        <v>Jose Elias Calonga Cunha</v>
      </c>
      <c r="E36" s="20" t="s">
        <v>33</v>
      </c>
      <c r="F36" s="13"/>
      <c r="G36" s="15" t="s">
        <v>89</v>
      </c>
      <c r="H36" s="13"/>
      <c r="I36" s="13"/>
      <c r="J36" s="13" t="s">
        <v>89</v>
      </c>
      <c r="K36" s="13"/>
    </row>
    <row r="37" spans="1:11">
      <c r="A37" s="21" t="s">
        <v>22</v>
      </c>
      <c r="B37" s="13" t="s">
        <v>67</v>
      </c>
      <c r="C37" s="13">
        <v>1</v>
      </c>
      <c r="D37" s="13" t="str">
        <f>IFERROR(IF(INDEX('Form 1 - Município'!D2:D500, MATCH(B37&amp;C37, INDEX('Form 1 - Município'!B2:B500&amp;'Form 1 - Município'!C2:C500, 0), 0))="", "", INDEX('Form 1 - Município'!D2:D500, MATCH(B37&amp;C37, INDEX('Form 1 - Município'!B2:B500&amp;'Form 1 - Município'!C2:C500, 0), 0))), "")</f>
        <v>Gustavo Becker Modesto Silva</v>
      </c>
      <c r="E37" s="14" t="s">
        <v>31</v>
      </c>
      <c r="F37" s="13" t="s">
        <v>137</v>
      </c>
      <c r="G37" s="15" t="s">
        <v>89</v>
      </c>
      <c r="H37" s="13"/>
      <c r="I37" s="13"/>
      <c r="J37" s="13" t="s">
        <v>89</v>
      </c>
      <c r="K37" s="13"/>
    </row>
    <row r="38" spans="1:11">
      <c r="A38" s="21" t="s">
        <v>22</v>
      </c>
      <c r="B38" s="13" t="s">
        <v>68</v>
      </c>
      <c r="C38" s="13">
        <v>1</v>
      </c>
      <c r="D38" s="13" t="str">
        <f>IFERROR(IF(INDEX('Form 1 - Município'!D2:D500, MATCH(B38&amp;C38, INDEX('Form 1 - Município'!B2:B500&amp;'Form 1 - Município'!C2:C500, 0), 0))="", "", INDEX('Form 1 - Município'!D2:D500, MATCH(B38&amp;C38, INDEX('Form 1 - Município'!B2:B500&amp;'Form 1 - Município'!C2:C500, 0), 0))), "")</f>
        <v>Wendel Ortiz dos Santos</v>
      </c>
      <c r="E38" s="20" t="s">
        <v>33</v>
      </c>
      <c r="F38" s="13"/>
      <c r="G38" s="15" t="s">
        <v>89</v>
      </c>
      <c r="H38" s="13"/>
      <c r="I38" s="13"/>
      <c r="J38" s="13" t="s">
        <v>89</v>
      </c>
      <c r="K38" s="13"/>
    </row>
    <row r="39" spans="1:11">
      <c r="A39" s="21" t="s">
        <v>22</v>
      </c>
      <c r="B39" s="13" t="s">
        <v>69</v>
      </c>
      <c r="C39" s="13">
        <v>1</v>
      </c>
      <c r="D39" s="13" t="str">
        <f>IFERROR(IF(INDEX('Form 1 - Município'!D2:D500, MATCH(B39&amp;C39, INDEX('Form 1 - Município'!B2:B500&amp;'Form 1 - Município'!C2:C500, 0), 0))="", "", INDEX('Form 1 - Município'!D2:D500, MATCH(B39&amp;C39, INDEX('Form 1 - Município'!B2:B500&amp;'Form 1 - Município'!C2:C500, 0), 0))), "")</f>
        <v>Edvaldo José de Souza</v>
      </c>
      <c r="E39" s="14" t="s">
        <v>31</v>
      </c>
      <c r="F39" s="13" t="s">
        <v>88</v>
      </c>
      <c r="G39" s="15" t="s">
        <v>89</v>
      </c>
      <c r="H39" s="13"/>
      <c r="I39" s="13"/>
      <c r="J39" s="13" t="s">
        <v>89</v>
      </c>
      <c r="K39" s="13"/>
    </row>
    <row r="40" spans="1:11">
      <c r="A40" s="21" t="s">
        <v>22</v>
      </c>
      <c r="B40" s="13" t="s">
        <v>70</v>
      </c>
      <c r="C40" s="13">
        <v>1</v>
      </c>
      <c r="D40" s="13" t="str">
        <f>IFERROR(IF(INDEX('Form 1 - Município'!D2:D500, MATCH(B40&amp;C40, INDEX('Form 1 - Município'!B2:B500&amp;'Form 1 - Município'!C2:C500, 0), 0))="", "", INDEX('Form 1 - Município'!D2:D500, MATCH(B40&amp;C40, INDEX('Form 1 - Município'!B2:B500&amp;'Form 1 - Município'!C2:C500, 0), 0))), "")</f>
        <v>Sirlei Aparecida Costa Souza</v>
      </c>
      <c r="E40" s="20" t="s">
        <v>33</v>
      </c>
      <c r="F40" s="13"/>
      <c r="G40" s="15" t="s">
        <v>89</v>
      </c>
      <c r="H40" s="13"/>
      <c r="I40" s="13"/>
      <c r="J40" s="13" t="s">
        <v>89</v>
      </c>
      <c r="K40" s="13"/>
    </row>
    <row r="41" spans="1:11">
      <c r="A41" s="21" t="s">
        <v>22</v>
      </c>
      <c r="B41" s="13" t="s">
        <v>71</v>
      </c>
      <c r="C41" s="13">
        <v>1</v>
      </c>
      <c r="D41" s="13" t="str">
        <f>IFERROR(IF(INDEX('Form 1 - Município'!D2:D500, MATCH(B41&amp;C41, INDEX('Form 1 - Município'!B2:B500&amp;'Form 1 - Município'!C2:C500, 0), 0))="", "", INDEX('Form 1 - Município'!D2:D500, MATCH(B41&amp;C41, INDEX('Form 1 - Município'!B2:B500&amp;'Form 1 - Município'!C2:C500, 0), 0))), "")</f>
        <v>Fredson Julio de Oliveira</v>
      </c>
      <c r="E41" s="14" t="s">
        <v>31</v>
      </c>
      <c r="F41" s="13" t="s">
        <v>151</v>
      </c>
      <c r="G41" s="15" t="s">
        <v>89</v>
      </c>
      <c r="H41" s="13"/>
      <c r="I41" s="13"/>
      <c r="J41" s="13" t="s">
        <v>89</v>
      </c>
      <c r="K41" s="13"/>
    </row>
    <row r="42" spans="1:11">
      <c r="A42" s="21" t="s">
        <v>22</v>
      </c>
      <c r="B42" s="13" t="s">
        <v>72</v>
      </c>
      <c r="C42" s="13">
        <v>1</v>
      </c>
      <c r="D42" s="13" t="str">
        <f>IFERROR(IF(INDEX('Form 1 - Município'!D2:D500, MATCH(B42&amp;C42, INDEX('Form 1 - Município'!B2:B500&amp;'Form 1 - Município'!C2:C500, 0), 0))="", "", INDEX('Form 1 - Município'!D2:D500, MATCH(B42&amp;C42, INDEX('Form 1 - Município'!B2:B500&amp;'Form 1 - Município'!C2:C500, 0), 0))), "")</f>
        <v>Mayara Cristina Neves Abel</v>
      </c>
      <c r="E42" s="22" t="s">
        <v>29</v>
      </c>
      <c r="F42" s="13"/>
      <c r="G42" s="15" t="s">
        <v>89</v>
      </c>
      <c r="H42" s="13" t="s">
        <v>154</v>
      </c>
      <c r="I42" s="13"/>
      <c r="J42" s="13" t="s">
        <v>89</v>
      </c>
      <c r="K42" s="13"/>
    </row>
    <row r="43" spans="1:11">
      <c r="A43" s="21" t="s">
        <v>22</v>
      </c>
      <c r="B43" s="13" t="s">
        <v>73</v>
      </c>
      <c r="C43" s="13">
        <v>1</v>
      </c>
      <c r="D43" s="13" t="str">
        <f>IFERROR(IF(INDEX('Form 1 - Município'!D2:D500, MATCH(B43&amp;C43, INDEX('Form 1 - Município'!B2:B500&amp;'Form 1 - Município'!C2:C500, 0), 0))="", "", INDEX('Form 1 - Município'!D2:D500, MATCH(B43&amp;C43, INDEX('Form 1 - Município'!B2:B500&amp;'Form 1 - Município'!C2:C500, 0), 0))), "")</f>
        <v>Leandra Aymê Alves Elias Assumpcao</v>
      </c>
      <c r="E43" s="14" t="s">
        <v>31</v>
      </c>
      <c r="F43" s="13" t="s">
        <v>100</v>
      </c>
      <c r="G43" s="15" t="s">
        <v>89</v>
      </c>
      <c r="H43" s="13"/>
      <c r="I43" s="13"/>
      <c r="J43" s="13" t="s">
        <v>89</v>
      </c>
      <c r="K43" s="13"/>
    </row>
    <row r="44" spans="1:11">
      <c r="A44" s="21" t="s">
        <v>22</v>
      </c>
      <c r="B44" s="13" t="s">
        <v>74</v>
      </c>
      <c r="C44" s="13">
        <v>1</v>
      </c>
      <c r="D44" s="13" t="str">
        <f>IFERROR(IF(INDEX('Form 1 - Município'!D2:D500, MATCH(B44&amp;C44, INDEX('Form 1 - Município'!B2:B500&amp;'Form 1 - Município'!C2:C500, 0), 0))="", "", INDEX('Form 1 - Município'!D2:D500, MATCH(B44&amp;C44, INDEX('Form 1 - Município'!B2:B500&amp;'Form 1 - Município'!C2:C500, 0), 0))), "")</f>
        <v>Camila Bomfim de Carvalho Ferreira</v>
      </c>
      <c r="E44" s="14" t="s">
        <v>31</v>
      </c>
      <c r="F44" s="13" t="s">
        <v>133</v>
      </c>
      <c r="G44" s="15" t="s">
        <v>89</v>
      </c>
      <c r="H44" s="13"/>
      <c r="I44" s="13"/>
      <c r="J44" s="13" t="s">
        <v>89</v>
      </c>
      <c r="K44" s="13"/>
    </row>
    <row r="45" spans="1:11">
      <c r="A45" s="21" t="s">
        <v>22</v>
      </c>
      <c r="B45" s="13" t="s">
        <v>75</v>
      </c>
      <c r="C45" s="13">
        <v>1</v>
      </c>
      <c r="D45" s="13" t="str">
        <f>IFERROR(IF(INDEX('Form 1 - Município'!D2:D500, MATCH(B45&amp;C45, INDEX('Form 1 - Município'!B2:B500&amp;'Form 1 - Município'!C2:C500, 0), 0))="", "", INDEX('Form 1 - Município'!D2:D500, MATCH(B45&amp;C45, INDEX('Form 1 - Município'!B2:B500&amp;'Form 1 - Município'!C2:C500, 0), 0))), "")</f>
        <v>Paulo Ricardo Klaus</v>
      </c>
      <c r="E45" s="14" t="s">
        <v>31</v>
      </c>
      <c r="F45" s="13" t="s">
        <v>100</v>
      </c>
      <c r="G45" s="15" t="s">
        <v>89</v>
      </c>
      <c r="H45" s="13"/>
      <c r="I45" s="13"/>
      <c r="J45" s="13" t="s">
        <v>89</v>
      </c>
      <c r="K45" s="13"/>
    </row>
    <row r="46" spans="1:11">
      <c r="A46" s="21" t="s">
        <v>22</v>
      </c>
      <c r="B46" s="13" t="s">
        <v>76</v>
      </c>
      <c r="C46" s="13">
        <v>1</v>
      </c>
      <c r="D46" s="13" t="str">
        <f>IFERROR(IF(INDEX('Form 1 - Município'!D2:D500, MATCH(B46&amp;C46, INDEX('Form 1 - Município'!B2:B500&amp;'Form 1 - Município'!C2:C500, 0), 0))="", "", INDEX('Form 1 - Município'!D2:D500, MATCH(B46&amp;C46, INDEX('Form 1 - Município'!B2:B500&amp;'Form 1 - Município'!C2:C500, 0), 0))), "")</f>
        <v/>
      </c>
      <c r="E46" s="18" t="s">
        <v>4</v>
      </c>
      <c r="F46" s="13"/>
      <c r="G46" s="15" t="s">
        <v>89</v>
      </c>
      <c r="H46" s="13"/>
      <c r="I46" s="13"/>
      <c r="J46" s="13" t="s">
        <v>89</v>
      </c>
      <c r="K46" s="13"/>
    </row>
    <row r="47" spans="1:11">
      <c r="A47" s="21" t="s">
        <v>22</v>
      </c>
      <c r="B47" s="13" t="s">
        <v>77</v>
      </c>
      <c r="C47" s="13">
        <v>1</v>
      </c>
      <c r="D47" s="13" t="str">
        <f>IFERROR(IF(INDEX('Form 1 - Município'!D2:D500, MATCH(B47&amp;C47, INDEX('Form 1 - Município'!B2:B500&amp;'Form 1 - Município'!C2:C500, 0), 0))="", "", INDEX('Form 1 - Município'!D2:D500, MATCH(B47&amp;C47, INDEX('Form 1 - Município'!B2:B500&amp;'Form 1 - Município'!C2:C500, 0), 0))), "")</f>
        <v>Adiel Correia Nogueira</v>
      </c>
      <c r="E47" s="14" t="s">
        <v>31</v>
      </c>
      <c r="F47" s="13" t="s">
        <v>93</v>
      </c>
      <c r="G47" s="15" t="s">
        <v>89</v>
      </c>
      <c r="H47" s="13"/>
      <c r="I47" s="13"/>
      <c r="J47" s="13" t="s">
        <v>89</v>
      </c>
      <c r="K47" s="13"/>
    </row>
  </sheetData>
  <autoFilter ref="A1:G1" xr:uid="{00000000-0009-0000-0000-000003000000}"/>
  <conditionalFormatting sqref="G2:G47">
    <cfRule type="cellIs" dxfId="19" priority="1" stopIfTrue="1" operator="equal">
      <formula>"Sim"</formula>
    </cfRule>
    <cfRule type="cellIs" dxfId="18" priority="3" stopIfTrue="1" operator="equal">
      <formula>"Não"</formula>
    </cfRule>
  </conditionalFormatting>
  <conditionalFormatting sqref="J2:J47">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47">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51" customWidth="1"/>
    <col min="7" max="7" width="27" customWidth="1"/>
    <col min="8" max="8" width="42"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12" t="s">
        <v>18</v>
      </c>
      <c r="B2" s="13" t="s">
        <v>28</v>
      </c>
      <c r="C2" s="13">
        <v>1</v>
      </c>
      <c r="D2" s="13" t="str">
        <f>IFERROR(IF(INDEX('Form 1 - Município'!D2:D500, MATCH(B2&amp;C2, INDEX('Form 1 - Município'!B2:B500&amp;'Form 1 - Município'!C2:C500, 0), 0))="", "", INDEX('Form 1 - Município'!D2:D500, MATCH(B2&amp;C2, INDEX('Form 1 - Município'!B2:B500&amp;'Form 1 - Município'!C2:C500, 0), 0))), "")</f>
        <v>Danúbia Hotrich dos Santos Silva</v>
      </c>
      <c r="E2" s="22" t="s">
        <v>29</v>
      </c>
      <c r="F2" s="13"/>
      <c r="G2" s="15" t="s">
        <v>89</v>
      </c>
      <c r="H2" s="13" t="s">
        <v>149</v>
      </c>
      <c r="I2" s="13"/>
      <c r="J2" s="13" t="s">
        <v>89</v>
      </c>
      <c r="K2" s="13"/>
    </row>
    <row r="3" spans="1:11">
      <c r="A3" s="16" t="s">
        <v>20</v>
      </c>
      <c r="B3" s="13" t="s">
        <v>51</v>
      </c>
      <c r="C3" s="13">
        <v>1</v>
      </c>
      <c r="D3" s="13" t="str">
        <f>IFERROR(IF(INDEX('Form 1 - Município'!D2:D500, MATCH(B3&amp;C3, INDEX('Form 1 - Município'!B2:B500&amp;'Form 1 - Município'!C2:C500, 0), 0))="", "", INDEX('Form 1 - Município'!D2:D500, MATCH(B3&amp;C3, INDEX('Form 1 - Município'!B2:B500&amp;'Form 1 - Município'!C2:C500, 0), 0))), "")</f>
        <v>Beatriz Piffer</v>
      </c>
      <c r="E3" s="23" t="s">
        <v>5</v>
      </c>
      <c r="F3" s="13" t="s">
        <v>155</v>
      </c>
      <c r="G3" s="15" t="s">
        <v>89</v>
      </c>
      <c r="H3" s="13"/>
      <c r="I3" s="13"/>
      <c r="J3" s="13" t="s">
        <v>89</v>
      </c>
      <c r="K3" s="13"/>
    </row>
    <row r="4" spans="1:11">
      <c r="A4" s="17" t="s">
        <v>21</v>
      </c>
      <c r="B4" s="13" t="s">
        <v>61</v>
      </c>
      <c r="C4" s="13">
        <v>1</v>
      </c>
      <c r="D4" s="13" t="str">
        <f>IFERROR(IF(INDEX('Form 1 - Município'!D2:D500, MATCH(B4&amp;C4, INDEX('Form 1 - Município'!B2:B500&amp;'Form 1 - Município'!C2:C500, 0), 0))="", "", INDEX('Form 1 - Município'!D2:D500, MATCH(B4&amp;C4, INDEX('Form 1 - Município'!B2:B500&amp;'Form 1 - Município'!C2:C500, 0), 0))), "")</f>
        <v/>
      </c>
      <c r="E4" s="18" t="s">
        <v>4</v>
      </c>
      <c r="F4" s="13"/>
      <c r="G4" s="15" t="s">
        <v>89</v>
      </c>
      <c r="H4" s="13"/>
      <c r="I4" s="13"/>
      <c r="J4" s="13" t="s">
        <v>89</v>
      </c>
      <c r="K4" s="13"/>
    </row>
    <row r="5" spans="1:11">
      <c r="A5" s="16" t="s">
        <v>20</v>
      </c>
      <c r="B5" s="13" t="s">
        <v>52</v>
      </c>
      <c r="C5" s="13">
        <v>1</v>
      </c>
      <c r="D5" s="13" t="str">
        <f>IFERROR(IF(INDEX('Form 1 - Município'!D2:D500, MATCH(B5&amp;C5, INDEX('Form 1 - Município'!B2:B500&amp;'Form 1 - Município'!C2:C500, 0), 0))="", "", INDEX('Form 1 - Município'!D2:D500, MATCH(B5&amp;C5, INDEX('Form 1 - Município'!B2:B500&amp;'Form 1 - Município'!C2:C500, 0), 0))), "")</f>
        <v>Ana Paula Freire</v>
      </c>
      <c r="E5" s="14" t="s">
        <v>31</v>
      </c>
      <c r="F5" s="13" t="s">
        <v>117</v>
      </c>
      <c r="G5" s="24" t="s">
        <v>113</v>
      </c>
      <c r="H5" s="13"/>
      <c r="I5" s="13" t="s">
        <v>156</v>
      </c>
      <c r="J5" s="13" t="s">
        <v>113</v>
      </c>
      <c r="K5" s="13" t="s">
        <v>157</v>
      </c>
    </row>
    <row r="6" spans="1:11">
      <c r="A6" s="16" t="s">
        <v>20</v>
      </c>
      <c r="B6" s="13" t="s">
        <v>53</v>
      </c>
      <c r="C6" s="13">
        <v>1</v>
      </c>
      <c r="D6" s="13" t="str">
        <f>IFERROR(IF(INDEX('Form 1 - Município'!D2:D500, MATCH(B6&amp;C6, INDEX('Form 1 - Município'!B2:B500&amp;'Form 1 - Município'!C2:C500, 0), 0))="", "", INDEX('Form 1 - Município'!D2:D500, MATCH(B6&amp;C6, INDEX('Form 1 - Município'!B2:B500&amp;'Form 1 - Município'!C2:C500, 0), 0))), "")</f>
        <v>Leonardo Zavilenski Fogaça</v>
      </c>
      <c r="E6" s="14" t="s">
        <v>31</v>
      </c>
      <c r="F6" s="13" t="s">
        <v>95</v>
      </c>
      <c r="G6" s="15" t="s">
        <v>89</v>
      </c>
      <c r="H6" s="13"/>
      <c r="I6" s="13"/>
      <c r="J6" s="13" t="s">
        <v>89</v>
      </c>
      <c r="K6" s="13"/>
    </row>
    <row r="7" spans="1:11">
      <c r="A7" s="19" t="s">
        <v>19</v>
      </c>
      <c r="B7" s="13" t="s">
        <v>40</v>
      </c>
      <c r="C7" s="13">
        <v>1</v>
      </c>
      <c r="D7" s="13" t="str">
        <f>IFERROR(IF(INDEX('Form 1 - Município'!D2:D500, MATCH(B7&amp;C7, INDEX('Form 1 - Município'!B2:B500&amp;'Form 1 - Município'!C2:C500, 0), 0))="", "", INDEX('Form 1 - Município'!D2:D500, MATCH(B7&amp;C7, INDEX('Form 1 - Município'!B2:B500&amp;'Form 1 - Município'!C2:C500, 0), 0))), "")</f>
        <v>Armindo Ferreira da Silva</v>
      </c>
      <c r="E7" s="23" t="s">
        <v>5</v>
      </c>
      <c r="F7" s="13" t="s">
        <v>158</v>
      </c>
      <c r="G7" s="15" t="s">
        <v>89</v>
      </c>
      <c r="H7" s="13"/>
      <c r="I7" s="13"/>
      <c r="J7" s="13" t="s">
        <v>89</v>
      </c>
      <c r="K7" s="13"/>
    </row>
    <row r="8" spans="1:11">
      <c r="A8" s="12" t="s">
        <v>18</v>
      </c>
      <c r="B8" s="13" t="s">
        <v>30</v>
      </c>
      <c r="C8" s="13">
        <v>1</v>
      </c>
      <c r="D8" s="13" t="str">
        <f>IFERROR(IF(INDEX('Form 1 - Município'!D2:D500, MATCH(B8&amp;C8, INDEX('Form 1 - Município'!B2:B500&amp;'Form 1 - Município'!C2:C500, 0), 0))="", "", INDEX('Form 1 - Município'!D2:D500, MATCH(B8&amp;C8, INDEX('Form 1 - Município'!B2:B500&amp;'Form 1 - Município'!C2:C500, 0), 0))), "")</f>
        <v>Henderson Heim</v>
      </c>
      <c r="E8" s="14" t="s">
        <v>31</v>
      </c>
      <c r="F8" s="13" t="s">
        <v>146</v>
      </c>
      <c r="G8" s="15" t="s">
        <v>89</v>
      </c>
      <c r="H8" s="13"/>
      <c r="I8" s="13"/>
      <c r="J8" s="13" t="s">
        <v>89</v>
      </c>
      <c r="K8" s="13"/>
    </row>
    <row r="9" spans="1:11">
      <c r="A9" s="12" t="s">
        <v>18</v>
      </c>
      <c r="B9" s="13" t="s">
        <v>34</v>
      </c>
      <c r="C9" s="13">
        <v>1</v>
      </c>
      <c r="D9" s="13" t="str">
        <f>IFERROR(IF(INDEX('Form 1 - Município'!D2:D500, MATCH(B9&amp;C9, INDEX('Form 1 - Município'!B2:B500&amp;'Form 1 - Município'!C2:C500, 0), 0))="", "", INDEX('Form 1 - Município'!D2:D500, MATCH(B9&amp;C9, INDEX('Form 1 - Município'!B2:B500&amp;'Form 1 - Município'!C2:C500, 0), 0))), "")</f>
        <v>Helton Pinto de Castro</v>
      </c>
      <c r="E9" s="20" t="s">
        <v>33</v>
      </c>
      <c r="F9" s="13"/>
      <c r="G9" s="15" t="s">
        <v>89</v>
      </c>
      <c r="H9" s="13"/>
      <c r="I9" s="13"/>
      <c r="J9" s="13" t="s">
        <v>89</v>
      </c>
      <c r="K9" s="13"/>
    </row>
    <row r="10" spans="1:11">
      <c r="A10" s="12" t="s">
        <v>18</v>
      </c>
      <c r="B10" s="13" t="s">
        <v>35</v>
      </c>
      <c r="C10" s="13">
        <v>1</v>
      </c>
      <c r="D10" s="13" t="str">
        <f>IFERROR(IF(INDEX('Form 1 - Município'!D2:D500, MATCH(B10&amp;C10, INDEX('Form 1 - Município'!B2:B500&amp;'Form 1 - Município'!C2:C500, 0), 0))="", "", INDEX('Form 1 - Município'!D2:D500, MATCH(B10&amp;C10, INDEX('Form 1 - Município'!B2:B500&amp;'Form 1 - Município'!C2:C500, 0), 0))), "")</f>
        <v>Jose roberto pogioli</v>
      </c>
      <c r="E10" s="14" t="s">
        <v>31</v>
      </c>
      <c r="F10" s="13" t="s">
        <v>159</v>
      </c>
      <c r="G10" s="15" t="s">
        <v>89</v>
      </c>
      <c r="H10" s="13"/>
      <c r="I10" s="13"/>
      <c r="J10" s="13" t="s">
        <v>89</v>
      </c>
      <c r="K10" s="13"/>
    </row>
    <row r="11" spans="1:11">
      <c r="A11" s="16" t="s">
        <v>20</v>
      </c>
      <c r="B11" s="13" t="s">
        <v>54</v>
      </c>
      <c r="C11" s="13">
        <v>1</v>
      </c>
      <c r="D11" s="13" t="str">
        <f>IFERROR(IF(INDEX('Form 1 - Município'!D2:D500, MATCH(B11&amp;C11, INDEX('Form 1 - Município'!B2:B500&amp;'Form 1 - Município'!C2:C500, 0), 0))="", "", INDEX('Form 1 - Município'!D2:D500, MATCH(B11&amp;C11, INDEX('Form 1 - Município'!B2:B500&amp;'Form 1 - Município'!C2:C500, 0), 0))), "")</f>
        <v>Analigia de Santana Abreu</v>
      </c>
      <c r="E11" s="14" t="s">
        <v>31</v>
      </c>
      <c r="F11" s="13" t="s">
        <v>146</v>
      </c>
      <c r="G11" s="15" t="s">
        <v>89</v>
      </c>
      <c r="H11" s="13"/>
      <c r="I11" s="13"/>
      <c r="J11" s="13" t="s">
        <v>89</v>
      </c>
      <c r="K11" s="13"/>
    </row>
    <row r="12" spans="1:11">
      <c r="A12" s="16" t="s">
        <v>20</v>
      </c>
      <c r="B12" s="13" t="s">
        <v>55</v>
      </c>
      <c r="C12" s="13">
        <v>1</v>
      </c>
      <c r="D12" s="13" t="str">
        <f>IFERROR(IF(INDEX('Form 1 - Município'!D2:D500, MATCH(B12&amp;C12, INDEX('Form 1 - Município'!B2:B500&amp;'Form 1 - Município'!C2:C500, 0), 0))="", "", INDEX('Form 1 - Município'!D2:D500, MATCH(B12&amp;C12, INDEX('Form 1 - Município'!B2:B500&amp;'Form 1 - Município'!C2:C500, 0), 0))), "")</f>
        <v xml:space="preserve">Anderson Bergamasco Hryczyna </v>
      </c>
      <c r="E12" s="14" t="s">
        <v>31</v>
      </c>
      <c r="F12" s="13" t="s">
        <v>152</v>
      </c>
      <c r="G12" s="24" t="s">
        <v>113</v>
      </c>
      <c r="H12" s="13"/>
      <c r="I12" s="13" t="s">
        <v>160</v>
      </c>
      <c r="J12" s="13" t="s">
        <v>113</v>
      </c>
      <c r="K12" s="13" t="s">
        <v>161</v>
      </c>
    </row>
    <row r="13" spans="1:11">
      <c r="A13" s="19" t="s">
        <v>19</v>
      </c>
      <c r="B13" s="13" t="s">
        <v>41</v>
      </c>
      <c r="C13" s="13">
        <v>1</v>
      </c>
      <c r="D13" s="13" t="str">
        <f>IFERROR(IF(INDEX('Form 1 - Município'!D2:D500, MATCH(B13&amp;C13, INDEX('Form 1 - Município'!B2:B500&amp;'Form 1 - Município'!C2:C500, 0), 0))="", "", INDEX('Form 1 - Município'!D2:D500, MATCH(B13&amp;C13, INDEX('Form 1 - Município'!B2:B500&amp;'Form 1 - Município'!C2:C500, 0), 0))), "")</f>
        <v>Andressa da Silva</v>
      </c>
      <c r="E13" s="20" t="s">
        <v>33</v>
      </c>
      <c r="F13" s="13"/>
      <c r="G13" s="15" t="s">
        <v>89</v>
      </c>
      <c r="H13" s="13"/>
      <c r="I13" s="13"/>
      <c r="J13" s="13" t="s">
        <v>89</v>
      </c>
      <c r="K13" s="13"/>
    </row>
    <row r="14" spans="1:11">
      <c r="A14" s="19" t="s">
        <v>19</v>
      </c>
      <c r="B14" s="13" t="s">
        <v>42</v>
      </c>
      <c r="C14" s="13">
        <v>1</v>
      </c>
      <c r="D14" s="13" t="str">
        <f>IFERROR(IF(INDEX('Form 1 - Município'!D2:D500, MATCH(B14&amp;C14, INDEX('Form 1 - Município'!B2:B500&amp;'Form 1 - Município'!C2:C500, 0), 0))="", "", INDEX('Form 1 - Município'!D2:D500, MATCH(B14&amp;C14, INDEX('Form 1 - Município'!B2:B500&amp;'Form 1 - Município'!C2:C500, 0), 0))), "")</f>
        <v>Isadora Gil</v>
      </c>
      <c r="E14" s="14" t="s">
        <v>31</v>
      </c>
      <c r="F14" s="13" t="s">
        <v>142</v>
      </c>
      <c r="G14" s="15" t="s">
        <v>89</v>
      </c>
      <c r="H14" s="13"/>
      <c r="I14" s="13"/>
      <c r="J14" s="13" t="s">
        <v>89</v>
      </c>
      <c r="K14" s="13"/>
    </row>
    <row r="15" spans="1:11">
      <c r="A15" s="12" t="s">
        <v>18</v>
      </c>
      <c r="B15" s="13" t="s">
        <v>36</v>
      </c>
      <c r="C15" s="13">
        <v>1</v>
      </c>
      <c r="D15" s="13" t="str">
        <f>IFERROR(IF(INDEX('Form 1 - Município'!D2:D500, MATCH(B15&amp;C15, INDEX('Form 1 - Município'!B2:B500&amp;'Form 1 - Município'!C2:C500, 0), 0))="", "", INDEX('Form 1 - Município'!D2:D500, MATCH(B15&amp;C15, INDEX('Form 1 - Município'!B2:B500&amp;'Form 1 - Município'!C2:C500, 0), 0))), "")</f>
        <v>Marcella Regyna Scarassatti</v>
      </c>
      <c r="E15" s="14" t="s">
        <v>31</v>
      </c>
      <c r="F15" s="13" t="s">
        <v>95</v>
      </c>
      <c r="G15" s="15" t="s">
        <v>89</v>
      </c>
      <c r="H15" s="13"/>
      <c r="I15" s="13"/>
      <c r="J15" s="13" t="s">
        <v>89</v>
      </c>
      <c r="K15" s="13"/>
    </row>
    <row r="16" spans="1:11">
      <c r="A16" s="19" t="s">
        <v>19</v>
      </c>
      <c r="B16" s="13" t="s">
        <v>43</v>
      </c>
      <c r="C16" s="13">
        <v>1</v>
      </c>
      <c r="D16" s="13" t="str">
        <f>IFERROR(IF(INDEX('Form 1 - Município'!D2:D500, MATCH(B16&amp;C16, INDEX('Form 1 - Município'!B2:B500&amp;'Form 1 - Município'!C2:C500, 0), 0))="", "", INDEX('Form 1 - Município'!D2:D500, MATCH(B16&amp;C16, INDEX('Form 1 - Município'!B2:B500&amp;'Form 1 - Município'!C2:C500, 0), 0))), "")</f>
        <v>Emerson Henrique Moreira</v>
      </c>
      <c r="E16" s="20" t="s">
        <v>33</v>
      </c>
      <c r="F16" s="13"/>
      <c r="G16" s="15" t="s">
        <v>89</v>
      </c>
      <c r="H16" s="13"/>
      <c r="I16" s="13"/>
      <c r="J16" s="13" t="s">
        <v>89</v>
      </c>
      <c r="K16" s="13"/>
    </row>
    <row r="17" spans="1:11">
      <c r="A17" s="16" t="s">
        <v>20</v>
      </c>
      <c r="B17" s="13" t="s">
        <v>56</v>
      </c>
      <c r="C17" s="13">
        <v>1</v>
      </c>
      <c r="D17" s="13" t="str">
        <f>IFERROR(IF(INDEX('Form 1 - Município'!D2:D500, MATCH(B17&amp;C17, INDEX('Form 1 - Município'!B2:B500&amp;'Form 1 - Município'!C2:C500, 0), 0))="", "", INDEX('Form 1 - Município'!D2:D500, MATCH(B17&amp;C17, INDEX('Form 1 - Município'!B2:B500&amp;'Form 1 - Município'!C2:C500, 0), 0))), "")</f>
        <v>Fabio Soares Clemente</v>
      </c>
      <c r="E17" s="14" t="s">
        <v>31</v>
      </c>
      <c r="F17" s="13" t="s">
        <v>112</v>
      </c>
      <c r="G17" s="15" t="s">
        <v>89</v>
      </c>
      <c r="H17" s="13"/>
      <c r="I17" s="13"/>
      <c r="J17" s="13" t="s">
        <v>89</v>
      </c>
      <c r="K17" s="13"/>
    </row>
    <row r="18" spans="1:11">
      <c r="A18" s="19" t="s">
        <v>19</v>
      </c>
      <c r="B18" s="13" t="s">
        <v>44</v>
      </c>
      <c r="C18" s="13">
        <v>1</v>
      </c>
      <c r="D18" s="13" t="str">
        <f>IFERROR(IF(INDEX('Form 1 - Município'!D2:D500, MATCH(B18&amp;C18, INDEX('Form 1 - Município'!B2:B500&amp;'Form 1 - Município'!C2:C500, 0), 0))="", "", INDEX('Form 1 - Município'!D2:D500, MATCH(B18&amp;C18, INDEX('Form 1 - Município'!B2:B500&amp;'Form 1 - Município'!C2:C500, 0), 0))), "")</f>
        <v>Valdirlei de Araujo</v>
      </c>
      <c r="E18" s="23" t="s">
        <v>5</v>
      </c>
      <c r="F18" s="13" t="s">
        <v>162</v>
      </c>
      <c r="G18" s="15" t="s">
        <v>89</v>
      </c>
      <c r="H18" s="13"/>
      <c r="I18" s="13"/>
      <c r="J18" s="13" t="s">
        <v>89</v>
      </c>
      <c r="K18" s="13"/>
    </row>
    <row r="19" spans="1:11">
      <c r="A19" s="12" t="s">
        <v>18</v>
      </c>
      <c r="B19" s="13" t="s">
        <v>37</v>
      </c>
      <c r="C19" s="13">
        <v>1</v>
      </c>
      <c r="D19" s="13" t="str">
        <f>IFERROR(IF(INDEX('Form 1 - Município'!D2:D500, MATCH(B19&amp;C19, INDEX('Form 1 - Município'!B2:B500&amp;'Form 1 - Município'!C2:C500, 0), 0))="", "", INDEX('Form 1 - Município'!D2:D500, MATCH(B19&amp;C19, INDEX('Form 1 - Município'!B2:B500&amp;'Form 1 - Município'!C2:C500, 0), 0))), "")</f>
        <v>Glassys Louise de Souza Cortez</v>
      </c>
      <c r="E19" s="14" t="s">
        <v>31</v>
      </c>
      <c r="F19" s="13" t="s">
        <v>153</v>
      </c>
      <c r="G19" s="15" t="s">
        <v>89</v>
      </c>
      <c r="H19" s="13"/>
      <c r="I19" s="13"/>
      <c r="J19" s="13" t="s">
        <v>89</v>
      </c>
      <c r="K19" s="13"/>
    </row>
    <row r="20" spans="1:11">
      <c r="A20" s="16" t="s">
        <v>20</v>
      </c>
      <c r="B20" s="13" t="s">
        <v>57</v>
      </c>
      <c r="C20" s="13">
        <v>1</v>
      </c>
      <c r="D20" s="13" t="str">
        <f>IFERROR(IF(INDEX('Form 1 - Município'!D2:D500, MATCH(B20&amp;C20, INDEX('Form 1 - Município'!B2:B500&amp;'Form 1 - Município'!C2:C500, 0), 0))="", "", INDEX('Form 1 - Município'!D2:D500, MATCH(B20&amp;C20, INDEX('Form 1 - Município'!B2:B500&amp;'Form 1 - Município'!C2:C500, 0), 0))), "")</f>
        <v>Octavio Fellipe j Barbosa</v>
      </c>
      <c r="E20" s="22" t="s">
        <v>29</v>
      </c>
      <c r="F20" s="13"/>
      <c r="G20" s="15" t="s">
        <v>89</v>
      </c>
      <c r="H20" s="13" t="s">
        <v>149</v>
      </c>
      <c r="I20" s="13"/>
      <c r="J20" s="13" t="s">
        <v>89</v>
      </c>
      <c r="K20" s="13"/>
    </row>
    <row r="21" spans="1:11">
      <c r="A21" s="16" t="s">
        <v>20</v>
      </c>
      <c r="B21" s="13" t="s">
        <v>58</v>
      </c>
      <c r="C21" s="13">
        <v>1</v>
      </c>
      <c r="D21" s="13" t="str">
        <f>IFERROR(IF(INDEX('Form 1 - Município'!D2:D500, MATCH(B21&amp;C21, INDEX('Form 1 - Município'!B2:B500&amp;'Form 1 - Município'!C2:C500, 0), 0))="", "", INDEX('Form 1 - Município'!D2:D500, MATCH(B21&amp;C21, INDEX('Form 1 - Município'!B2:B500&amp;'Form 1 - Município'!C2:C500, 0), 0))), "")</f>
        <v>Rony Eduardo Souza Terra</v>
      </c>
      <c r="E21" s="14" t="s">
        <v>31</v>
      </c>
      <c r="F21" s="13" t="s">
        <v>108</v>
      </c>
      <c r="G21" s="15" t="s">
        <v>89</v>
      </c>
      <c r="H21" s="13"/>
      <c r="I21" s="13"/>
      <c r="J21" s="13" t="s">
        <v>89</v>
      </c>
      <c r="K21" s="13"/>
    </row>
    <row r="22" spans="1:11">
      <c r="A22" s="17" t="s">
        <v>21</v>
      </c>
      <c r="B22" s="13" t="s">
        <v>62</v>
      </c>
      <c r="C22" s="13">
        <v>1</v>
      </c>
      <c r="D22" s="13" t="str">
        <f>IFERROR(IF(INDEX('Form 1 - Município'!D2:D500, MATCH(B22&amp;C22, INDEX('Form 1 - Município'!B2:B500&amp;'Form 1 - Município'!C2:C500, 0), 0))="", "", INDEX('Form 1 - Município'!D2:D500, MATCH(B22&amp;C22, INDEX('Form 1 - Município'!B2:B500&amp;'Form 1 - Município'!C2:C500, 0), 0))), "")</f>
        <v/>
      </c>
      <c r="E22" s="18" t="s">
        <v>4</v>
      </c>
      <c r="F22" s="13"/>
      <c r="G22" s="15" t="s">
        <v>89</v>
      </c>
      <c r="H22" s="13"/>
      <c r="I22" s="13"/>
      <c r="J22" s="13" t="s">
        <v>89</v>
      </c>
      <c r="K22" s="13"/>
    </row>
    <row r="23" spans="1:11">
      <c r="A23" s="19" t="s">
        <v>19</v>
      </c>
      <c r="B23" s="13" t="s">
        <v>45</v>
      </c>
      <c r="C23" s="13">
        <v>1</v>
      </c>
      <c r="D23" s="13" t="str">
        <f>IFERROR(IF(INDEX('Form 1 - Município'!D2:D500, MATCH(B23&amp;C23, INDEX('Form 1 - Município'!B2:B500&amp;'Form 1 - Município'!C2:C500, 0), 0))="", "", INDEX('Form 1 - Município'!D2:D500, MATCH(B23&amp;C23, INDEX('Form 1 - Município'!B2:B500&amp;'Form 1 - Município'!C2:C500, 0), 0))), "")</f>
        <v>Angelo Cesar Favaro</v>
      </c>
      <c r="E23" s="20" t="s">
        <v>33</v>
      </c>
      <c r="F23" s="13"/>
      <c r="G23" s="15" t="s">
        <v>89</v>
      </c>
      <c r="H23" s="13"/>
      <c r="I23" s="13"/>
      <c r="J23" s="13" t="s">
        <v>89</v>
      </c>
      <c r="K23" s="13"/>
    </row>
    <row r="24" spans="1:11">
      <c r="A24" s="17" t="s">
        <v>21</v>
      </c>
      <c r="B24" s="13" t="s">
        <v>63</v>
      </c>
      <c r="C24" s="13">
        <v>1</v>
      </c>
      <c r="D24" s="13" t="str">
        <f>IFERROR(IF(INDEX('Form 1 - Município'!D2:D500, MATCH(B24&amp;C24, INDEX('Form 1 - Município'!B2:B500&amp;'Form 1 - Município'!C2:C500, 0), 0))="", "", INDEX('Form 1 - Município'!D2:D500, MATCH(B24&amp;C24, INDEX('Form 1 - Município'!B2:B500&amp;'Form 1 - Município'!C2:C500, 0), 0))), "")</f>
        <v/>
      </c>
      <c r="E24" s="18" t="s">
        <v>4</v>
      </c>
      <c r="F24" s="13"/>
      <c r="G24" s="15" t="s">
        <v>89</v>
      </c>
      <c r="H24" s="13"/>
      <c r="I24" s="13"/>
      <c r="J24" s="13" t="s">
        <v>89</v>
      </c>
      <c r="K24" s="13"/>
    </row>
    <row r="25" spans="1:11">
      <c r="A25" s="19" t="s">
        <v>19</v>
      </c>
      <c r="B25" s="13" t="s">
        <v>46</v>
      </c>
      <c r="C25" s="13">
        <v>1</v>
      </c>
      <c r="D25" s="13" t="str">
        <f>IFERROR(IF(INDEX('Form 1 - Município'!D2:D500, MATCH(B25&amp;C25, INDEX('Form 1 - Município'!B2:B500&amp;'Form 1 - Município'!C2:C500, 0), 0))="", "", INDEX('Form 1 - Município'!D2:D500, MATCH(B25&amp;C25, INDEX('Form 1 - Município'!B2:B500&amp;'Form 1 - Município'!C2:C500, 0), 0))), "")</f>
        <v>Ana Julia Pereira</v>
      </c>
      <c r="E25" s="14" t="s">
        <v>31</v>
      </c>
      <c r="F25" s="13" t="s">
        <v>108</v>
      </c>
      <c r="G25" s="15" t="s">
        <v>89</v>
      </c>
      <c r="H25" s="13"/>
      <c r="I25" s="13"/>
      <c r="J25" s="13" t="s">
        <v>89</v>
      </c>
      <c r="K25" s="13"/>
    </row>
    <row r="26" spans="1:11">
      <c r="A26" s="19" t="s">
        <v>19</v>
      </c>
      <c r="B26" s="13" t="s">
        <v>47</v>
      </c>
      <c r="C26" s="13">
        <v>1</v>
      </c>
      <c r="D26" s="13" t="str">
        <f>IFERROR(IF(INDEX('Form 1 - Município'!D2:D500, MATCH(B26&amp;C26, INDEX('Form 1 - Município'!B2:B500&amp;'Form 1 - Município'!C2:C500, 0), 0))="", "", INDEX('Form 1 - Município'!D2:D500, MATCH(B26&amp;C26, INDEX('Form 1 - Município'!B2:B500&amp;'Form 1 - Município'!C2:C500, 0), 0))), "")</f>
        <v>Aparecido dos Santos</v>
      </c>
      <c r="E26" s="20" t="s">
        <v>33</v>
      </c>
      <c r="F26" s="13"/>
      <c r="G26" s="15" t="s">
        <v>89</v>
      </c>
      <c r="H26" s="13"/>
      <c r="I26" s="13"/>
      <c r="J26" s="13" t="s">
        <v>89</v>
      </c>
      <c r="K26" s="13"/>
    </row>
    <row r="27" spans="1:11">
      <c r="A27" s="19" t="s">
        <v>19</v>
      </c>
      <c r="B27" s="13" t="s">
        <v>48</v>
      </c>
      <c r="C27" s="13">
        <v>1</v>
      </c>
      <c r="D27" s="13" t="str">
        <f>IFERROR(IF(INDEX('Form 1 - Município'!D2:D500, MATCH(B27&amp;C27, INDEX('Form 1 - Município'!B2:B500&amp;'Form 1 - Município'!C2:C500, 0), 0))="", "", INDEX('Form 1 - Município'!D2:D500, MATCH(B27&amp;C27, INDEX('Form 1 - Município'!B2:B500&amp;'Form 1 - Município'!C2:C500, 0), 0))), "")</f>
        <v>Joao Lucas Côrtes Silva Freitas</v>
      </c>
      <c r="E27" s="14" t="s">
        <v>31</v>
      </c>
      <c r="F27" s="13" t="s">
        <v>95</v>
      </c>
      <c r="G27" s="15" t="s">
        <v>89</v>
      </c>
      <c r="H27" s="13"/>
      <c r="I27" s="13"/>
      <c r="J27" s="13" t="s">
        <v>89</v>
      </c>
      <c r="K27" s="13"/>
    </row>
    <row r="28" spans="1:11">
      <c r="A28" s="19" t="s">
        <v>19</v>
      </c>
      <c r="B28" s="13" t="s">
        <v>49</v>
      </c>
      <c r="C28" s="13">
        <v>1</v>
      </c>
      <c r="D28" s="13" t="str">
        <f>IFERROR(IF(INDEX('Form 1 - Município'!D2:D500, MATCH(B28&amp;C28, INDEX('Form 1 - Município'!B2:B500&amp;'Form 1 - Município'!C2:C500, 0), 0))="", "", INDEX('Form 1 - Município'!D2:D500, MATCH(B28&amp;C28, INDEX('Form 1 - Município'!B2:B500&amp;'Form 1 - Município'!C2:C500, 0), 0))), "")</f>
        <v>Jose Antonio Pinheiro Munhoz</v>
      </c>
      <c r="E28" s="14" t="s">
        <v>31</v>
      </c>
      <c r="F28" s="13" t="s">
        <v>102</v>
      </c>
      <c r="G28" s="15" t="s">
        <v>89</v>
      </c>
      <c r="H28" s="13"/>
      <c r="I28" s="13"/>
      <c r="J28" s="13" t="s">
        <v>89</v>
      </c>
      <c r="K28" s="13"/>
    </row>
    <row r="29" spans="1:11">
      <c r="A29" s="17" t="s">
        <v>21</v>
      </c>
      <c r="B29" s="13" t="s">
        <v>64</v>
      </c>
      <c r="C29" s="13">
        <v>1</v>
      </c>
      <c r="D29" s="13" t="str">
        <f>IFERROR(IF(INDEX('Form 1 - Município'!D2:D500, MATCH(B29&amp;C29, INDEX('Form 1 - Município'!B2:B500&amp;'Form 1 - Município'!C2:C500, 0), 0))="", "", INDEX('Form 1 - Município'!D2:D500, MATCH(B29&amp;C29, INDEX('Form 1 - Município'!B2:B500&amp;'Form 1 - Município'!C2:C500, 0), 0))), "")</f>
        <v/>
      </c>
      <c r="E29" s="18" t="s">
        <v>4</v>
      </c>
      <c r="F29" s="13"/>
      <c r="G29" s="15" t="s">
        <v>89</v>
      </c>
      <c r="H29" s="13"/>
      <c r="I29" s="13"/>
      <c r="J29" s="13" t="s">
        <v>89</v>
      </c>
      <c r="K29" s="13"/>
    </row>
    <row r="30" spans="1:11">
      <c r="A30" s="12" t="s">
        <v>18</v>
      </c>
      <c r="B30" s="13" t="s">
        <v>38</v>
      </c>
      <c r="C30" s="13">
        <v>1</v>
      </c>
      <c r="D30" s="13" t="str">
        <f>IFERROR(IF(INDEX('Form 1 - Município'!D2:D500, MATCH(B30&amp;C30, INDEX('Form 1 - Município'!B2:B500&amp;'Form 1 - Município'!C2:C500, 0), 0))="", "", INDEX('Form 1 - Município'!D2:D500, MATCH(B30&amp;C30, INDEX('Form 1 - Município'!B2:B500&amp;'Form 1 - Município'!C2:C500, 0), 0))), "")</f>
        <v>Alana Bardela dos Santos</v>
      </c>
      <c r="E30" s="20" t="s">
        <v>33</v>
      </c>
      <c r="F30" s="13"/>
      <c r="G30" s="15" t="s">
        <v>89</v>
      </c>
      <c r="H30" s="13"/>
      <c r="I30" s="13"/>
      <c r="J30" s="13" t="s">
        <v>89</v>
      </c>
      <c r="K30" s="13"/>
    </row>
    <row r="31" spans="1:11">
      <c r="A31" s="19" t="s">
        <v>19</v>
      </c>
      <c r="B31" s="13" t="s">
        <v>50</v>
      </c>
      <c r="C31" s="13">
        <v>1</v>
      </c>
      <c r="D31" s="13" t="str">
        <f>IFERROR(IF(INDEX('Form 1 - Município'!D2:D500, MATCH(B31&amp;C31, INDEX('Form 1 - Município'!B2:B500&amp;'Form 1 - Município'!C2:C500, 0), 0))="", "", INDEX('Form 1 - Município'!D2:D500, MATCH(B31&amp;C31, INDEX('Form 1 - Município'!B2:B500&amp;'Form 1 - Município'!C2:C500, 0), 0))), "")</f>
        <v>Diogo Augusto Graeff Vizini</v>
      </c>
      <c r="E31" s="20" t="s">
        <v>33</v>
      </c>
      <c r="F31" s="13"/>
      <c r="G31" s="15" t="s">
        <v>89</v>
      </c>
      <c r="H31" s="13"/>
      <c r="I31" s="13"/>
      <c r="J31" s="13" t="s">
        <v>89</v>
      </c>
      <c r="K31" s="13"/>
    </row>
    <row r="32" spans="1:11">
      <c r="A32" s="12" t="s">
        <v>18</v>
      </c>
      <c r="B32" s="13" t="s">
        <v>39</v>
      </c>
      <c r="C32" s="13">
        <v>1</v>
      </c>
      <c r="D32" s="13" t="str">
        <f>IFERROR(IF(INDEX('Form 1 - Município'!D2:D500, MATCH(B32&amp;C32, INDEX('Form 1 - Município'!B2:B500&amp;'Form 1 - Município'!C2:C500, 0), 0))="", "", INDEX('Form 1 - Município'!D2:D500, MATCH(B32&amp;C32, INDEX('Form 1 - Município'!B2:B500&amp;'Form 1 - Município'!C2:C500, 0), 0))), "")</f>
        <v>Tiago Cabrera de Oliveira</v>
      </c>
      <c r="E32" s="14" t="s">
        <v>31</v>
      </c>
      <c r="F32" s="13" t="s">
        <v>130</v>
      </c>
      <c r="G32" s="15" t="s">
        <v>89</v>
      </c>
      <c r="H32" s="13"/>
      <c r="I32" s="13"/>
      <c r="J32" s="13" t="s">
        <v>89</v>
      </c>
      <c r="K32" s="13"/>
    </row>
    <row r="33" spans="1:11">
      <c r="A33" s="16" t="s">
        <v>20</v>
      </c>
      <c r="B33" s="13" t="s">
        <v>59</v>
      </c>
      <c r="C33" s="13">
        <v>1</v>
      </c>
      <c r="D33" s="13" t="str">
        <f>IFERROR(IF(INDEX('Form 1 - Município'!D2:D500, MATCH(B33&amp;C33, INDEX('Form 1 - Município'!B2:B500&amp;'Form 1 - Município'!C2:C500, 0), 0))="", "", INDEX('Form 1 - Município'!D2:D500, MATCH(B33&amp;C33, INDEX('Form 1 - Município'!B2:B500&amp;'Form 1 - Município'!C2:C500, 0), 0))), "")</f>
        <v>Vanessa Diovana Biassi Soares</v>
      </c>
      <c r="E33" s="14" t="s">
        <v>31</v>
      </c>
      <c r="F33" s="13" t="s">
        <v>133</v>
      </c>
      <c r="G33" s="15" t="s">
        <v>89</v>
      </c>
      <c r="H33" s="13"/>
      <c r="I33" s="13"/>
      <c r="J33" s="13" t="s">
        <v>89</v>
      </c>
      <c r="K33" s="13"/>
    </row>
    <row r="34" spans="1:11">
      <c r="A34" s="16" t="s">
        <v>20</v>
      </c>
      <c r="B34" s="13" t="s">
        <v>60</v>
      </c>
      <c r="C34" s="13">
        <v>1</v>
      </c>
      <c r="D34" s="13" t="str">
        <f>IFERROR(IF(INDEX('Form 1 - Município'!D2:D500, MATCH(B34&amp;C34, INDEX('Form 1 - Município'!B2:B500&amp;'Form 1 - Município'!C2:C500, 0), 0))="", "", INDEX('Form 1 - Município'!D2:D500, MATCH(B34&amp;C34, INDEX('Form 1 - Município'!B2:B500&amp;'Form 1 - Município'!C2:C500, 0), 0))), "")</f>
        <v>Carlos Eduardo Meira Freire</v>
      </c>
      <c r="E34" s="14" t="s">
        <v>31</v>
      </c>
      <c r="F34" s="13" t="s">
        <v>112</v>
      </c>
      <c r="G34" s="15" t="s">
        <v>89</v>
      </c>
      <c r="H34" s="13"/>
      <c r="I34" s="13"/>
      <c r="J34" s="13" t="s">
        <v>89</v>
      </c>
      <c r="K34" s="13"/>
    </row>
    <row r="35" spans="1:11">
      <c r="A35" s="21" t="s">
        <v>22</v>
      </c>
      <c r="B35" s="13" t="s">
        <v>65</v>
      </c>
      <c r="C35" s="13">
        <v>1</v>
      </c>
      <c r="D35" s="13" t="str">
        <f>IFERROR(IF(INDEX('Form 1 - Município'!D2:D500, MATCH(B35&amp;C35, INDEX('Form 1 - Município'!B2:B500&amp;'Form 1 - Município'!C2:C500, 0), 0))="", "", INDEX('Form 1 - Município'!D2:D500, MATCH(B35&amp;C35, INDEX('Form 1 - Município'!B2:B500&amp;'Form 1 - Município'!C2:C500, 0), 0))), "")</f>
        <v>Vania Tomazelli de Lima</v>
      </c>
      <c r="E35" s="14" t="s">
        <v>31</v>
      </c>
      <c r="F35" s="13" t="s">
        <v>95</v>
      </c>
      <c r="G35" s="15" t="s">
        <v>89</v>
      </c>
      <c r="H35" s="13"/>
      <c r="I35" s="13"/>
      <c r="J35" s="13" t="s">
        <v>89</v>
      </c>
      <c r="K35" s="13"/>
    </row>
    <row r="36" spans="1:11">
      <c r="A36" s="21" t="s">
        <v>22</v>
      </c>
      <c r="B36" s="13" t="s">
        <v>66</v>
      </c>
      <c r="C36" s="13">
        <v>1</v>
      </c>
      <c r="D36" s="13" t="str">
        <f>IFERROR(IF(INDEX('Form 1 - Município'!D2:D500, MATCH(B36&amp;C36, INDEX('Form 1 - Município'!B2:B500&amp;'Form 1 - Município'!C2:C500, 0), 0))="", "", INDEX('Form 1 - Município'!D2:D500, MATCH(B36&amp;C36, INDEX('Form 1 - Município'!B2:B500&amp;'Form 1 - Município'!C2:C500, 0), 0))), "")</f>
        <v>Jose Elias Calonga Cunha</v>
      </c>
      <c r="E36" s="20" t="s">
        <v>33</v>
      </c>
      <c r="F36" s="13"/>
      <c r="G36" s="15" t="s">
        <v>89</v>
      </c>
      <c r="H36" s="13"/>
      <c r="I36" s="13"/>
      <c r="J36" s="13" t="s">
        <v>89</v>
      </c>
      <c r="K36" s="13"/>
    </row>
    <row r="37" spans="1:11">
      <c r="A37" s="21" t="s">
        <v>22</v>
      </c>
      <c r="B37" s="13" t="s">
        <v>67</v>
      </c>
      <c r="C37" s="13">
        <v>1</v>
      </c>
      <c r="D37" s="13" t="str">
        <f>IFERROR(IF(INDEX('Form 1 - Município'!D2:D500, MATCH(B37&amp;C37, INDEX('Form 1 - Município'!B2:B500&amp;'Form 1 - Município'!C2:C500, 0), 0))="", "", INDEX('Form 1 - Município'!D2:D500, MATCH(B37&amp;C37, INDEX('Form 1 - Município'!B2:B500&amp;'Form 1 - Município'!C2:C500, 0), 0))), "")</f>
        <v>Gustavo Becker Modesto Silva</v>
      </c>
      <c r="E37" s="14" t="s">
        <v>31</v>
      </c>
      <c r="F37" s="13" t="s">
        <v>91</v>
      </c>
      <c r="G37" s="15" t="s">
        <v>89</v>
      </c>
      <c r="H37" s="13"/>
      <c r="I37" s="13"/>
      <c r="J37" s="13" t="s">
        <v>89</v>
      </c>
      <c r="K37" s="13"/>
    </row>
    <row r="38" spans="1:11">
      <c r="A38" s="21" t="s">
        <v>22</v>
      </c>
      <c r="B38" s="13" t="s">
        <v>68</v>
      </c>
      <c r="C38" s="13">
        <v>1</v>
      </c>
      <c r="D38" s="13" t="str">
        <f>IFERROR(IF(INDEX('Form 1 - Município'!D2:D500, MATCH(B38&amp;C38, INDEX('Form 1 - Município'!B2:B500&amp;'Form 1 - Município'!C2:C500, 0), 0))="", "", INDEX('Form 1 - Município'!D2:D500, MATCH(B38&amp;C38, INDEX('Form 1 - Município'!B2:B500&amp;'Form 1 - Município'!C2:C500, 0), 0))), "")</f>
        <v>Wendel Ortiz dos Santos</v>
      </c>
      <c r="E38" s="20" t="s">
        <v>33</v>
      </c>
      <c r="F38" s="13"/>
      <c r="G38" s="15" t="s">
        <v>89</v>
      </c>
      <c r="H38" s="13"/>
      <c r="I38" s="13"/>
      <c r="J38" s="13" t="s">
        <v>89</v>
      </c>
      <c r="K38" s="13"/>
    </row>
    <row r="39" spans="1:11">
      <c r="A39" s="21" t="s">
        <v>22</v>
      </c>
      <c r="B39" s="13" t="s">
        <v>69</v>
      </c>
      <c r="C39" s="13">
        <v>1</v>
      </c>
      <c r="D39" s="13" t="str">
        <f>IFERROR(IF(INDEX('Form 1 - Município'!D2:D500, MATCH(B39&amp;C39, INDEX('Form 1 - Município'!B2:B500&amp;'Form 1 - Município'!C2:C500, 0), 0))="", "", INDEX('Form 1 - Município'!D2:D500, MATCH(B39&amp;C39, INDEX('Form 1 - Município'!B2:B500&amp;'Form 1 - Município'!C2:C500, 0), 0))), "")</f>
        <v>Edvaldo José de Souza</v>
      </c>
      <c r="E39" s="14" t="s">
        <v>31</v>
      </c>
      <c r="F39" s="13" t="s">
        <v>88</v>
      </c>
      <c r="G39" s="15" t="s">
        <v>89</v>
      </c>
      <c r="H39" s="13"/>
      <c r="I39" s="13"/>
      <c r="J39" s="13" t="s">
        <v>89</v>
      </c>
      <c r="K39" s="13"/>
    </row>
    <row r="40" spans="1:11">
      <c r="A40" s="21" t="s">
        <v>22</v>
      </c>
      <c r="B40" s="13" t="s">
        <v>70</v>
      </c>
      <c r="C40" s="13">
        <v>1</v>
      </c>
      <c r="D40" s="13" t="str">
        <f>IFERROR(IF(INDEX('Form 1 - Município'!D2:D500, MATCH(B40&amp;C40, INDEX('Form 1 - Município'!B2:B500&amp;'Form 1 - Município'!C2:C500, 0), 0))="", "", INDEX('Form 1 - Município'!D2:D500, MATCH(B40&amp;C40, INDEX('Form 1 - Município'!B2:B500&amp;'Form 1 - Município'!C2:C500, 0), 0))), "")</f>
        <v>Sirlei Aparecida Costa Souza</v>
      </c>
      <c r="E40" s="20" t="s">
        <v>33</v>
      </c>
      <c r="F40" s="13"/>
      <c r="G40" s="15" t="s">
        <v>89</v>
      </c>
      <c r="H40" s="13"/>
      <c r="I40" s="13"/>
      <c r="J40" s="13" t="s">
        <v>89</v>
      </c>
      <c r="K40" s="13"/>
    </row>
    <row r="41" spans="1:11">
      <c r="A41" s="21" t="s">
        <v>22</v>
      </c>
      <c r="B41" s="13" t="s">
        <v>71</v>
      </c>
      <c r="C41" s="13">
        <v>1</v>
      </c>
      <c r="D41" s="13" t="str">
        <f>IFERROR(IF(INDEX('Form 1 - Município'!D2:D500, MATCH(B41&amp;C41, INDEX('Form 1 - Município'!B2:B500&amp;'Form 1 - Município'!C2:C500, 0), 0))="", "", INDEX('Form 1 - Município'!D2:D500, MATCH(B41&amp;C41, INDEX('Form 1 - Município'!B2:B500&amp;'Form 1 - Município'!C2:C500, 0), 0))), "")</f>
        <v>Fredson Julio de Oliveira</v>
      </c>
      <c r="E41" s="14" t="s">
        <v>31</v>
      </c>
      <c r="F41" s="13" t="s">
        <v>151</v>
      </c>
      <c r="G41" s="15" t="s">
        <v>89</v>
      </c>
      <c r="H41" s="13"/>
      <c r="I41" s="13"/>
      <c r="J41" s="13" t="s">
        <v>89</v>
      </c>
      <c r="K41" s="13"/>
    </row>
    <row r="42" spans="1:11">
      <c r="A42" s="21" t="s">
        <v>22</v>
      </c>
      <c r="B42" s="13" t="s">
        <v>72</v>
      </c>
      <c r="C42" s="13">
        <v>1</v>
      </c>
      <c r="D42" s="13" t="str">
        <f>IFERROR(IF(INDEX('Form 1 - Município'!D2:D500, MATCH(B42&amp;C42, INDEX('Form 1 - Município'!B2:B500&amp;'Form 1 - Município'!C2:C500, 0), 0))="", "", INDEX('Form 1 - Município'!D2:D500, MATCH(B42&amp;C42, INDEX('Form 1 - Município'!B2:B500&amp;'Form 1 - Município'!C2:C500, 0), 0))), "")</f>
        <v>Mayara Cristina Neves Abel</v>
      </c>
      <c r="E42" s="14" t="s">
        <v>31</v>
      </c>
      <c r="F42" s="13" t="s">
        <v>163</v>
      </c>
      <c r="G42" s="15" t="s">
        <v>89</v>
      </c>
      <c r="H42" s="13"/>
      <c r="I42" s="13"/>
      <c r="J42" s="13" t="s">
        <v>89</v>
      </c>
      <c r="K42" s="13"/>
    </row>
    <row r="43" spans="1:11">
      <c r="A43" s="21" t="s">
        <v>22</v>
      </c>
      <c r="B43" s="13" t="s">
        <v>73</v>
      </c>
      <c r="C43" s="13">
        <v>1</v>
      </c>
      <c r="D43" s="13" t="str">
        <f>IFERROR(IF(INDEX('Form 1 - Município'!D2:D500, MATCH(B43&amp;C43, INDEX('Form 1 - Município'!B2:B500&amp;'Form 1 - Município'!C2:C500, 0), 0))="", "", INDEX('Form 1 - Município'!D2:D500, MATCH(B43&amp;C43, INDEX('Form 1 - Município'!B2:B500&amp;'Form 1 - Município'!C2:C500, 0), 0))), "")</f>
        <v>Leandra Aymê Alves Elias Assumpcao</v>
      </c>
      <c r="E43" s="14" t="s">
        <v>31</v>
      </c>
      <c r="F43" s="13" t="s">
        <v>163</v>
      </c>
      <c r="G43" s="15" t="s">
        <v>89</v>
      </c>
      <c r="H43" s="13"/>
      <c r="I43" s="13"/>
      <c r="J43" s="13" t="s">
        <v>89</v>
      </c>
      <c r="K43" s="13"/>
    </row>
    <row r="44" spans="1:11">
      <c r="A44" s="21" t="s">
        <v>22</v>
      </c>
      <c r="B44" s="13" t="s">
        <v>74</v>
      </c>
      <c r="C44" s="13">
        <v>1</v>
      </c>
      <c r="D44" s="13" t="str">
        <f>IFERROR(IF(INDEX('Form 1 - Município'!D2:D500, MATCH(B44&amp;C44, INDEX('Form 1 - Município'!B2:B500&amp;'Form 1 - Município'!C2:C500, 0), 0))="", "", INDEX('Form 1 - Município'!D2:D500, MATCH(B44&amp;C44, INDEX('Form 1 - Município'!B2:B500&amp;'Form 1 - Município'!C2:C500, 0), 0))), "")</f>
        <v>Camila Bomfim de Carvalho Ferreira</v>
      </c>
      <c r="E44" s="14" t="s">
        <v>31</v>
      </c>
      <c r="F44" s="13" t="s">
        <v>112</v>
      </c>
      <c r="G44" s="15" t="s">
        <v>89</v>
      </c>
      <c r="H44" s="13"/>
      <c r="I44" s="13"/>
      <c r="J44" s="13" t="s">
        <v>89</v>
      </c>
      <c r="K44" s="13"/>
    </row>
    <row r="45" spans="1:11">
      <c r="A45" s="21" t="s">
        <v>22</v>
      </c>
      <c r="B45" s="13" t="s">
        <v>75</v>
      </c>
      <c r="C45" s="13">
        <v>1</v>
      </c>
      <c r="D45" s="13" t="str">
        <f>IFERROR(IF(INDEX('Form 1 - Município'!D2:D500, MATCH(B45&amp;C45, INDEX('Form 1 - Município'!B2:B500&amp;'Form 1 - Município'!C2:C500, 0), 0))="", "", INDEX('Form 1 - Município'!D2:D500, MATCH(B45&amp;C45, INDEX('Form 1 - Município'!B2:B500&amp;'Form 1 - Município'!C2:C500, 0), 0))), "")</f>
        <v>Paulo Ricardo Klaus</v>
      </c>
      <c r="E45" s="20" t="s">
        <v>33</v>
      </c>
      <c r="F45" s="13"/>
      <c r="G45" s="15" t="s">
        <v>89</v>
      </c>
      <c r="H45" s="13"/>
      <c r="I45" s="13"/>
      <c r="J45" s="13" t="s">
        <v>89</v>
      </c>
      <c r="K45" s="13"/>
    </row>
    <row r="46" spans="1:11">
      <c r="A46" s="21" t="s">
        <v>22</v>
      </c>
      <c r="B46" s="13" t="s">
        <v>76</v>
      </c>
      <c r="C46" s="13">
        <v>1</v>
      </c>
      <c r="D46" s="13" t="str">
        <f>IFERROR(IF(INDEX('Form 1 - Município'!D2:D500, MATCH(B46&amp;C46, INDEX('Form 1 - Município'!B2:B500&amp;'Form 1 - Município'!C2:C500, 0), 0))="", "", INDEX('Form 1 - Município'!D2:D500, MATCH(B46&amp;C46, INDEX('Form 1 - Município'!B2:B500&amp;'Form 1 - Município'!C2:C500, 0), 0))), "")</f>
        <v/>
      </c>
      <c r="E46" s="18" t="s">
        <v>4</v>
      </c>
      <c r="F46" s="13"/>
      <c r="G46" s="15" t="s">
        <v>89</v>
      </c>
      <c r="H46" s="13"/>
      <c r="I46" s="13"/>
      <c r="J46" s="13" t="s">
        <v>89</v>
      </c>
      <c r="K46" s="13"/>
    </row>
    <row r="47" spans="1:11">
      <c r="A47" s="21" t="s">
        <v>22</v>
      </c>
      <c r="B47" s="13" t="s">
        <v>77</v>
      </c>
      <c r="C47" s="13">
        <v>1</v>
      </c>
      <c r="D47" s="13" t="str">
        <f>IFERROR(IF(INDEX('Form 1 - Município'!D2:D500, MATCH(B47&amp;C47, INDEX('Form 1 - Município'!B2:B500&amp;'Form 1 - Município'!C2:C500, 0), 0))="", "", INDEX('Form 1 - Município'!D2:D500, MATCH(B47&amp;C47, INDEX('Form 1 - Município'!B2:B500&amp;'Form 1 - Município'!C2:C500, 0), 0))), "")</f>
        <v>Adiel Correia Nogueira</v>
      </c>
      <c r="E47" s="14" t="s">
        <v>31</v>
      </c>
      <c r="F47" s="13" t="s">
        <v>93</v>
      </c>
      <c r="G47" s="15" t="s">
        <v>89</v>
      </c>
      <c r="H47" s="13"/>
      <c r="I47" s="13"/>
      <c r="J47" s="13" t="s">
        <v>89</v>
      </c>
      <c r="K47" s="13"/>
    </row>
  </sheetData>
  <autoFilter ref="A1:G1" xr:uid="{00000000-0009-0000-0000-000004000000}"/>
  <conditionalFormatting sqref="G2:G47">
    <cfRule type="cellIs" dxfId="9" priority="1" stopIfTrue="1" operator="equal">
      <formula>"Sim"</formula>
    </cfRule>
    <cfRule type="cellIs" dxfId="8" priority="3" stopIfTrue="1" operator="equal">
      <formula>"Não"</formula>
    </cfRule>
  </conditionalFormatting>
  <conditionalFormatting sqref="J2:J47">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47">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2025-12-02T11:18:40Z</dcterms:created>
  <dcterms:modified xsi:type="dcterms:W3CDTF">2025-12-02T14:00:31Z</dcterms:modified>
  <cp:category/>
  <cp:contentStatus/>
</cp:coreProperties>
</file>