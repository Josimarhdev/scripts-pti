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xr:revisionPtr revIDLastSave="2" documentId="11_485E6DCC66324392DBCCA8E7554C26AA2A56AD9D" xr6:coauthVersionLast="47" xr6:coauthVersionMax="47" xr10:uidLastSave="{B1080C81-A2BE-4DB7-AC11-3C2C0D7CA243}"/>
  <bookViews>
    <workbookView xWindow="0" yWindow="0" windowWidth="0" windowHeight="0" activeTab="1" xr2:uid="{00000000-000D-0000-FFFF-FFFF00000000}"/>
  </bookViews>
  <sheets>
    <sheet name="Resumo" sheetId="1" r:id="rId1"/>
    <sheet name="Monitoramento" sheetId="2" r:id="rId2"/>
    <sheet name="Regionais" sheetId="3" r:id="rId3"/>
    <sheet name="01.25" sheetId="4" r:id="rId4"/>
    <sheet name="02.25" sheetId="5" r:id="rId5"/>
    <sheet name="03.25" sheetId="6" r:id="rId6"/>
    <sheet name="04.25" sheetId="7" r:id="rId7"/>
    <sheet name="05.25" sheetId="8" r:id="rId8"/>
    <sheet name="06.25" sheetId="9" r:id="rId9"/>
    <sheet name="07.25" sheetId="10" r:id="rId10"/>
    <sheet name="08.25" sheetId="11" r:id="rId11"/>
    <sheet name="09.25" sheetId="12" r:id="rId12"/>
    <sheet name="10.25" sheetId="13" r:id="rId13"/>
    <sheet name="11.25" sheetId="14" r:id="rId14"/>
    <sheet name="12.25" sheetId="15" r:id="rId15"/>
    <sheet name="Irregulares" sheetId="16"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15" l="1"/>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O55" i="3" a="1"/>
  <c r="O55" i="3"/>
  <c r="N55" i="3" a="1"/>
  <c r="N55" i="3"/>
  <c r="M55" i="3" a="1"/>
  <c r="M55" i="3"/>
  <c r="L55" i="3" a="1"/>
  <c r="L55" i="3"/>
  <c r="K55" i="3" a="1"/>
  <c r="K55" i="3"/>
  <c r="J55" i="3" a="1"/>
  <c r="J55" i="3"/>
  <c r="I55" i="3" a="1"/>
  <c r="I55" i="3"/>
  <c r="H55" i="3" a="1"/>
  <c r="H55" i="3"/>
  <c r="G55" i="3" a="1"/>
  <c r="G55" i="3"/>
  <c r="F55" i="3" a="1"/>
  <c r="F55" i="3"/>
  <c r="E55" i="3" a="1"/>
  <c r="E55" i="3"/>
  <c r="D55" i="3" a="1"/>
  <c r="D55" i="3"/>
  <c r="O54" i="3" a="1"/>
  <c r="O54" i="3"/>
  <c r="N54" i="3" a="1"/>
  <c r="N54" i="3"/>
  <c r="M54" i="3" a="1"/>
  <c r="M54" i="3"/>
  <c r="L54" i="3" a="1"/>
  <c r="L54" i="3"/>
  <c r="K54" i="3" a="1"/>
  <c r="K54" i="3"/>
  <c r="J54" i="3" a="1"/>
  <c r="J54" i="3"/>
  <c r="I54" i="3" a="1"/>
  <c r="I54" i="3"/>
  <c r="H54" i="3" a="1"/>
  <c r="H54" i="3"/>
  <c r="G54" i="3" a="1"/>
  <c r="G54" i="3"/>
  <c r="F54" i="3" a="1"/>
  <c r="F54" i="3"/>
  <c r="E54" i="3" a="1"/>
  <c r="E54" i="3"/>
  <c r="D54" i="3" a="1"/>
  <c r="D54" i="3"/>
  <c r="O53" i="3" a="1"/>
  <c r="O53" i="3"/>
  <c r="N53" i="3" a="1"/>
  <c r="N53" i="3"/>
  <c r="M53" i="3" a="1"/>
  <c r="M53" i="3"/>
  <c r="L53" i="3" a="1"/>
  <c r="L53" i="3"/>
  <c r="K53" i="3" a="1"/>
  <c r="K53" i="3"/>
  <c r="J53" i="3" a="1"/>
  <c r="J53" i="3"/>
  <c r="I53" i="3" a="1"/>
  <c r="I53" i="3"/>
  <c r="H53" i="3" a="1"/>
  <c r="H53" i="3"/>
  <c r="G53" i="3" a="1"/>
  <c r="G53" i="3"/>
  <c r="F53" i="3" a="1"/>
  <c r="F53" i="3"/>
  <c r="E53" i="3" a="1"/>
  <c r="E53" i="3"/>
  <c r="D53" i="3" a="1"/>
  <c r="D53" i="3"/>
  <c r="O52" i="3" a="1"/>
  <c r="O52" i="3"/>
  <c r="N52" i="3" a="1"/>
  <c r="N52" i="3"/>
  <c r="M52" i="3" a="1"/>
  <c r="M52" i="3"/>
  <c r="L52" i="3" a="1"/>
  <c r="L52" i="3"/>
  <c r="K52" i="3" a="1"/>
  <c r="K52" i="3"/>
  <c r="J52" i="3" a="1"/>
  <c r="J52" i="3"/>
  <c r="I52" i="3" a="1"/>
  <c r="I52" i="3"/>
  <c r="H52" i="3" a="1"/>
  <c r="H52" i="3"/>
  <c r="G52" i="3" a="1"/>
  <c r="G52" i="3"/>
  <c r="F52" i="3" a="1"/>
  <c r="F52" i="3"/>
  <c r="E52" i="3" a="1"/>
  <c r="E52" i="3"/>
  <c r="D52" i="3" a="1"/>
  <c r="D52" i="3"/>
  <c r="O51" i="3" a="1"/>
  <c r="O51" i="3"/>
  <c r="N51" i="3" a="1"/>
  <c r="N51" i="3"/>
  <c r="M51" i="3" a="1"/>
  <c r="M51" i="3"/>
  <c r="L51" i="3" a="1"/>
  <c r="L51" i="3"/>
  <c r="K51" i="3" a="1"/>
  <c r="K51" i="3"/>
  <c r="J51" i="3" a="1"/>
  <c r="J51" i="3"/>
  <c r="I51" i="3" a="1"/>
  <c r="I51" i="3"/>
  <c r="H51" i="3" a="1"/>
  <c r="H51" i="3"/>
  <c r="G51" i="3" a="1"/>
  <c r="G51" i="3"/>
  <c r="F51" i="3" a="1"/>
  <c r="F51" i="3"/>
  <c r="E51" i="3" a="1"/>
  <c r="E51" i="3"/>
  <c r="D51" i="3" a="1"/>
  <c r="D51" i="3"/>
  <c r="O50" i="3" a="1"/>
  <c r="O50" i="3"/>
  <c r="N50" i="3" a="1"/>
  <c r="N50" i="3"/>
  <c r="M50" i="3" a="1"/>
  <c r="M50" i="3"/>
  <c r="L50" i="3" a="1"/>
  <c r="L50" i="3"/>
  <c r="K50" i="3" a="1"/>
  <c r="K50" i="3"/>
  <c r="J50" i="3" a="1"/>
  <c r="J50" i="3"/>
  <c r="I50" i="3" a="1"/>
  <c r="I50" i="3"/>
  <c r="H50" i="3" a="1"/>
  <c r="H50" i="3"/>
  <c r="G50" i="3" a="1"/>
  <c r="G50" i="3"/>
  <c r="F50" i="3" a="1"/>
  <c r="F50" i="3"/>
  <c r="E50" i="3" a="1"/>
  <c r="E50" i="3"/>
  <c r="D50" i="3" a="1"/>
  <c r="D50" i="3"/>
  <c r="O49" i="3" a="1"/>
  <c r="O49" i="3"/>
  <c r="N49" i="3" a="1"/>
  <c r="N49" i="3"/>
  <c r="M49" i="3" a="1"/>
  <c r="M49" i="3"/>
  <c r="L49" i="3" a="1"/>
  <c r="L49" i="3"/>
  <c r="K49" i="3" a="1"/>
  <c r="K49" i="3"/>
  <c r="J49" i="3" a="1"/>
  <c r="J49" i="3"/>
  <c r="I49" i="3" a="1"/>
  <c r="I49" i="3"/>
  <c r="H49" i="3" a="1"/>
  <c r="H49" i="3"/>
  <c r="G49" i="3" a="1"/>
  <c r="G49" i="3"/>
  <c r="F49" i="3" a="1"/>
  <c r="F49" i="3"/>
  <c r="E49" i="3" a="1"/>
  <c r="E49" i="3"/>
  <c r="D49" i="3" a="1"/>
  <c r="D49" i="3"/>
  <c r="O48" i="3" a="1"/>
  <c r="O48" i="3"/>
  <c r="N48" i="3" a="1"/>
  <c r="N48" i="3"/>
  <c r="M48" i="3" a="1"/>
  <c r="M48" i="3"/>
  <c r="L48" i="3" a="1"/>
  <c r="L48" i="3"/>
  <c r="K48" i="3" a="1"/>
  <c r="K48" i="3"/>
  <c r="J48" i="3" a="1"/>
  <c r="J48" i="3"/>
  <c r="I48" i="3" a="1"/>
  <c r="I48" i="3"/>
  <c r="H48" i="3" a="1"/>
  <c r="H48" i="3"/>
  <c r="G48" i="3" a="1"/>
  <c r="G48" i="3"/>
  <c r="F48" i="3" a="1"/>
  <c r="F48" i="3"/>
  <c r="E48" i="3" a="1"/>
  <c r="E48" i="3"/>
  <c r="D48" i="3" a="1"/>
  <c r="D48" i="3"/>
  <c r="O47" i="3" a="1"/>
  <c r="O47" i="3"/>
  <c r="N47" i="3" a="1"/>
  <c r="N47" i="3"/>
  <c r="M47" i="3" a="1"/>
  <c r="M47" i="3"/>
  <c r="L47" i="3" a="1"/>
  <c r="L47" i="3"/>
  <c r="K47" i="3" a="1"/>
  <c r="K47" i="3"/>
  <c r="J47" i="3" a="1"/>
  <c r="J47" i="3"/>
  <c r="I47" i="3" a="1"/>
  <c r="I47" i="3"/>
  <c r="H47" i="3" a="1"/>
  <c r="H47" i="3"/>
  <c r="G47" i="3" a="1"/>
  <c r="G47" i="3"/>
  <c r="F47" i="3" a="1"/>
  <c r="F47" i="3"/>
  <c r="E47" i="3" a="1"/>
  <c r="E47" i="3"/>
  <c r="D47" i="3" a="1"/>
  <c r="D47" i="3"/>
  <c r="O46" i="3" a="1"/>
  <c r="O46" i="3"/>
  <c r="N46" i="3" a="1"/>
  <c r="N46" i="3"/>
  <c r="M46" i="3" a="1"/>
  <c r="M46" i="3"/>
  <c r="L46" i="3" a="1"/>
  <c r="L46" i="3"/>
  <c r="K46" i="3" a="1"/>
  <c r="K46" i="3"/>
  <c r="J46" i="3" a="1"/>
  <c r="J46" i="3"/>
  <c r="I46" i="3" a="1"/>
  <c r="I46" i="3"/>
  <c r="H46" i="3" a="1"/>
  <c r="H46" i="3"/>
  <c r="G46" i="3" a="1"/>
  <c r="G46" i="3"/>
  <c r="F46" i="3" a="1"/>
  <c r="F46" i="3"/>
  <c r="E46" i="3" a="1"/>
  <c r="E46" i="3"/>
  <c r="D46" i="3" a="1"/>
  <c r="D46" i="3"/>
  <c r="O45" i="3" a="1"/>
  <c r="O45" i="3"/>
  <c r="N45" i="3" a="1"/>
  <c r="N45" i="3"/>
  <c r="M45" i="3" a="1"/>
  <c r="M45" i="3"/>
  <c r="L45" i="3" a="1"/>
  <c r="L45" i="3"/>
  <c r="K45" i="3" a="1"/>
  <c r="K45" i="3"/>
  <c r="J45" i="3" a="1"/>
  <c r="J45" i="3"/>
  <c r="I45" i="3" a="1"/>
  <c r="I45" i="3"/>
  <c r="H45" i="3" a="1"/>
  <c r="H45" i="3"/>
  <c r="G45" i="3" a="1"/>
  <c r="G45" i="3"/>
  <c r="F45" i="3" a="1"/>
  <c r="F45" i="3"/>
  <c r="E45" i="3" a="1"/>
  <c r="E45" i="3"/>
  <c r="D45" i="3" a="1"/>
  <c r="D45" i="3"/>
  <c r="O44" i="3" a="1"/>
  <c r="O44" i="3"/>
  <c r="N44" i="3" a="1"/>
  <c r="N44" i="3"/>
  <c r="M44" i="3" a="1"/>
  <c r="M44" i="3"/>
  <c r="L44" i="3" a="1"/>
  <c r="L44" i="3"/>
  <c r="K44" i="3" a="1"/>
  <c r="K44" i="3"/>
  <c r="J44" i="3" a="1"/>
  <c r="J44" i="3"/>
  <c r="I44" i="3" a="1"/>
  <c r="I44" i="3"/>
  <c r="H44" i="3" a="1"/>
  <c r="H44" i="3"/>
  <c r="G44" i="3" a="1"/>
  <c r="G44" i="3"/>
  <c r="F44" i="3" a="1"/>
  <c r="F44" i="3"/>
  <c r="E44" i="3" a="1"/>
  <c r="E44" i="3"/>
  <c r="D44" i="3" a="1"/>
  <c r="D44" i="3"/>
  <c r="O43" i="3" a="1"/>
  <c r="O43" i="3"/>
  <c r="N43" i="3" a="1"/>
  <c r="N43" i="3"/>
  <c r="M43" i="3" a="1"/>
  <c r="M43" i="3"/>
  <c r="L43" i="3" a="1"/>
  <c r="L43" i="3"/>
  <c r="K43" i="3" a="1"/>
  <c r="K43" i="3"/>
  <c r="J43" i="3" a="1"/>
  <c r="J43" i="3"/>
  <c r="I43" i="3" a="1"/>
  <c r="I43" i="3"/>
  <c r="H43" i="3" a="1"/>
  <c r="H43" i="3"/>
  <c r="G43" i="3" a="1"/>
  <c r="G43" i="3"/>
  <c r="F43" i="3" a="1"/>
  <c r="F43" i="3"/>
  <c r="E43" i="3" a="1"/>
  <c r="E43" i="3"/>
  <c r="D43" i="3" a="1"/>
  <c r="D43" i="3"/>
  <c r="O40" i="3" a="1"/>
  <c r="O40" i="3"/>
  <c r="N40" i="3" a="1"/>
  <c r="N40" i="3"/>
  <c r="M40" i="3" a="1"/>
  <c r="M40" i="3"/>
  <c r="L40" i="3" a="1"/>
  <c r="L40" i="3"/>
  <c r="K40" i="3" a="1"/>
  <c r="K40" i="3"/>
  <c r="J40" i="3" a="1"/>
  <c r="J40" i="3"/>
  <c r="I40" i="3" a="1"/>
  <c r="I40" i="3"/>
  <c r="H40" i="3" a="1"/>
  <c r="H40" i="3"/>
  <c r="G40" i="3" a="1"/>
  <c r="G40" i="3"/>
  <c r="F40" i="3" a="1"/>
  <c r="F40" i="3"/>
  <c r="E40" i="3" a="1"/>
  <c r="E40" i="3"/>
  <c r="R13" i="1"/>
  <c r="O39" i="3" a="1"/>
  <c r="L39" i="3" a="1"/>
  <c r="I39" i="3" a="1"/>
  <c r="F39" i="3" a="1"/>
  <c r="O38" i="3" a="1"/>
  <c r="L38" i="3" a="1"/>
  <c r="I38" i="3" a="1"/>
  <c r="F38" i="3" a="1"/>
  <c r="O37" i="3" a="1"/>
  <c r="L37" i="3" a="1"/>
  <c r="I37" i="3" a="1"/>
  <c r="F37" i="3" a="1"/>
  <c r="O34" i="3" a="1"/>
  <c r="L34" i="3" a="1"/>
  <c r="I34" i="3" a="1"/>
  <c r="F34" i="3" a="1"/>
  <c r="O33" i="3" a="1"/>
  <c r="L33" i="3" a="1"/>
  <c r="I33" i="3" a="1"/>
  <c r="F33" i="3" a="1"/>
  <c r="O32" i="3" a="1"/>
  <c r="L32" i="3" a="1"/>
  <c r="I32" i="3" a="1"/>
  <c r="F32" i="3" a="1"/>
  <c r="O31" i="3" a="1"/>
  <c r="L31" i="3" a="1"/>
  <c r="I31" i="3" a="1"/>
  <c r="F31" i="3" a="1"/>
  <c r="O30" i="3" a="1"/>
  <c r="L30" i="3" a="1"/>
  <c r="I30" i="3" a="1"/>
  <c r="F30" i="3" a="1"/>
  <c r="O29" i="3" a="1"/>
  <c r="L29" i="3" a="1"/>
  <c r="I29" i="3" a="1"/>
  <c r="F29" i="3" a="1"/>
  <c r="O28" i="3" a="1"/>
  <c r="L28" i="3" a="1"/>
  <c r="I28" i="3" a="1"/>
  <c r="F28" i="3" a="1"/>
  <c r="O27" i="3" a="1"/>
  <c r="L27" i="3" a="1"/>
  <c r="I27" i="3" a="1"/>
  <c r="F27" i="3" a="1"/>
  <c r="O26" i="3" a="1"/>
  <c r="L26" i="3" a="1"/>
  <c r="I26" i="3" a="1"/>
  <c r="F26" i="3" a="1"/>
  <c r="O25" i="3" a="1"/>
  <c r="L25" i="3" a="1"/>
  <c r="I25" i="3" a="1"/>
  <c r="D40" i="3" a="1"/>
  <c r="M39" i="3" a="1"/>
  <c r="J39" i="3" a="1"/>
  <c r="G39" i="3" a="1"/>
  <c r="D39" i="3" a="1"/>
  <c r="M38" i="3" a="1"/>
  <c r="J38" i="3" a="1"/>
  <c r="G38" i="3" a="1"/>
  <c r="D38" i="3" a="1"/>
  <c r="M37" i="3" a="1"/>
  <c r="J37" i="3" a="1"/>
  <c r="G37" i="3" a="1"/>
  <c r="D37" i="3" a="1"/>
  <c r="M34" i="3" a="1"/>
  <c r="J34" i="3" a="1"/>
  <c r="G34" i="3" a="1"/>
  <c r="D34" i="3" a="1"/>
  <c r="M33" i="3" a="1"/>
  <c r="J33" i="3" a="1"/>
  <c r="G33" i="3" a="1"/>
  <c r="D33" i="3" a="1"/>
  <c r="M32" i="3" a="1"/>
  <c r="J32" i="3" a="1"/>
  <c r="G32" i="3" a="1"/>
  <c r="D32" i="3" a="1"/>
  <c r="M31" i="3" a="1"/>
  <c r="J31" i="3" a="1"/>
  <c r="G31" i="3" a="1"/>
  <c r="D31" i="3" a="1"/>
  <c r="M30" i="3" a="1"/>
  <c r="J30" i="3" a="1"/>
  <c r="G30" i="3" a="1"/>
  <c r="D30" i="3" a="1"/>
  <c r="M29" i="3" a="1"/>
  <c r="J29" i="3" a="1"/>
  <c r="G29" i="3" a="1"/>
  <c r="D29" i="3" a="1"/>
  <c r="M28" i="3" a="1"/>
  <c r="J28" i="3" a="1"/>
  <c r="G28" i="3" a="1"/>
  <c r="D28" i="3" a="1"/>
  <c r="M27" i="3" a="1"/>
  <c r="J27" i="3" a="1"/>
  <c r="G27" i="3" a="1"/>
  <c r="D27" i="3" a="1"/>
  <c r="M26" i="3" a="1"/>
  <c r="J26" i="3" a="1"/>
  <c r="N39" i="3" a="1"/>
  <c r="K39" i="3" a="1"/>
  <c r="H39" i="3" a="1"/>
  <c r="E39" i="3" a="1"/>
  <c r="N38" i="3" a="1"/>
  <c r="K38" i="3" a="1"/>
  <c r="H38" i="3" a="1"/>
  <c r="E38" i="3" a="1"/>
  <c r="N37" i="3" a="1"/>
  <c r="K37" i="3" a="1"/>
  <c r="H37" i="3" a="1"/>
  <c r="E37" i="3" a="1"/>
  <c r="N34" i="3" a="1"/>
  <c r="K34" i="3" a="1"/>
  <c r="H34" i="3" a="1"/>
  <c r="E34" i="3" a="1"/>
  <c r="N33" i="3" a="1"/>
  <c r="K33" i="3" a="1"/>
  <c r="H33" i="3" a="1"/>
  <c r="E33" i="3" a="1"/>
  <c r="N32" i="3" a="1"/>
  <c r="K32" i="3" a="1"/>
  <c r="H32" i="3" a="1"/>
  <c r="E32" i="3" a="1"/>
  <c r="N31" i="3" a="1"/>
  <c r="K31" i="3" a="1"/>
  <c r="H31" i="3" a="1"/>
  <c r="E31" i="3" a="1"/>
  <c r="N30" i="3" a="1"/>
  <c r="K30" i="3" a="1"/>
  <c r="H30" i="3" a="1"/>
  <c r="E30" i="3" a="1"/>
  <c r="N29" i="3" a="1"/>
  <c r="K29" i="3" a="1"/>
  <c r="H29" i="3" a="1"/>
  <c r="E29" i="3" a="1"/>
  <c r="N28" i="3" a="1"/>
  <c r="K28" i="3" a="1"/>
  <c r="H28" i="3" a="1"/>
  <c r="E28" i="3" a="1"/>
  <c r="N27" i="3" a="1"/>
  <c r="K27" i="3" a="1"/>
  <c r="H27" i="3" a="1"/>
  <c r="E27" i="3" a="1"/>
  <c r="N26" i="3" a="1"/>
  <c r="K26" i="3" a="1"/>
  <c r="H26" i="3" a="1"/>
  <c r="E26" i="3" a="1"/>
  <c r="N25" i="3" a="1"/>
  <c r="K25" i="3" a="1"/>
  <c r="H25" i="3" a="1"/>
  <c r="M25" i="3" a="1"/>
  <c r="F25" i="3" a="1"/>
  <c r="O22" i="3" a="1"/>
  <c r="L22" i="3" a="1"/>
  <c r="I22" i="3" a="1"/>
  <c r="F22" i="3" a="1"/>
  <c r="O21" i="3" a="1"/>
  <c r="L21" i="3" a="1"/>
  <c r="I21" i="3" a="1"/>
  <c r="F21" i="3" a="1"/>
  <c r="O20" i="3" a="1"/>
  <c r="L20" i="3" a="1"/>
  <c r="I20" i="3" a="1"/>
  <c r="F20" i="3" a="1"/>
  <c r="O19" i="3" a="1"/>
  <c r="L19" i="3" a="1"/>
  <c r="I19" i="3" a="1"/>
  <c r="F19" i="3" a="1"/>
  <c r="O18" i="3" a="1"/>
  <c r="L18" i="3" a="1"/>
  <c r="I18" i="3" a="1"/>
  <c r="F18" i="3" a="1"/>
  <c r="O17" i="3" a="1"/>
  <c r="L17" i="3" a="1"/>
  <c r="I17" i="3" a="1"/>
  <c r="F17" i="3" a="1"/>
  <c r="O16" i="3" a="1"/>
  <c r="L16" i="3" a="1"/>
  <c r="I16" i="3" a="1"/>
  <c r="F16" i="3" a="1"/>
  <c r="O15" i="3" a="1"/>
  <c r="L15" i="3" a="1"/>
  <c r="I15" i="3" a="1"/>
  <c r="F15" i="3" a="1"/>
  <c r="O14" i="3" a="1"/>
  <c r="L14" i="3" a="1"/>
  <c r="I14" i="3" a="1"/>
  <c r="F14" i="3" a="1"/>
  <c r="O13" i="3" a="1"/>
  <c r="L13" i="3" a="1"/>
  <c r="I13" i="3" a="1"/>
  <c r="F13" i="3" a="1"/>
  <c r="O12" i="3" a="1"/>
  <c r="L12" i="3" a="1"/>
  <c r="I12" i="3" a="1"/>
  <c r="F12" i="3" a="1"/>
  <c r="O9" i="3" a="1"/>
  <c r="L9" i="3" a="1"/>
  <c r="I9" i="3" a="1"/>
  <c r="F9" i="3" a="1"/>
  <c r="O8" i="3" a="1"/>
  <c r="D26" i="3" a="1"/>
  <c r="G25" i="3" a="1"/>
  <c r="D25" i="3" a="1"/>
  <c r="M22" i="3" a="1"/>
  <c r="J22" i="3" a="1"/>
  <c r="G22" i="3" a="1"/>
  <c r="D22" i="3" a="1"/>
  <c r="M21" i="3" a="1"/>
  <c r="J21" i="3" a="1"/>
  <c r="G21" i="3" a="1"/>
  <c r="D21" i="3" a="1"/>
  <c r="M20" i="3" a="1"/>
  <c r="J20" i="3" a="1"/>
  <c r="G20" i="3" a="1"/>
  <c r="D20" i="3" a="1"/>
  <c r="M19" i="3" a="1"/>
  <c r="J19" i="3" a="1"/>
  <c r="G19" i="3" a="1"/>
  <c r="D19" i="3" a="1"/>
  <c r="M18" i="3" a="1"/>
  <c r="J18" i="3" a="1"/>
  <c r="G18" i="3" a="1"/>
  <c r="D18" i="3" a="1"/>
  <c r="M17" i="3" a="1"/>
  <c r="J17" i="3" a="1"/>
  <c r="G17" i="3" a="1"/>
  <c r="D17" i="3" a="1"/>
  <c r="M16" i="3" a="1"/>
  <c r="J16" i="3" a="1"/>
  <c r="G16" i="3" a="1"/>
  <c r="D16" i="3" a="1"/>
  <c r="M15" i="3" a="1"/>
  <c r="J15" i="3" a="1"/>
  <c r="G15" i="3" a="1"/>
  <c r="D15" i="3" a="1"/>
  <c r="M14" i="3" a="1"/>
  <c r="J14" i="3" a="1"/>
  <c r="G14" i="3" a="1"/>
  <c r="D14" i="3" a="1"/>
  <c r="M13" i="3" a="1"/>
  <c r="J13" i="3" a="1"/>
  <c r="G13" i="3" a="1"/>
  <c r="D13" i="3" a="1"/>
  <c r="M12" i="3" a="1"/>
  <c r="J12" i="3" a="1"/>
  <c r="G12" i="3" a="1"/>
  <c r="D12" i="3" a="1"/>
  <c r="M9" i="3" a="1"/>
  <c r="J9" i="3" a="1"/>
  <c r="G9" i="3" a="1"/>
  <c r="D9" i="3" a="1"/>
  <c r="G26" i="3" a="1"/>
  <c r="J25" i="3" a="1"/>
  <c r="E25" i="3" a="1"/>
  <c r="N22" i="3" a="1"/>
  <c r="K22" i="3" a="1"/>
  <c r="H22" i="3" a="1"/>
  <c r="E22" i="3" a="1"/>
  <c r="N21" i="3" a="1"/>
  <c r="K21" i="3" a="1"/>
  <c r="H21" i="3" a="1"/>
  <c r="E21" i="3" a="1"/>
  <c r="N20" i="3" a="1"/>
  <c r="K20" i="3" a="1"/>
  <c r="H20" i="3" a="1"/>
  <c r="E20" i="3" a="1"/>
  <c r="N19" i="3" a="1"/>
  <c r="K19" i="3" a="1"/>
  <c r="H19" i="3" a="1"/>
  <c r="E19" i="3" a="1"/>
  <c r="N18" i="3" a="1"/>
  <c r="K18" i="3" a="1"/>
  <c r="H18" i="3" a="1"/>
  <c r="E18" i="3" a="1"/>
  <c r="N17" i="3" a="1"/>
  <c r="K17" i="3" a="1"/>
  <c r="H17" i="3" a="1"/>
  <c r="E17" i="3" a="1"/>
  <c r="N16" i="3" a="1"/>
  <c r="K16" i="3" a="1"/>
  <c r="H16" i="3" a="1"/>
  <c r="E16" i="3" a="1"/>
  <c r="N15" i="3" a="1"/>
  <c r="K15" i="3" a="1"/>
  <c r="H15" i="3" a="1"/>
  <c r="E15" i="3" a="1"/>
  <c r="N14" i="3" a="1"/>
  <c r="K14" i="3" a="1"/>
  <c r="H14" i="3" a="1"/>
  <c r="E14" i="3" a="1"/>
  <c r="N13" i="3" a="1"/>
  <c r="K13" i="3" a="1"/>
  <c r="H13" i="3" a="1"/>
  <c r="E13" i="3" a="1"/>
  <c r="N12" i="3" a="1"/>
  <c r="K12" i="3" a="1"/>
  <c r="H12" i="3" a="1"/>
  <c r="E12" i="3" a="1"/>
  <c r="N9" i="3" a="1"/>
  <c r="K9" i="3" a="1"/>
  <c r="H9" i="3" a="1"/>
  <c r="E9" i="3" a="1"/>
  <c r="L8" i="3" a="1"/>
  <c r="I8" i="3" a="1"/>
  <c r="F8" i="3" a="1"/>
  <c r="O7" i="3" a="1"/>
  <c r="L7" i="3" a="1"/>
  <c r="I7" i="3" a="1"/>
  <c r="F7" i="3" a="1"/>
  <c r="O6" i="3" a="1"/>
  <c r="L6" i="3" a="1"/>
  <c r="I6" i="3" a="1"/>
  <c r="F6" i="3" a="1"/>
  <c r="O5" i="3" a="1"/>
  <c r="L5" i="3" a="1"/>
  <c r="I5" i="3" a="1"/>
  <c r="F5" i="3" a="1"/>
  <c r="O4" i="3" a="1"/>
  <c r="L4" i="3" a="1"/>
  <c r="I4" i="3" a="1"/>
  <c r="F4" i="3" a="1"/>
  <c r="O3" i="3" a="1"/>
  <c r="L3" i="3" a="1"/>
  <c r="I3" i="3" a="1"/>
  <c r="F3" i="3" a="1"/>
  <c r="O2" i="3" a="1"/>
  <c r="L2" i="3" a="1"/>
  <c r="I2" i="3" a="1"/>
  <c r="F2" i="3" a="1"/>
  <c r="O55" i="2" a="1"/>
  <c r="L55" i="2" a="1"/>
  <c r="I55" i="2" a="1"/>
  <c r="F55" i="2" a="1"/>
  <c r="O54" i="2" a="1"/>
  <c r="L54" i="2" a="1"/>
  <c r="I54" i="2" a="1"/>
  <c r="F54" i="2" a="1"/>
  <c r="O53" i="2" a="1"/>
  <c r="L53" i="2" a="1"/>
  <c r="I53" i="2" a="1"/>
  <c r="F53" i="2" a="1"/>
  <c r="O52" i="2" a="1"/>
  <c r="L52" i="2" a="1"/>
  <c r="I52" i="2" a="1"/>
  <c r="F52" i="2" a="1"/>
  <c r="O51" i="2" a="1"/>
  <c r="L51" i="2" a="1"/>
  <c r="I51" i="2" a="1"/>
  <c r="F51" i="2" a="1"/>
  <c r="O50" i="2" a="1"/>
  <c r="L50" i="2" a="1"/>
  <c r="I50" i="2" a="1"/>
  <c r="F50" i="2" a="1"/>
  <c r="O49" i="2" a="1"/>
  <c r="M8" i="3" a="1"/>
  <c r="J8" i="3" a="1"/>
  <c r="G8" i="3" a="1"/>
  <c r="D8" i="3" a="1"/>
  <c r="M7" i="3" a="1"/>
  <c r="J7" i="3" a="1"/>
  <c r="G7" i="3" a="1"/>
  <c r="D7" i="3" a="1"/>
  <c r="M6" i="3" a="1"/>
  <c r="J6" i="3" a="1"/>
  <c r="G6" i="3" a="1"/>
  <c r="D6" i="3" a="1"/>
  <c r="M5" i="3" a="1"/>
  <c r="J5" i="3" a="1"/>
  <c r="G5" i="3" a="1"/>
  <c r="D5" i="3" a="1"/>
  <c r="M4" i="3" a="1"/>
  <c r="J4" i="3" a="1"/>
  <c r="G4" i="3" a="1"/>
  <c r="D4" i="3" a="1"/>
  <c r="M3" i="3" a="1"/>
  <c r="J3" i="3" a="1"/>
  <c r="G3" i="3" a="1"/>
  <c r="D3" i="3" a="1"/>
  <c r="M2" i="3" a="1"/>
  <c r="J2" i="3" a="1"/>
  <c r="G2" i="3" a="1"/>
  <c r="D2" i="3" a="1"/>
  <c r="M55" i="2" a="1"/>
  <c r="J55" i="2" a="1"/>
  <c r="G55" i="2" a="1"/>
  <c r="D55" i="2" a="1"/>
  <c r="M54" i="2" a="1"/>
  <c r="J54" i="2" a="1"/>
  <c r="G54" i="2" a="1"/>
  <c r="D54" i="2" a="1"/>
  <c r="M53" i="2" a="1"/>
  <c r="J53" i="2" a="1"/>
  <c r="G53" i="2" a="1"/>
  <c r="D53" i="2" a="1"/>
  <c r="M52" i="2" a="1"/>
  <c r="J52" i="2" a="1"/>
  <c r="G52" i="2" a="1"/>
  <c r="D52" i="2" a="1"/>
  <c r="M51" i="2" a="1"/>
  <c r="J51" i="2" a="1"/>
  <c r="G51" i="2" a="1"/>
  <c r="D51" i="2" a="1"/>
  <c r="M50" i="2" a="1"/>
  <c r="J50" i="2" a="1"/>
  <c r="G50" i="2" a="1"/>
  <c r="N8" i="3" a="1"/>
  <c r="K8" i="3" a="1"/>
  <c r="H8" i="3" a="1"/>
  <c r="E8" i="3" a="1"/>
  <c r="N7" i="3" a="1"/>
  <c r="K7" i="3" a="1"/>
  <c r="H7" i="3" a="1"/>
  <c r="E7" i="3" a="1"/>
  <c r="N6" i="3" a="1"/>
  <c r="K6" i="3" a="1"/>
  <c r="H6" i="3" a="1"/>
  <c r="E6" i="3" a="1"/>
  <c r="N5" i="3" a="1"/>
  <c r="K5" i="3" a="1"/>
  <c r="H5" i="3" a="1"/>
  <c r="E5" i="3" a="1"/>
  <c r="N4" i="3" a="1"/>
  <c r="K4" i="3" a="1"/>
  <c r="H4" i="3" a="1"/>
  <c r="E4" i="3" a="1"/>
  <c r="N3" i="3" a="1"/>
  <c r="K3" i="3" a="1"/>
  <c r="H3" i="3" a="1"/>
  <c r="E3" i="3" a="1"/>
  <c r="N2" i="3" a="1"/>
  <c r="K2" i="3" a="1"/>
  <c r="H2" i="3" a="1"/>
  <c r="E2" i="3" a="1"/>
  <c r="N55" i="2" a="1"/>
  <c r="K55" i="2" a="1"/>
  <c r="H55" i="2" a="1"/>
  <c r="E55" i="2" a="1"/>
  <c r="N54" i="2" a="1"/>
  <c r="K54" i="2" a="1"/>
  <c r="H54" i="2" a="1"/>
  <c r="E54" i="2" a="1"/>
  <c r="N53" i="2" a="1"/>
  <c r="K53" i="2" a="1"/>
  <c r="H53" i="2" a="1"/>
  <c r="K52" i="2" a="1"/>
  <c r="N51" i="2" a="1"/>
  <c r="E51" i="2" a="1"/>
  <c r="H50" i="2" a="1"/>
  <c r="E50" i="2" a="1"/>
  <c r="M49" i="2" a="1"/>
  <c r="J49" i="2" a="1"/>
  <c r="G49" i="2" a="1"/>
  <c r="D49" i="2" a="1"/>
  <c r="M48" i="2" a="1"/>
  <c r="J48" i="2" a="1"/>
  <c r="G48" i="2" a="1"/>
  <c r="D48" i="2" a="1"/>
  <c r="M47" i="2" a="1"/>
  <c r="J47" i="2" a="1"/>
  <c r="G47" i="2" a="1"/>
  <c r="D47" i="2" a="1"/>
  <c r="M46" i="2" a="1"/>
  <c r="J46" i="2" a="1"/>
  <c r="G46" i="2" a="1"/>
  <c r="D46" i="2" a="1"/>
  <c r="M45" i="2" a="1"/>
  <c r="J45" i="2" a="1"/>
  <c r="G45" i="2" a="1"/>
  <c r="D45" i="2" a="1"/>
  <c r="M44" i="2" a="1"/>
  <c r="J44" i="2" a="1"/>
  <c r="G44" i="2" a="1"/>
  <c r="D44" i="2" a="1"/>
  <c r="M43" i="2" a="1"/>
  <c r="J43" i="2" a="1"/>
  <c r="G43" i="2" a="1"/>
  <c r="D43" i="2" a="1"/>
  <c r="M40" i="2" a="1"/>
  <c r="J40" i="2" a="1"/>
  <c r="G40" i="2" a="1"/>
  <c r="D40" i="2" a="1"/>
  <c r="M39" i="2" a="1"/>
  <c r="J39" i="2" a="1"/>
  <c r="G39" i="2" a="1"/>
  <c r="D39" i="2" a="1"/>
  <c r="M38" i="2" a="1"/>
  <c r="J38" i="2" a="1"/>
  <c r="G38" i="2" a="1"/>
  <c r="D38" i="2" a="1"/>
  <c r="M37" i="2" a="1"/>
  <c r="J37" i="2" a="1"/>
  <c r="G37" i="2" a="1"/>
  <c r="D37" i="2" a="1"/>
  <c r="M34" i="2" a="1"/>
  <c r="J34" i="2" a="1"/>
  <c r="G34" i="2" a="1"/>
  <c r="D34" i="2" a="1"/>
  <c r="M33" i="2" a="1"/>
  <c r="J33" i="2" a="1"/>
  <c r="G33" i="2" a="1"/>
  <c r="D33" i="2" a="1"/>
  <c r="M32" i="2" a="1"/>
  <c r="J32" i="2" a="1"/>
  <c r="G32" i="2" a="1"/>
  <c r="D32" i="2" a="1"/>
  <c r="M31" i="2" a="1"/>
  <c r="J31" i="2" a="1"/>
  <c r="G31" i="2" a="1"/>
  <c r="D31" i="2" a="1"/>
  <c r="M30" i="2" a="1"/>
  <c r="J30" i="2" a="1"/>
  <c r="G30" i="2" a="1"/>
  <c r="D30" i="2" a="1"/>
  <c r="M29" i="2" a="1"/>
  <c r="J29" i="2" a="1"/>
  <c r="G29" i="2" a="1"/>
  <c r="D29" i="2" a="1"/>
  <c r="M28" i="2" a="1"/>
  <c r="J28" i="2" a="1"/>
  <c r="G28" i="2" a="1"/>
  <c r="D28" i="2" a="1"/>
  <c r="M27" i="2" a="1"/>
  <c r="J27" i="2" a="1"/>
  <c r="G27" i="2" a="1"/>
  <c r="D27" i="2" a="1"/>
  <c r="M26" i="2" a="1"/>
  <c r="J26" i="2" a="1"/>
  <c r="G26" i="2" a="1"/>
  <c r="D26" i="2" a="1"/>
  <c r="M25" i="2" a="1"/>
  <c r="J25" i="2" a="1"/>
  <c r="G25" i="2" a="1"/>
  <c r="D25" i="2" a="1"/>
  <c r="M22" i="2" a="1"/>
  <c r="J22" i="2" a="1"/>
  <c r="G22" i="2" a="1"/>
  <c r="D22" i="2" a="1"/>
  <c r="M21" i="2" a="1"/>
  <c r="J21" i="2" a="1"/>
  <c r="G21" i="2" a="1"/>
  <c r="D21" i="2" a="1"/>
  <c r="M20" i="2" a="1"/>
  <c r="J20" i="2" a="1"/>
  <c r="G20" i="2" a="1"/>
  <c r="D20" i="2" a="1"/>
  <c r="M19" i="2" a="1"/>
  <c r="N52" i="2" a="1"/>
  <c r="E52" i="2" a="1"/>
  <c r="H51" i="2" a="1"/>
  <c r="K50" i="2" a="1"/>
  <c r="D50" i="2" a="1"/>
  <c r="N49" i="2" a="1"/>
  <c r="K49" i="2" a="1"/>
  <c r="H49" i="2" a="1"/>
  <c r="E49" i="2" a="1"/>
  <c r="N48" i="2" a="1"/>
  <c r="K48" i="2" a="1"/>
  <c r="H48" i="2" a="1"/>
  <c r="E48" i="2" a="1"/>
  <c r="N47" i="2" a="1"/>
  <c r="K47" i="2" a="1"/>
  <c r="H47" i="2" a="1"/>
  <c r="E47" i="2" a="1"/>
  <c r="N46" i="2" a="1"/>
  <c r="K46" i="2" a="1"/>
  <c r="H46" i="2" a="1"/>
  <c r="E46" i="2" a="1"/>
  <c r="N45" i="2" a="1"/>
  <c r="K45" i="2" a="1"/>
  <c r="H45" i="2" a="1"/>
  <c r="E45" i="2" a="1"/>
  <c r="N44" i="2" a="1"/>
  <c r="K44" i="2" a="1"/>
  <c r="H44" i="2" a="1"/>
  <c r="E44" i="2" a="1"/>
  <c r="N43" i="2" a="1"/>
  <c r="K43" i="2" a="1"/>
  <c r="H43" i="2" a="1"/>
  <c r="E43" i="2" a="1"/>
  <c r="N40" i="2" a="1"/>
  <c r="K40" i="2" a="1"/>
  <c r="H40" i="2" a="1"/>
  <c r="E40" i="2" a="1"/>
  <c r="N39" i="2" a="1"/>
  <c r="K39" i="2" a="1"/>
  <c r="H39" i="2" a="1"/>
  <c r="E39" i="2" a="1"/>
  <c r="N38" i="2" a="1"/>
  <c r="K38" i="2" a="1"/>
  <c r="H38" i="2" a="1"/>
  <c r="E38" i="2" a="1"/>
  <c r="N37" i="2" a="1"/>
  <c r="K37" i="2" a="1"/>
  <c r="H37" i="2" a="1"/>
  <c r="E37" i="2" a="1"/>
  <c r="N34" i="2" a="1"/>
  <c r="K34" i="2" a="1"/>
  <c r="H34" i="2" a="1"/>
  <c r="E34" i="2" a="1"/>
  <c r="N33" i="2" a="1"/>
  <c r="K33" i="2" a="1"/>
  <c r="H33" i="2" a="1"/>
  <c r="E33" i="2" a="1"/>
  <c r="N32" i="2" a="1"/>
  <c r="K32" i="2" a="1"/>
  <c r="H32" i="2" a="1"/>
  <c r="E32" i="2" a="1"/>
  <c r="N31" i="2" a="1"/>
  <c r="K31" i="2" a="1"/>
  <c r="H31" i="2" a="1"/>
  <c r="E31" i="2" a="1"/>
  <c r="N30" i="2" a="1"/>
  <c r="K30" i="2" a="1"/>
  <c r="H30" i="2" a="1"/>
  <c r="E30" i="2" a="1"/>
  <c r="N29" i="2" a="1"/>
  <c r="K29" i="2" a="1"/>
  <c r="H29" i="2" a="1"/>
  <c r="E29" i="2" a="1"/>
  <c r="N28" i="2" a="1"/>
  <c r="K28" i="2" a="1"/>
  <c r="H28" i="2" a="1"/>
  <c r="E28" i="2" a="1"/>
  <c r="N27" i="2" a="1"/>
  <c r="K27" i="2" a="1"/>
  <c r="H27" i="2" a="1"/>
  <c r="E27" i="2" a="1"/>
  <c r="N26" i="2" a="1"/>
  <c r="K26" i="2" a="1"/>
  <c r="H26" i="2" a="1"/>
  <c r="E26" i="2" a="1"/>
  <c r="N25" i="2" a="1"/>
  <c r="K25" i="2" a="1"/>
  <c r="E53" i="2" a="1"/>
  <c r="H52" i="2" a="1"/>
  <c r="K51" i="2" a="1"/>
  <c r="N50" i="2" a="1"/>
  <c r="L49" i="2" a="1"/>
  <c r="I49" i="2" a="1"/>
  <c r="F49" i="2" a="1"/>
  <c r="O48" i="2" a="1"/>
  <c r="L48" i="2" a="1"/>
  <c r="I48" i="2" a="1"/>
  <c r="F48" i="2" a="1"/>
  <c r="O47" i="2" a="1"/>
  <c r="L47" i="2" a="1"/>
  <c r="I47" i="2" a="1"/>
  <c r="F47" i="2" a="1"/>
  <c r="O46" i="2" a="1"/>
  <c r="L46" i="2" a="1"/>
  <c r="I46" i="2" a="1"/>
  <c r="F46" i="2" a="1"/>
  <c r="O45" i="2" a="1"/>
  <c r="L45" i="2" a="1"/>
  <c r="I45" i="2" a="1"/>
  <c r="F45" i="2" a="1"/>
  <c r="O44" i="2" a="1"/>
  <c r="L44" i="2" a="1"/>
  <c r="I44" i="2" a="1"/>
  <c r="F44" i="2" a="1"/>
  <c r="O43" i="2" a="1"/>
  <c r="L43" i="2" a="1"/>
  <c r="I43" i="2" a="1"/>
  <c r="F43" i="2" a="1"/>
  <c r="O40" i="2" a="1"/>
  <c r="L40" i="2" a="1"/>
  <c r="I40" i="2" a="1"/>
  <c r="F40" i="2" a="1"/>
  <c r="O39" i="2" a="1"/>
  <c r="L39" i="2" a="1"/>
  <c r="I39" i="2" a="1"/>
  <c r="F39" i="2" a="1"/>
  <c r="O38" i="2" a="1"/>
  <c r="L38" i="2" a="1"/>
  <c r="I38" i="2" a="1"/>
  <c r="F38" i="2" a="1"/>
  <c r="O37" i="2" a="1"/>
  <c r="L37" i="2" a="1"/>
  <c r="I37" i="2" a="1"/>
  <c r="F37" i="2" a="1"/>
  <c r="O34" i="2" a="1"/>
  <c r="L34" i="2" a="1"/>
  <c r="I34" i="2" a="1"/>
  <c r="F34" i="2" a="1"/>
  <c r="O33" i="2" a="1"/>
  <c r="L33" i="2" a="1"/>
  <c r="I33" i="2" a="1"/>
  <c r="F33" i="2" a="1"/>
  <c r="O32" i="2" a="1"/>
  <c r="L32" i="2" a="1"/>
  <c r="I32" i="2" a="1"/>
  <c r="F32" i="2" a="1"/>
  <c r="O31" i="2" a="1"/>
  <c r="L31" i="2" a="1"/>
  <c r="I31" i="2" a="1"/>
  <c r="F31" i="2" a="1"/>
  <c r="O30" i="2" a="1"/>
  <c r="L30" i="2" a="1"/>
  <c r="I30" i="2" a="1"/>
  <c r="F30" i="2" a="1"/>
  <c r="O29" i="2" a="1"/>
  <c r="L29" i="2" a="1"/>
  <c r="I29" i="2" a="1"/>
  <c r="F29" i="2" a="1"/>
  <c r="O28" i="2" a="1"/>
  <c r="L28" i="2" a="1"/>
  <c r="I28" i="2" a="1"/>
  <c r="F28" i="2" a="1"/>
  <c r="O27" i="2" a="1"/>
  <c r="L27" i="2" a="1"/>
  <c r="I27" i="2" a="1"/>
  <c r="F27" i="2" a="1"/>
  <c r="O26" i="2" a="1"/>
  <c r="L26" i="2" a="1"/>
  <c r="I26" i="2" a="1"/>
  <c r="F26" i="2" a="1"/>
  <c r="O25" i="2" a="1"/>
  <c r="L25" i="2" a="1"/>
  <c r="I25" i="2" a="1"/>
  <c r="F25" i="2" a="1"/>
  <c r="O22" i="2" a="1"/>
  <c r="L22" i="2" a="1"/>
  <c r="I22" i="2" a="1"/>
  <c r="F22" i="2" a="1"/>
  <c r="O21" i="2" a="1"/>
  <c r="L21" i="2" a="1"/>
  <c r="I21" i="2" a="1"/>
  <c r="F21" i="2" a="1"/>
  <c r="O20" i="2" a="1"/>
  <c r="L20" i="2" a="1"/>
  <c r="I20" i="2" a="1"/>
  <c r="F20" i="2" a="1"/>
  <c r="O19" i="2" a="1"/>
  <c r="L19" i="2" a="1"/>
  <c r="N22" i="2" a="1"/>
  <c r="E22" i="2" a="1"/>
  <c r="H21" i="2" a="1"/>
  <c r="K20" i="2" a="1"/>
  <c r="N19" i="2" a="1"/>
  <c r="I19" i="2" a="1"/>
  <c r="F19" i="2" a="1"/>
  <c r="O18" i="2" a="1"/>
  <c r="L18" i="2" a="1"/>
  <c r="I18" i="2" a="1"/>
  <c r="F18" i="2" a="1"/>
  <c r="O17" i="2" a="1"/>
  <c r="L17" i="2" a="1"/>
  <c r="I17" i="2" a="1"/>
  <c r="F17" i="2" a="1"/>
  <c r="O16" i="2" a="1"/>
  <c r="L16" i="2" a="1"/>
  <c r="I16" i="2" a="1"/>
  <c r="F16" i="2" a="1"/>
  <c r="O15" i="2" a="1"/>
  <c r="L15" i="2" a="1"/>
  <c r="I15" i="2" a="1"/>
  <c r="F15" i="2" a="1"/>
  <c r="O14" i="2" a="1"/>
  <c r="L14" i="2" a="1"/>
  <c r="I14" i="2" a="1"/>
  <c r="F14" i="2" a="1"/>
  <c r="O13" i="2" a="1"/>
  <c r="L13" i="2" a="1"/>
  <c r="I13" i="2" a="1"/>
  <c r="F13" i="2" a="1"/>
  <c r="O12" i="2" a="1"/>
  <c r="L12" i="2" a="1"/>
  <c r="I12" i="2" a="1"/>
  <c r="F12" i="2" a="1"/>
  <c r="O9" i="2" a="1"/>
  <c r="L9" i="2" a="1"/>
  <c r="I9" i="2" a="1"/>
  <c r="F9" i="2" a="1"/>
  <c r="O8" i="2" a="1"/>
  <c r="L8" i="2" a="1"/>
  <c r="I8" i="2" a="1"/>
  <c r="F8" i="2" a="1"/>
  <c r="O7" i="2" a="1"/>
  <c r="L7" i="2" a="1"/>
  <c r="I7" i="2" a="1"/>
  <c r="F7" i="2" a="1"/>
  <c r="O6" i="2" a="1"/>
  <c r="L6" i="2" a="1"/>
  <c r="I6" i="2" a="1"/>
  <c r="F6" i="2" a="1"/>
  <c r="O5" i="2" a="1"/>
  <c r="L5" i="2" a="1"/>
  <c r="I5" i="2" a="1"/>
  <c r="F5" i="2" a="1"/>
  <c r="O4" i="2" a="1"/>
  <c r="L4" i="2" a="1"/>
  <c r="I4" i="2" a="1"/>
  <c r="F4" i="2" a="1"/>
  <c r="O3" i="2" a="1"/>
  <c r="L3" i="2" a="1"/>
  <c r="I3" i="2" a="1"/>
  <c r="F3" i="2" a="1"/>
  <c r="O2" i="2" a="1"/>
  <c r="L2" i="2" a="1"/>
  <c r="I2" i="2" a="1"/>
  <c r="F2" i="2" a="1"/>
  <c r="K25" i="1"/>
  <c r="M24" i="1"/>
  <c r="G24" i="1" a="1"/>
  <c r="E23" i="1" a="1"/>
  <c r="E21" i="1" a="1"/>
  <c r="N18" i="1"/>
  <c r="K18" i="1"/>
  <c r="H18" i="1" a="1"/>
  <c r="E18" i="1" a="1"/>
  <c r="I17" i="1" a="1"/>
  <c r="F17" i="1" a="1"/>
  <c r="G16" i="1" a="1"/>
  <c r="D16" i="1" a="1"/>
  <c r="H15" i="1" a="1"/>
  <c r="E15" i="1" a="1"/>
  <c r="I14" i="1" a="1"/>
  <c r="F14" i="1" a="1"/>
  <c r="E25" i="2" a="1"/>
  <c r="H22" i="2" a="1"/>
  <c r="K21" i="2" a="1"/>
  <c r="N20" i="2" a="1"/>
  <c r="E20" i="2" a="1"/>
  <c r="J19" i="2" a="1"/>
  <c r="G19" i="2" a="1"/>
  <c r="D19" i="2" a="1"/>
  <c r="M18" i="2" a="1"/>
  <c r="J18" i="2" a="1"/>
  <c r="G18" i="2" a="1"/>
  <c r="D18" i="2" a="1"/>
  <c r="M17" i="2" a="1"/>
  <c r="J17" i="2" a="1"/>
  <c r="G17" i="2" a="1"/>
  <c r="D17" i="2" a="1"/>
  <c r="M16" i="2" a="1"/>
  <c r="J16" i="2" a="1"/>
  <c r="G16" i="2" a="1"/>
  <c r="D16" i="2" a="1"/>
  <c r="M15" i="2" a="1"/>
  <c r="J15" i="2" a="1"/>
  <c r="G15" i="2" a="1"/>
  <c r="D15" i="2" a="1"/>
  <c r="M14" i="2" a="1"/>
  <c r="J14" i="2" a="1"/>
  <c r="G14" i="2" a="1"/>
  <c r="D14" i="2" a="1"/>
  <c r="M13" i="2" a="1"/>
  <c r="J13" i="2" a="1"/>
  <c r="G13" i="2" a="1"/>
  <c r="D13" i="2" a="1"/>
  <c r="M12" i="2" a="1"/>
  <c r="J12" i="2" a="1"/>
  <c r="G12" i="2" a="1"/>
  <c r="D12" i="2" a="1"/>
  <c r="M9" i="2" a="1"/>
  <c r="J9" i="2" a="1"/>
  <c r="G9" i="2" a="1"/>
  <c r="D9" i="2" a="1"/>
  <c r="M8" i="2" a="1"/>
  <c r="J8" i="2" a="1"/>
  <c r="G8" i="2" a="1"/>
  <c r="D8" i="2" a="1"/>
  <c r="M7" i="2" a="1"/>
  <c r="J7" i="2" a="1"/>
  <c r="G7" i="2" a="1"/>
  <c r="D7" i="2" a="1"/>
  <c r="M6" i="2" a="1"/>
  <c r="J6" i="2" a="1"/>
  <c r="G6" i="2" a="1"/>
  <c r="D6" i="2" a="1"/>
  <c r="M5" i="2" a="1"/>
  <c r="J5" i="2" a="1"/>
  <c r="G5" i="2" a="1"/>
  <c r="D5" i="2" a="1"/>
  <c r="M4" i="2" a="1"/>
  <c r="J4" i="2" a="1"/>
  <c r="G4" i="2" a="1"/>
  <c r="D4" i="2" a="1"/>
  <c r="M3" i="2" a="1"/>
  <c r="J3" i="2" a="1"/>
  <c r="G3" i="2" a="1"/>
  <c r="D3" i="2" a="1"/>
  <c r="M2" i="2" a="1"/>
  <c r="J2" i="2" a="1"/>
  <c r="G2" i="2" a="1"/>
  <c r="D2" i="2" a="1"/>
  <c r="E25" i="1" a="1"/>
  <c r="K24" i="1"/>
  <c r="G23" i="1" a="1"/>
  <c r="E22" i="1" a="1"/>
  <c r="G21" i="1" a="1"/>
  <c r="P18" i="1"/>
  <c r="M18" i="1"/>
  <c r="I18" i="1" a="1"/>
  <c r="F18" i="1" a="1"/>
  <c r="G17" i="1" a="1"/>
  <c r="D17" i="1" a="1"/>
  <c r="H16" i="1" a="1"/>
  <c r="E16" i="1" a="1"/>
  <c r="I15" i="1" a="1"/>
  <c r="F15" i="1" a="1"/>
  <c r="G14" i="1" a="1"/>
  <c r="D14" i="1" a="1"/>
  <c r="H25" i="2" a="1"/>
  <c r="K22" i="2" a="1"/>
  <c r="N21" i="2" a="1"/>
  <c r="E21" i="2" a="1"/>
  <c r="H20" i="2" a="1"/>
  <c r="K19" i="2" a="1"/>
  <c r="H19" i="2" a="1"/>
  <c r="E19" i="2" a="1"/>
  <c r="N18" i="2" a="1"/>
  <c r="K18" i="2" a="1"/>
  <c r="H18" i="2" a="1"/>
  <c r="E18" i="2" a="1"/>
  <c r="N17" i="2" a="1"/>
  <c r="K17" i="2" a="1"/>
  <c r="H17" i="2" a="1"/>
  <c r="E17" i="2" a="1"/>
  <c r="N16" i="2" a="1"/>
  <c r="K16" i="2" a="1"/>
  <c r="H16" i="2" a="1"/>
  <c r="E16" i="2" a="1"/>
  <c r="N15" i="2" a="1"/>
  <c r="K15" i="2" a="1"/>
  <c r="H15" i="2" a="1"/>
  <c r="E15" i="2" a="1"/>
  <c r="N14" i="2" a="1"/>
  <c r="K14" i="2" a="1"/>
  <c r="H14" i="2" a="1"/>
  <c r="E14" i="2" a="1"/>
  <c r="N13" i="2" a="1"/>
  <c r="K13" i="2" a="1"/>
  <c r="H13" i="2" a="1"/>
  <c r="E13" i="2" a="1"/>
  <c r="N12" i="2" a="1"/>
  <c r="K12" i="2" a="1"/>
  <c r="H12" i="2" a="1"/>
  <c r="E12" i="2" a="1"/>
  <c r="N9" i="2" a="1"/>
  <c r="K9" i="2" a="1"/>
  <c r="H9" i="2" a="1"/>
  <c r="E9" i="2" a="1"/>
  <c r="N8" i="2" a="1"/>
  <c r="K8" i="2" a="1"/>
  <c r="H8" i="2" a="1"/>
  <c r="E8" i="2" a="1"/>
  <c r="N7" i="2" a="1"/>
  <c r="K7" i="2" a="1"/>
  <c r="H7" i="2" a="1"/>
  <c r="E7" i="2" a="1"/>
  <c r="N6" i="2" a="1"/>
  <c r="K6" i="2" a="1"/>
  <c r="H6" i="2" a="1"/>
  <c r="E6" i="2" a="1"/>
  <c r="N5" i="2" a="1"/>
  <c r="K5" i="2" a="1"/>
  <c r="H5" i="2" a="1"/>
  <c r="E5" i="2" a="1"/>
  <c r="N4" i="2" a="1"/>
  <c r="K4" i="2" a="1"/>
  <c r="H4" i="2" a="1"/>
  <c r="E4" i="2" a="1"/>
  <c r="N3" i="2" a="1"/>
  <c r="K3" i="2" a="1"/>
  <c r="H3" i="2" a="1"/>
  <c r="E3" i="2" a="1"/>
  <c r="N2" i="2" a="1"/>
  <c r="K2" i="2" a="1"/>
  <c r="H2" i="2" a="1"/>
  <c r="E2" i="2" a="1"/>
  <c r="M25" i="1"/>
  <c r="G25" i="1" a="1"/>
  <c r="E24" i="1" a="1"/>
  <c r="G22" i="1" a="1"/>
  <c r="O18" i="1"/>
  <c r="L18" i="1"/>
  <c r="G18" i="1" a="1"/>
  <c r="D18" i="1" a="1"/>
  <c r="H17" i="1" a="1"/>
  <c r="E17" i="1" a="1"/>
  <c r="I16" i="1" a="1"/>
  <c r="F16" i="1" a="1"/>
  <c r="G15" i="1" a="1"/>
  <c r="D15" i="1" a="1"/>
  <c r="H14" i="1" a="1"/>
  <c r="E14" i="1" a="1"/>
  <c r="K7" i="1"/>
  <c r="H7" i="1"/>
  <c r="E7" i="1"/>
  <c r="B7" i="1"/>
  <c r="L6" i="1"/>
  <c r="I6" i="1"/>
  <c r="F6" i="1"/>
  <c r="C6" i="1"/>
  <c r="M5" i="1"/>
  <c r="J5" i="1"/>
  <c r="G5" i="1"/>
  <c r="D5" i="1"/>
  <c r="M7" i="1"/>
  <c r="I7" i="1"/>
  <c r="D7" i="1"/>
  <c r="M6" i="1"/>
  <c r="H6" i="1"/>
  <c r="D6" i="1"/>
  <c r="L5" i="1"/>
  <c r="H5" i="1"/>
  <c r="C5" i="1"/>
  <c r="L4" i="1"/>
  <c r="I4" i="1"/>
  <c r="F4" i="1"/>
  <c r="C4" i="1"/>
  <c r="M3" i="1"/>
  <c r="J3" i="1"/>
  <c r="G3" i="1"/>
  <c r="D3" i="1"/>
  <c r="K2" i="1"/>
  <c r="H2" i="1"/>
  <c r="E2" i="1"/>
  <c r="B2" i="1"/>
  <c r="D2" i="1"/>
  <c r="E5" i="1"/>
  <c r="J4" i="1"/>
  <c r="E3" i="1"/>
  <c r="I2" i="1"/>
  <c r="L7" i="1"/>
  <c r="G7" i="1"/>
  <c r="C7" i="1"/>
  <c r="K6" i="1"/>
  <c r="G6" i="1"/>
  <c r="B6" i="1"/>
  <c r="K5" i="1"/>
  <c r="F5" i="1"/>
  <c r="B5" i="1"/>
  <c r="K4" i="1"/>
  <c r="H4" i="1"/>
  <c r="E4" i="1"/>
  <c r="B4" i="1"/>
  <c r="L3" i="1"/>
  <c r="I3" i="1"/>
  <c r="F3" i="1"/>
  <c r="C3" i="1"/>
  <c r="M2" i="1"/>
  <c r="J2" i="1"/>
  <c r="G2" i="1"/>
  <c r="F7" i="1"/>
  <c r="E6" i="1"/>
  <c r="D4" i="1"/>
  <c r="B3" i="1"/>
  <c r="F2" i="1"/>
  <c r="J7" i="1"/>
  <c r="J6" i="1"/>
  <c r="I5" i="1"/>
  <c r="M4" i="1"/>
  <c r="G4" i="1"/>
  <c r="K3" i="1"/>
  <c r="H3" i="1"/>
  <c r="L2" i="1"/>
  <c r="C2" i="1"/>
  <c r="C8" i="1" l="1"/>
  <c r="L8" i="1"/>
  <c r="F8" i="1"/>
  <c r="N3" i="1"/>
  <c r="G8" i="1"/>
  <c r="J8" i="1"/>
  <c r="M8" i="1"/>
  <c r="N4" i="1"/>
  <c r="N5" i="1"/>
  <c r="N6" i="1"/>
  <c r="I8" i="1"/>
  <c r="D8" i="1"/>
  <c r="N2" i="1"/>
  <c r="B8" i="1"/>
  <c r="E8" i="1"/>
  <c r="H8" i="1"/>
  <c r="K8" i="1"/>
  <c r="N7" i="1"/>
  <c r="E14" i="1"/>
  <c r="H14" i="1"/>
  <c r="D15" i="1"/>
  <c r="G15" i="1"/>
  <c r="F16" i="1"/>
  <c r="I16" i="1"/>
  <c r="E17" i="1"/>
  <c r="H17" i="1"/>
  <c r="D18" i="1"/>
  <c r="S14" i="1" s="1"/>
  <c r="G18" i="1"/>
  <c r="S17" i="1" s="1"/>
  <c r="S23" i="1"/>
  <c r="S26" i="1"/>
  <c r="G22" i="1"/>
  <c r="E24" i="1"/>
  <c r="G25" i="1"/>
  <c r="E2" i="2"/>
  <c r="H2" i="2"/>
  <c r="K2" i="2"/>
  <c r="N2" i="2"/>
  <c r="E3" i="2"/>
  <c r="H3" i="2"/>
  <c r="K3" i="2"/>
  <c r="N3" i="2"/>
  <c r="E4" i="2"/>
  <c r="H4" i="2"/>
  <c r="K4" i="2"/>
  <c r="N4" i="2"/>
  <c r="E5" i="2"/>
  <c r="H5" i="2"/>
  <c r="K5" i="2"/>
  <c r="N5" i="2"/>
  <c r="E6" i="2"/>
  <c r="H6" i="2"/>
  <c r="K6" i="2"/>
  <c r="N6" i="2"/>
  <c r="E7" i="2"/>
  <c r="H7" i="2"/>
  <c r="K7" i="2"/>
  <c r="N7" i="2"/>
  <c r="E8" i="2"/>
  <c r="H8" i="2"/>
  <c r="K8" i="2"/>
  <c r="N8" i="2"/>
  <c r="E9" i="2"/>
  <c r="H9" i="2"/>
  <c r="K9" i="2"/>
  <c r="N9" i="2"/>
  <c r="E12" i="2"/>
  <c r="H12" i="2"/>
  <c r="K12" i="2"/>
  <c r="N12" i="2"/>
  <c r="E13" i="2"/>
  <c r="H13" i="2"/>
  <c r="K13" i="2"/>
  <c r="N13" i="2"/>
  <c r="E14" i="2"/>
  <c r="H14" i="2"/>
  <c r="K14" i="2"/>
  <c r="N14" i="2"/>
  <c r="E15" i="2"/>
  <c r="H15" i="2"/>
  <c r="K15" i="2"/>
  <c r="N15" i="2"/>
  <c r="E16" i="2"/>
  <c r="H16" i="2"/>
  <c r="K16" i="2"/>
  <c r="N16" i="2"/>
  <c r="E17" i="2"/>
  <c r="H17" i="2"/>
  <c r="K17" i="2"/>
  <c r="N17" i="2"/>
  <c r="E18" i="2"/>
  <c r="H18" i="2"/>
  <c r="K18" i="2"/>
  <c r="N18" i="2"/>
  <c r="E19" i="2"/>
  <c r="H19" i="2"/>
  <c r="K19" i="2"/>
  <c r="H20" i="2"/>
  <c r="E21" i="2"/>
  <c r="N21" i="2"/>
  <c r="K22" i="2"/>
  <c r="H25" i="2"/>
  <c r="D14" i="1"/>
  <c r="G14" i="1"/>
  <c r="F15" i="1"/>
  <c r="I15" i="1"/>
  <c r="E16" i="1"/>
  <c r="H16" i="1"/>
  <c r="D17" i="1"/>
  <c r="G17" i="1"/>
  <c r="F18" i="1"/>
  <c r="S16" i="1" s="1"/>
  <c r="I18" i="1"/>
  <c r="S19" i="1" s="1"/>
  <c r="S24" i="1"/>
  <c r="S27" i="1"/>
  <c r="G21" i="1"/>
  <c r="E22" i="1"/>
  <c r="I22" i="1" s="1"/>
  <c r="G23" i="1"/>
  <c r="O24" i="1"/>
  <c r="E25" i="1"/>
  <c r="D2" i="2"/>
  <c r="G2" i="2"/>
  <c r="J2" i="2"/>
  <c r="M2" i="2"/>
  <c r="D3" i="2"/>
  <c r="G3" i="2"/>
  <c r="J3" i="2"/>
  <c r="M3" i="2"/>
  <c r="D4" i="2"/>
  <c r="G4" i="2"/>
  <c r="J4" i="2"/>
  <c r="M4" i="2"/>
  <c r="D5" i="2"/>
  <c r="G5" i="2"/>
  <c r="J5" i="2"/>
  <c r="M5" i="2"/>
  <c r="D6" i="2"/>
  <c r="G6" i="2"/>
  <c r="J6" i="2"/>
  <c r="M6" i="2"/>
  <c r="D7" i="2"/>
  <c r="G7" i="2"/>
  <c r="J7" i="2"/>
  <c r="M7" i="2"/>
  <c r="D8" i="2"/>
  <c r="G8" i="2"/>
  <c r="J8" i="2"/>
  <c r="M8" i="2"/>
  <c r="D9" i="2"/>
  <c r="G9" i="2"/>
  <c r="J9" i="2"/>
  <c r="M9" i="2"/>
  <c r="D12" i="2"/>
  <c r="G12" i="2"/>
  <c r="J12" i="2"/>
  <c r="M12" i="2"/>
  <c r="D13" i="2"/>
  <c r="G13" i="2"/>
  <c r="J13" i="2"/>
  <c r="M13" i="2"/>
  <c r="D14" i="2"/>
  <c r="G14" i="2"/>
  <c r="J14" i="2"/>
  <c r="M14" i="2"/>
  <c r="D15" i="2"/>
  <c r="G15" i="2"/>
  <c r="J15" i="2"/>
  <c r="M15" i="2"/>
  <c r="D16" i="2"/>
  <c r="G16" i="2"/>
  <c r="J16" i="2"/>
  <c r="M16" i="2"/>
  <c r="D17" i="2"/>
  <c r="G17" i="2"/>
  <c r="J17" i="2"/>
  <c r="M17" i="2"/>
  <c r="D18" i="2"/>
  <c r="G18" i="2"/>
  <c r="J18" i="2"/>
  <c r="M18" i="2"/>
  <c r="D19" i="2"/>
  <c r="G19" i="2"/>
  <c r="J19" i="2"/>
  <c r="E20" i="2"/>
  <c r="N20" i="2"/>
  <c r="K21" i="2"/>
  <c r="H22" i="2"/>
  <c r="E25" i="2"/>
  <c r="F14" i="1"/>
  <c r="I14" i="1"/>
  <c r="E15" i="1"/>
  <c r="H15" i="1"/>
  <c r="D16" i="1"/>
  <c r="G16" i="1"/>
  <c r="F17" i="1"/>
  <c r="I17" i="1"/>
  <c r="E18" i="1"/>
  <c r="S15" i="1" s="1"/>
  <c r="T15" i="1" s="1"/>
  <c r="H18" i="1"/>
  <c r="S18" i="1" s="1"/>
  <c r="S22" i="1"/>
  <c r="S25" i="1"/>
  <c r="T25" i="1" s="1"/>
  <c r="E21" i="1"/>
  <c r="E23" i="1"/>
  <c r="I23" i="1" s="1"/>
  <c r="G24" i="1"/>
  <c r="O25" i="1"/>
  <c r="S28" i="1" s="1"/>
  <c r="F2" i="2"/>
  <c r="I2" i="2"/>
  <c r="L2" i="2"/>
  <c r="O2" i="2"/>
  <c r="F3" i="2"/>
  <c r="I3" i="2"/>
  <c r="L3" i="2"/>
  <c r="O3" i="2"/>
  <c r="F4" i="2"/>
  <c r="I4" i="2"/>
  <c r="L4" i="2"/>
  <c r="O4" i="2"/>
  <c r="F5" i="2"/>
  <c r="I5" i="2"/>
  <c r="L5" i="2"/>
  <c r="O5" i="2"/>
  <c r="F6" i="2"/>
  <c r="I6" i="2"/>
  <c r="L6" i="2"/>
  <c r="O6" i="2"/>
  <c r="F7" i="2"/>
  <c r="I7" i="2"/>
  <c r="L7" i="2"/>
  <c r="O7" i="2"/>
  <c r="F8" i="2"/>
  <c r="I8" i="2"/>
  <c r="L8" i="2"/>
  <c r="O8" i="2"/>
  <c r="F9" i="2"/>
  <c r="I9" i="2"/>
  <c r="L9" i="2"/>
  <c r="O9" i="2"/>
  <c r="F12" i="2"/>
  <c r="I12" i="2"/>
  <c r="L12" i="2"/>
  <c r="O12" i="2"/>
  <c r="F13" i="2"/>
  <c r="I13" i="2"/>
  <c r="L13" i="2"/>
  <c r="O13" i="2"/>
  <c r="F14" i="2"/>
  <c r="I14" i="2"/>
  <c r="L14" i="2"/>
  <c r="O14" i="2"/>
  <c r="F15" i="2"/>
  <c r="I15" i="2"/>
  <c r="L15" i="2"/>
  <c r="O15" i="2"/>
  <c r="F16" i="2"/>
  <c r="I16" i="2"/>
  <c r="L16" i="2"/>
  <c r="O16" i="2"/>
  <c r="F17" i="2"/>
  <c r="I17" i="2"/>
  <c r="L17" i="2"/>
  <c r="O17" i="2"/>
  <c r="F18" i="2"/>
  <c r="I18" i="2"/>
  <c r="L18" i="2"/>
  <c r="O18" i="2"/>
  <c r="F19" i="2"/>
  <c r="I19" i="2"/>
  <c r="N19" i="2"/>
  <c r="K20" i="2"/>
  <c r="H21" i="2"/>
  <c r="E22" i="2"/>
  <c r="N22" i="2"/>
  <c r="L19" i="2"/>
  <c r="O19" i="2"/>
  <c r="F20" i="2"/>
  <c r="I20" i="2"/>
  <c r="L20" i="2"/>
  <c r="O20" i="2"/>
  <c r="F21" i="2"/>
  <c r="I21" i="2"/>
  <c r="L21" i="2"/>
  <c r="O21" i="2"/>
  <c r="F22" i="2"/>
  <c r="I22" i="2"/>
  <c r="L22" i="2"/>
  <c r="O22" i="2"/>
  <c r="F25" i="2"/>
  <c r="I25" i="2"/>
  <c r="L25" i="2"/>
  <c r="O25" i="2"/>
  <c r="F26" i="2"/>
  <c r="I26" i="2"/>
  <c r="L26" i="2"/>
  <c r="O26" i="2"/>
  <c r="F27" i="2"/>
  <c r="I27" i="2"/>
  <c r="L27" i="2"/>
  <c r="O27" i="2"/>
  <c r="F28" i="2"/>
  <c r="I28" i="2"/>
  <c r="L28" i="2"/>
  <c r="O28" i="2"/>
  <c r="F29" i="2"/>
  <c r="I29" i="2"/>
  <c r="L29" i="2"/>
  <c r="O29" i="2"/>
  <c r="F30" i="2"/>
  <c r="I30" i="2"/>
  <c r="L30" i="2"/>
  <c r="O30" i="2"/>
  <c r="F31" i="2"/>
  <c r="I31" i="2"/>
  <c r="L31" i="2"/>
  <c r="O31" i="2"/>
  <c r="F32" i="2"/>
  <c r="I32" i="2"/>
  <c r="L32" i="2"/>
  <c r="O32" i="2"/>
  <c r="F33" i="2"/>
  <c r="I33" i="2"/>
  <c r="L33" i="2"/>
  <c r="O33" i="2"/>
  <c r="F34" i="2"/>
  <c r="I34" i="2"/>
  <c r="L34" i="2"/>
  <c r="O34" i="2"/>
  <c r="F37" i="2"/>
  <c r="I37" i="2"/>
  <c r="L37" i="2"/>
  <c r="O37" i="2"/>
  <c r="F38" i="2"/>
  <c r="I38" i="2"/>
  <c r="L38" i="2"/>
  <c r="O38" i="2"/>
  <c r="F39" i="2"/>
  <c r="I39" i="2"/>
  <c r="L39" i="2"/>
  <c r="O39" i="2"/>
  <c r="F40" i="2"/>
  <c r="I40" i="2"/>
  <c r="L40" i="2"/>
  <c r="O40" i="2"/>
  <c r="F43" i="2"/>
  <c r="I43" i="2"/>
  <c r="L43" i="2"/>
  <c r="O43" i="2"/>
  <c r="F44" i="2"/>
  <c r="I44" i="2"/>
  <c r="L44" i="2"/>
  <c r="O44" i="2"/>
  <c r="F45" i="2"/>
  <c r="I45" i="2"/>
  <c r="L45" i="2"/>
  <c r="O45" i="2"/>
  <c r="F46" i="2"/>
  <c r="I46" i="2"/>
  <c r="L46" i="2"/>
  <c r="O46" i="2"/>
  <c r="F47" i="2"/>
  <c r="I47" i="2"/>
  <c r="L47" i="2"/>
  <c r="O47" i="2"/>
  <c r="F48" i="2"/>
  <c r="I48" i="2"/>
  <c r="L48" i="2"/>
  <c r="O48" i="2"/>
  <c r="F49" i="2"/>
  <c r="I49" i="2"/>
  <c r="L49" i="2"/>
  <c r="N50" i="2"/>
  <c r="K51" i="2"/>
  <c r="H52" i="2"/>
  <c r="E53" i="2"/>
  <c r="K25" i="2"/>
  <c r="N25" i="2"/>
  <c r="E26" i="2"/>
  <c r="H26" i="2"/>
  <c r="K26" i="2"/>
  <c r="N26" i="2"/>
  <c r="E27" i="2"/>
  <c r="H27" i="2"/>
  <c r="K27" i="2"/>
  <c r="N27" i="2"/>
  <c r="E28" i="2"/>
  <c r="H28" i="2"/>
  <c r="K28" i="2"/>
  <c r="N28" i="2"/>
  <c r="E29" i="2"/>
  <c r="H29" i="2"/>
  <c r="K29" i="2"/>
  <c r="N29" i="2"/>
  <c r="E30" i="2"/>
  <c r="H30" i="2"/>
  <c r="K30" i="2"/>
  <c r="N30" i="2"/>
  <c r="E31" i="2"/>
  <c r="H31" i="2"/>
  <c r="K31" i="2"/>
  <c r="N31" i="2"/>
  <c r="E32" i="2"/>
  <c r="H32" i="2"/>
  <c r="K32" i="2"/>
  <c r="N32" i="2"/>
  <c r="E33" i="2"/>
  <c r="H33" i="2"/>
  <c r="K33" i="2"/>
  <c r="N33" i="2"/>
  <c r="E34" i="2"/>
  <c r="H34" i="2"/>
  <c r="K34" i="2"/>
  <c r="N34" i="2"/>
  <c r="E37" i="2"/>
  <c r="H37" i="2"/>
  <c r="K37" i="2"/>
  <c r="N37" i="2"/>
  <c r="E38" i="2"/>
  <c r="H38" i="2"/>
  <c r="K38" i="2"/>
  <c r="N38" i="2"/>
  <c r="E39" i="2"/>
  <c r="H39" i="2"/>
  <c r="K39" i="2"/>
  <c r="N39" i="2"/>
  <c r="E40" i="2"/>
  <c r="H40" i="2"/>
  <c r="K40" i="2"/>
  <c r="N40" i="2"/>
  <c r="E43" i="2"/>
  <c r="H43" i="2"/>
  <c r="K43" i="2"/>
  <c r="N43" i="2"/>
  <c r="E44" i="2"/>
  <c r="H44" i="2"/>
  <c r="K44" i="2"/>
  <c r="N44" i="2"/>
  <c r="E45" i="2"/>
  <c r="H45" i="2"/>
  <c r="K45" i="2"/>
  <c r="N45" i="2"/>
  <c r="E46" i="2"/>
  <c r="H46" i="2"/>
  <c r="K46" i="2"/>
  <c r="N46" i="2"/>
  <c r="E47" i="2"/>
  <c r="H47" i="2"/>
  <c r="K47" i="2"/>
  <c r="N47" i="2"/>
  <c r="E48" i="2"/>
  <c r="H48" i="2"/>
  <c r="K48" i="2"/>
  <c r="N48" i="2"/>
  <c r="E49" i="2"/>
  <c r="H49" i="2"/>
  <c r="K49" i="2"/>
  <c r="N49" i="2"/>
  <c r="D50" i="2"/>
  <c r="K50" i="2"/>
  <c r="H51" i="2"/>
  <c r="E52" i="2"/>
  <c r="N52" i="2"/>
  <c r="M19" i="2"/>
  <c r="D20" i="2"/>
  <c r="G20" i="2"/>
  <c r="J20" i="2"/>
  <c r="M20" i="2"/>
  <c r="D21" i="2"/>
  <c r="G21" i="2"/>
  <c r="J21" i="2"/>
  <c r="M21" i="2"/>
  <c r="D22" i="2"/>
  <c r="G22" i="2"/>
  <c r="J22" i="2"/>
  <c r="M22" i="2"/>
  <c r="D25" i="2"/>
  <c r="G25" i="2"/>
  <c r="J25" i="2"/>
  <c r="M25" i="2"/>
  <c r="D26" i="2"/>
  <c r="G26" i="2"/>
  <c r="J26" i="2"/>
  <c r="M26" i="2"/>
  <c r="D27" i="2"/>
  <c r="G27" i="2"/>
  <c r="J27" i="2"/>
  <c r="M27" i="2"/>
  <c r="D28" i="2"/>
  <c r="G28" i="2"/>
  <c r="J28" i="2"/>
  <c r="M28" i="2"/>
  <c r="D29" i="2"/>
  <c r="G29" i="2"/>
  <c r="J29" i="2"/>
  <c r="M29" i="2"/>
  <c r="D30" i="2"/>
  <c r="G30" i="2"/>
  <c r="J30" i="2"/>
  <c r="M30" i="2"/>
  <c r="D31" i="2"/>
  <c r="G31" i="2"/>
  <c r="J31" i="2"/>
  <c r="M31" i="2"/>
  <c r="D32" i="2"/>
  <c r="G32" i="2"/>
  <c r="J32" i="2"/>
  <c r="M32" i="2"/>
  <c r="D33" i="2"/>
  <c r="G33" i="2"/>
  <c r="J33" i="2"/>
  <c r="M33" i="2"/>
  <c r="D34" i="2"/>
  <c r="G34" i="2"/>
  <c r="J34" i="2"/>
  <c r="M34" i="2"/>
  <c r="D37" i="2"/>
  <c r="G37" i="2"/>
  <c r="J37" i="2"/>
  <c r="M37" i="2"/>
  <c r="D38" i="2"/>
  <c r="G38" i="2"/>
  <c r="J38" i="2"/>
  <c r="M38" i="2"/>
  <c r="D39" i="2"/>
  <c r="G39" i="2"/>
  <c r="J39" i="2"/>
  <c r="M39" i="2"/>
  <c r="D40" i="2"/>
  <c r="G40" i="2"/>
  <c r="J40" i="2"/>
  <c r="M40" i="2"/>
  <c r="D43" i="2"/>
  <c r="G43" i="2"/>
  <c r="J43" i="2"/>
  <c r="M43" i="2"/>
  <c r="D44" i="2"/>
  <c r="G44" i="2"/>
  <c r="J44" i="2"/>
  <c r="M44" i="2"/>
  <c r="D45" i="2"/>
  <c r="G45" i="2"/>
  <c r="J45" i="2"/>
  <c r="M45" i="2"/>
  <c r="D46" i="2"/>
  <c r="G46" i="2"/>
  <c r="J46" i="2"/>
  <c r="M46" i="2"/>
  <c r="D47" i="2"/>
  <c r="G47" i="2"/>
  <c r="J47" i="2"/>
  <c r="M47" i="2"/>
  <c r="D48" i="2"/>
  <c r="G48" i="2"/>
  <c r="J48" i="2"/>
  <c r="M48" i="2"/>
  <c r="D49" i="2"/>
  <c r="G49" i="2"/>
  <c r="J49" i="2"/>
  <c r="M49" i="2"/>
  <c r="E50" i="2"/>
  <c r="H50" i="2"/>
  <c r="E51" i="2"/>
  <c r="N51" i="2"/>
  <c r="K52" i="2"/>
  <c r="H53" i="2"/>
  <c r="K53" i="2"/>
  <c r="N53" i="2"/>
  <c r="E54" i="2"/>
  <c r="H54" i="2"/>
  <c r="K54" i="2"/>
  <c r="N54" i="2"/>
  <c r="E55" i="2"/>
  <c r="H55" i="2"/>
  <c r="K55" i="2"/>
  <c r="N55" i="2"/>
  <c r="E2" i="3"/>
  <c r="H2" i="3"/>
  <c r="K2" i="3"/>
  <c r="N2" i="3"/>
  <c r="E3" i="3"/>
  <c r="H3" i="3"/>
  <c r="K3" i="3"/>
  <c r="N3" i="3"/>
  <c r="E4" i="3"/>
  <c r="H4" i="3"/>
  <c r="K4" i="3"/>
  <c r="N4" i="3"/>
  <c r="E5" i="3"/>
  <c r="H5" i="3"/>
  <c r="K5" i="3"/>
  <c r="N5" i="3"/>
  <c r="E6" i="3"/>
  <c r="H6" i="3"/>
  <c r="K6" i="3"/>
  <c r="N6" i="3"/>
  <c r="E7" i="3"/>
  <c r="H7" i="3"/>
  <c r="K7" i="3"/>
  <c r="N7" i="3"/>
  <c r="E8" i="3"/>
  <c r="H8" i="3"/>
  <c r="K8" i="3"/>
  <c r="N8" i="3"/>
  <c r="G50" i="2"/>
  <c r="J50" i="2"/>
  <c r="M50" i="2"/>
  <c r="D51" i="2"/>
  <c r="G51" i="2"/>
  <c r="J51" i="2"/>
  <c r="M51" i="2"/>
  <c r="D52" i="2"/>
  <c r="G52" i="2"/>
  <c r="J52" i="2"/>
  <c r="M52" i="2"/>
  <c r="D53" i="2"/>
  <c r="G53" i="2"/>
  <c r="J53" i="2"/>
  <c r="M53" i="2"/>
  <c r="D54" i="2"/>
  <c r="G54" i="2"/>
  <c r="J54" i="2"/>
  <c r="M54" i="2"/>
  <c r="D55" i="2"/>
  <c r="G55" i="2"/>
  <c r="J55" i="2"/>
  <c r="M55" i="2"/>
  <c r="D2" i="3"/>
  <c r="G2" i="3"/>
  <c r="J2" i="3"/>
  <c r="M2" i="3"/>
  <c r="D3" i="3"/>
  <c r="G3" i="3"/>
  <c r="J3" i="3"/>
  <c r="M3" i="3"/>
  <c r="D4" i="3"/>
  <c r="G4" i="3"/>
  <c r="J4" i="3"/>
  <c r="M4" i="3"/>
  <c r="D5" i="3"/>
  <c r="G5" i="3"/>
  <c r="J5" i="3"/>
  <c r="M5" i="3"/>
  <c r="D6" i="3"/>
  <c r="G6" i="3"/>
  <c r="J6" i="3"/>
  <c r="M6" i="3"/>
  <c r="D7" i="3"/>
  <c r="G7" i="3"/>
  <c r="J7" i="3"/>
  <c r="M7" i="3"/>
  <c r="D8" i="3"/>
  <c r="G8" i="3"/>
  <c r="J8" i="3"/>
  <c r="M8" i="3"/>
  <c r="O49" i="2"/>
  <c r="F50" i="2"/>
  <c r="I50" i="2"/>
  <c r="L50" i="2"/>
  <c r="O50" i="2"/>
  <c r="F51" i="2"/>
  <c r="I51" i="2"/>
  <c r="L51" i="2"/>
  <c r="O51" i="2"/>
  <c r="F52" i="2"/>
  <c r="I52" i="2"/>
  <c r="L52" i="2"/>
  <c r="O52" i="2"/>
  <c r="F53" i="2"/>
  <c r="I53" i="2"/>
  <c r="L53" i="2"/>
  <c r="O53" i="2"/>
  <c r="F54" i="2"/>
  <c r="I54" i="2"/>
  <c r="L54" i="2"/>
  <c r="O54" i="2"/>
  <c r="F55" i="2"/>
  <c r="I55" i="2"/>
  <c r="L55" i="2"/>
  <c r="O55" i="2"/>
  <c r="F2" i="3"/>
  <c r="I2" i="3"/>
  <c r="L2" i="3"/>
  <c r="O2" i="3"/>
  <c r="F3" i="3"/>
  <c r="I3" i="3"/>
  <c r="L3" i="3"/>
  <c r="O3" i="3"/>
  <c r="F4" i="3"/>
  <c r="I4" i="3"/>
  <c r="L4" i="3"/>
  <c r="O4" i="3"/>
  <c r="F5" i="3"/>
  <c r="I5" i="3"/>
  <c r="L5" i="3"/>
  <c r="O5" i="3"/>
  <c r="F6" i="3"/>
  <c r="I6" i="3"/>
  <c r="L6" i="3"/>
  <c r="O6" i="3"/>
  <c r="F7" i="3"/>
  <c r="I7" i="3"/>
  <c r="L7" i="3"/>
  <c r="O7" i="3"/>
  <c r="F8" i="3"/>
  <c r="I8" i="3"/>
  <c r="L8" i="3"/>
  <c r="E9" i="3"/>
  <c r="H9" i="3"/>
  <c r="K9" i="3"/>
  <c r="N9" i="3"/>
  <c r="E12" i="3"/>
  <c r="H12" i="3"/>
  <c r="K12" i="3"/>
  <c r="N12" i="3"/>
  <c r="E13" i="3"/>
  <c r="H13" i="3"/>
  <c r="K13" i="3"/>
  <c r="N13" i="3"/>
  <c r="E14" i="3"/>
  <c r="H14" i="3"/>
  <c r="K14" i="3"/>
  <c r="N14" i="3"/>
  <c r="E15" i="3"/>
  <c r="H15" i="3"/>
  <c r="K15" i="3"/>
  <c r="N15" i="3"/>
  <c r="E16" i="3"/>
  <c r="H16" i="3"/>
  <c r="K16" i="3"/>
  <c r="N16" i="3"/>
  <c r="E17" i="3"/>
  <c r="H17" i="3"/>
  <c r="K17" i="3"/>
  <c r="N17" i="3"/>
  <c r="E18" i="3"/>
  <c r="H18" i="3"/>
  <c r="K18" i="3"/>
  <c r="N18" i="3"/>
  <c r="E19" i="3"/>
  <c r="H19" i="3"/>
  <c r="K19" i="3"/>
  <c r="N19" i="3"/>
  <c r="E20" i="3"/>
  <c r="H20" i="3"/>
  <c r="K20" i="3"/>
  <c r="N20" i="3"/>
  <c r="E21" i="3"/>
  <c r="H21" i="3"/>
  <c r="K21" i="3"/>
  <c r="N21" i="3"/>
  <c r="E22" i="3"/>
  <c r="H22" i="3"/>
  <c r="K22" i="3"/>
  <c r="N22" i="3"/>
  <c r="E25" i="3"/>
  <c r="J25" i="3"/>
  <c r="G26" i="3"/>
  <c r="D9" i="3"/>
  <c r="G9" i="3"/>
  <c r="J9" i="3"/>
  <c r="M9" i="3"/>
  <c r="D12" i="3"/>
  <c r="G12" i="3"/>
  <c r="J12" i="3"/>
  <c r="M12" i="3"/>
  <c r="D13" i="3"/>
  <c r="G13" i="3"/>
  <c r="J13" i="3"/>
  <c r="M13" i="3"/>
  <c r="D14" i="3"/>
  <c r="G14" i="3"/>
  <c r="J14" i="3"/>
  <c r="M14" i="3"/>
  <c r="D15" i="3"/>
  <c r="G15" i="3"/>
  <c r="J15" i="3"/>
  <c r="M15" i="3"/>
  <c r="D16" i="3"/>
  <c r="G16" i="3"/>
  <c r="J16" i="3"/>
  <c r="M16" i="3"/>
  <c r="D17" i="3"/>
  <c r="G17" i="3"/>
  <c r="J17" i="3"/>
  <c r="M17" i="3"/>
  <c r="D18" i="3"/>
  <c r="G18" i="3"/>
  <c r="J18" i="3"/>
  <c r="M18" i="3"/>
  <c r="D19" i="3"/>
  <c r="G19" i="3"/>
  <c r="J19" i="3"/>
  <c r="M19" i="3"/>
  <c r="D20" i="3"/>
  <c r="G20" i="3"/>
  <c r="J20" i="3"/>
  <c r="M20" i="3"/>
  <c r="D21" i="3"/>
  <c r="G21" i="3"/>
  <c r="J21" i="3"/>
  <c r="M21" i="3"/>
  <c r="D22" i="3"/>
  <c r="G22" i="3"/>
  <c r="J22" i="3"/>
  <c r="M22" i="3"/>
  <c r="D25" i="3"/>
  <c r="G25" i="3"/>
  <c r="D26" i="3"/>
  <c r="O8" i="3"/>
  <c r="F9" i="3"/>
  <c r="I9" i="3"/>
  <c r="L9" i="3"/>
  <c r="O9" i="3"/>
  <c r="F12" i="3"/>
  <c r="I12" i="3"/>
  <c r="L12" i="3"/>
  <c r="O12" i="3"/>
  <c r="F13" i="3"/>
  <c r="I13" i="3"/>
  <c r="L13" i="3"/>
  <c r="O13" i="3"/>
  <c r="F14" i="3"/>
  <c r="I14" i="3"/>
  <c r="L14" i="3"/>
  <c r="O14" i="3"/>
  <c r="F15" i="3"/>
  <c r="I15" i="3"/>
  <c r="L15" i="3"/>
  <c r="O15" i="3"/>
  <c r="F16" i="3"/>
  <c r="I16" i="3"/>
  <c r="L16" i="3"/>
  <c r="O16" i="3"/>
  <c r="F17" i="3"/>
  <c r="I17" i="3"/>
  <c r="L17" i="3"/>
  <c r="O17" i="3"/>
  <c r="F18" i="3"/>
  <c r="I18" i="3"/>
  <c r="L18" i="3"/>
  <c r="O18" i="3"/>
  <c r="F19" i="3"/>
  <c r="I19" i="3"/>
  <c r="L19" i="3"/>
  <c r="O19" i="3"/>
  <c r="F20" i="3"/>
  <c r="I20" i="3"/>
  <c r="L20" i="3"/>
  <c r="O20" i="3"/>
  <c r="F21" i="3"/>
  <c r="I21" i="3"/>
  <c r="L21" i="3"/>
  <c r="O21" i="3"/>
  <c r="F22" i="3"/>
  <c r="I22" i="3"/>
  <c r="L22" i="3"/>
  <c r="O22" i="3"/>
  <c r="F25" i="3"/>
  <c r="M25" i="3"/>
  <c r="H25" i="3"/>
  <c r="K25" i="3"/>
  <c r="N25" i="3"/>
  <c r="E26" i="3"/>
  <c r="H26" i="3"/>
  <c r="K26" i="3"/>
  <c r="N26" i="3"/>
  <c r="E27" i="3"/>
  <c r="H27" i="3"/>
  <c r="K27" i="3"/>
  <c r="N27" i="3"/>
  <c r="E28" i="3"/>
  <c r="H28" i="3"/>
  <c r="K28" i="3"/>
  <c r="N28" i="3"/>
  <c r="E29" i="3"/>
  <c r="H29" i="3"/>
  <c r="K29" i="3"/>
  <c r="N29" i="3"/>
  <c r="E30" i="3"/>
  <c r="H30" i="3"/>
  <c r="K30" i="3"/>
  <c r="N30" i="3"/>
  <c r="E31" i="3"/>
  <c r="H31" i="3"/>
  <c r="K31" i="3"/>
  <c r="N31" i="3"/>
  <c r="E32" i="3"/>
  <c r="H32" i="3"/>
  <c r="K32" i="3"/>
  <c r="N32" i="3"/>
  <c r="E33" i="3"/>
  <c r="H33" i="3"/>
  <c r="K33" i="3"/>
  <c r="N33" i="3"/>
  <c r="E34" i="3"/>
  <c r="H34" i="3"/>
  <c r="K34" i="3"/>
  <c r="N34" i="3"/>
  <c r="E37" i="3"/>
  <c r="H37" i="3"/>
  <c r="K37" i="3"/>
  <c r="N37" i="3"/>
  <c r="E38" i="3"/>
  <c r="H38" i="3"/>
  <c r="K38" i="3"/>
  <c r="N38" i="3"/>
  <c r="E39" i="3"/>
  <c r="H39" i="3"/>
  <c r="K39" i="3"/>
  <c r="N39" i="3"/>
  <c r="J26" i="3"/>
  <c r="M26" i="3"/>
  <c r="D27" i="3"/>
  <c r="G27" i="3"/>
  <c r="J27" i="3"/>
  <c r="M27" i="3"/>
  <c r="D28" i="3"/>
  <c r="G28" i="3"/>
  <c r="J28" i="3"/>
  <c r="M28" i="3"/>
  <c r="D29" i="3"/>
  <c r="G29" i="3"/>
  <c r="J29" i="3"/>
  <c r="M29" i="3"/>
  <c r="D30" i="3"/>
  <c r="G30" i="3"/>
  <c r="J30" i="3"/>
  <c r="M30" i="3"/>
  <c r="D31" i="3"/>
  <c r="G31" i="3"/>
  <c r="J31" i="3"/>
  <c r="M31" i="3"/>
  <c r="D32" i="3"/>
  <c r="G32" i="3"/>
  <c r="J32" i="3"/>
  <c r="M32" i="3"/>
  <c r="D33" i="3"/>
  <c r="G33" i="3"/>
  <c r="J33" i="3"/>
  <c r="M33" i="3"/>
  <c r="D34" i="3"/>
  <c r="G34" i="3"/>
  <c r="J34" i="3"/>
  <c r="M34" i="3"/>
  <c r="D37" i="3"/>
  <c r="G37" i="3"/>
  <c r="J37" i="3"/>
  <c r="M37" i="3"/>
  <c r="D38" i="3"/>
  <c r="G38" i="3"/>
  <c r="J38" i="3"/>
  <c r="M38" i="3"/>
  <c r="D39" i="3"/>
  <c r="G39" i="3"/>
  <c r="J39" i="3"/>
  <c r="M39" i="3"/>
  <c r="D40" i="3"/>
  <c r="I25" i="3"/>
  <c r="L25" i="3"/>
  <c r="O25" i="3"/>
  <c r="F26" i="3"/>
  <c r="I26" i="3"/>
  <c r="L26" i="3"/>
  <c r="O26" i="3"/>
  <c r="F27" i="3"/>
  <c r="I27" i="3"/>
  <c r="L27" i="3"/>
  <c r="O27" i="3"/>
  <c r="F28" i="3"/>
  <c r="I28" i="3"/>
  <c r="L28" i="3"/>
  <c r="O28" i="3"/>
  <c r="F29" i="3"/>
  <c r="I29" i="3"/>
  <c r="L29" i="3"/>
  <c r="O29" i="3"/>
  <c r="F30" i="3"/>
  <c r="I30" i="3"/>
  <c r="L30" i="3"/>
  <c r="O30" i="3"/>
  <c r="F31" i="3"/>
  <c r="I31" i="3"/>
  <c r="L31" i="3"/>
  <c r="O31" i="3"/>
  <c r="F32" i="3"/>
  <c r="I32" i="3"/>
  <c r="L32" i="3"/>
  <c r="O32" i="3"/>
  <c r="F33" i="3"/>
  <c r="I33" i="3"/>
  <c r="L33" i="3"/>
  <c r="O33" i="3"/>
  <c r="F34" i="3"/>
  <c r="I34" i="3"/>
  <c r="L34" i="3"/>
  <c r="O34" i="3"/>
  <c r="F37" i="3"/>
  <c r="I37" i="3"/>
  <c r="L37" i="3"/>
  <c r="O37" i="3"/>
  <c r="F38" i="3"/>
  <c r="I38" i="3"/>
  <c r="L38" i="3"/>
  <c r="O38" i="3"/>
  <c r="F39" i="3"/>
  <c r="I39" i="3"/>
  <c r="L39" i="3"/>
  <c r="O39" i="3"/>
  <c r="L15" i="1"/>
  <c r="O15" i="1"/>
  <c r="M15" i="1"/>
  <c r="P15" i="1"/>
  <c r="K15" i="1"/>
  <c r="N15" i="1"/>
  <c r="K21" i="1"/>
  <c r="M21" i="1"/>
  <c r="M22" i="1"/>
  <c r="K22" i="1"/>
  <c r="K14" i="1"/>
  <c r="N14" i="1"/>
  <c r="L14" i="1"/>
  <c r="O14" i="1"/>
  <c r="M14" i="1"/>
  <c r="P14" i="1"/>
  <c r="K17" i="1"/>
  <c r="N17" i="1"/>
  <c r="L17" i="1"/>
  <c r="O17" i="1"/>
  <c r="M17" i="1"/>
  <c r="P17" i="1"/>
  <c r="M16" i="1"/>
  <c r="P16" i="1"/>
  <c r="K16" i="1"/>
  <c r="N16" i="1"/>
  <c r="L16" i="1"/>
  <c r="O16" i="1"/>
  <c r="K23" i="1"/>
  <c r="M23" i="1"/>
  <c r="O23" i="1" l="1"/>
  <c r="O22" i="1"/>
  <c r="O21" i="1"/>
  <c r="T19" i="1"/>
  <c r="T26" i="1"/>
  <c r="T14" i="1"/>
  <c r="T22" i="1"/>
  <c r="T27" i="1"/>
  <c r="T16" i="1"/>
  <c r="I24" i="1"/>
  <c r="T23" i="1"/>
  <c r="N8" i="1"/>
  <c r="I21" i="1"/>
  <c r="T18" i="1"/>
  <c r="I25" i="1"/>
  <c r="S20" i="1" s="1"/>
  <c r="T24" i="1"/>
  <c r="T17" i="1"/>
</calcChain>
</file>

<file path=xl/sharedStrings.xml><?xml version="1.0" encoding="utf-8"?>
<sst xmlns="http://schemas.openxmlformats.org/spreadsheetml/2006/main" count="3389" uniqueCount="184">
  <si>
    <t>Categoria</t>
  </si>
  <si>
    <t>01.25</t>
  </si>
  <si>
    <t>02.25</t>
  </si>
  <si>
    <t>03.25</t>
  </si>
  <si>
    <t>04.25</t>
  </si>
  <si>
    <t>05.25</t>
  </si>
  <si>
    <t>06.25</t>
  </si>
  <si>
    <t>07.25</t>
  </si>
  <si>
    <t>08.25</t>
  </si>
  <si>
    <t>09.25</t>
  </si>
  <si>
    <t>10.25</t>
  </si>
  <si>
    <t>11.25</t>
  </si>
  <si>
    <t>12.25</t>
  </si>
  <si>
    <t>Total</t>
  </si>
  <si>
    <t>Enviado</t>
  </si>
  <si>
    <t>Atrasado</t>
  </si>
  <si>
    <t>Atrasado &gt;= 2</t>
  </si>
  <si>
    <t>Duplicado</t>
  </si>
  <si>
    <t>Outras Ocorrências</t>
  </si>
  <si>
    <t>Sem Técnico</t>
  </si>
  <si>
    <t>Digite o Mês de Referência</t>
  </si>
  <si>
    <t>Mês de Referência</t>
  </si>
  <si>
    <t>Acumulado (Total)</t>
  </si>
  <si>
    <t>Resumo por Regional</t>
  </si>
  <si>
    <t>Monitoramento (Envios)</t>
  </si>
  <si>
    <t>Regional</t>
  </si>
  <si>
    <t>Conisul</t>
  </si>
  <si>
    <t>Envi.</t>
  </si>
  <si>
    <t>Atra.</t>
  </si>
  <si>
    <t>Atra. &gt;= 2</t>
  </si>
  <si>
    <t>Dup.</t>
  </si>
  <si>
    <t>Out. Ocor.</t>
  </si>
  <si>
    <t>Sem Tec.</t>
  </si>
  <si>
    <t>Coripa</t>
  </si>
  <si>
    <t>Enviados</t>
  </si>
  <si>
    <t>Comafen</t>
  </si>
  <si>
    <t>Atrasados</t>
  </si>
  <si>
    <t>Cibax</t>
  </si>
  <si>
    <t>Atrasados &gt;= 2</t>
  </si>
  <si>
    <t>Cifra</t>
  </si>
  <si>
    <t>Duplicados</t>
  </si>
  <si>
    <t>Regionais (Validações)</t>
  </si>
  <si>
    <t>Validados</t>
  </si>
  <si>
    <t>Não Validados</t>
  </si>
  <si>
    <t>% Val.</t>
  </si>
  <si>
    <t>% Validados</t>
  </si>
  <si>
    <t>% Validação</t>
  </si>
  <si>
    <t>Envios - Acumulado (Total)</t>
  </si>
  <si>
    <t>Municípios</t>
  </si>
  <si>
    <t>UVR</t>
  </si>
  <si>
    <t>Alto Paraíso</t>
  </si>
  <si>
    <t>Douradina</t>
  </si>
  <si>
    <t>Esperança Nova</t>
  </si>
  <si>
    <t>Icaraíma</t>
  </si>
  <si>
    <t>Maria Helena</t>
  </si>
  <si>
    <t>Nova Olimpia</t>
  </si>
  <si>
    <t>São Jorge do Patrocinio</t>
  </si>
  <si>
    <t>Tapira</t>
  </si>
  <si>
    <t>Diamante do Norte</t>
  </si>
  <si>
    <t>Itauna do Sul</t>
  </si>
  <si>
    <t>Loanda</t>
  </si>
  <si>
    <t>Marilena</t>
  </si>
  <si>
    <t>Nova Londrina</t>
  </si>
  <si>
    <t>Planaltina do Paraná</t>
  </si>
  <si>
    <t>Porto Rico</t>
  </si>
  <si>
    <t>Querencia do Norte</t>
  </si>
  <si>
    <t>Santa Cruz de Monte Castelo</t>
  </si>
  <si>
    <t>Santa Isabel do Ivai</t>
  </si>
  <si>
    <t>São Pedro do Paraná</t>
  </si>
  <si>
    <t>Alto Piquiri</t>
  </si>
  <si>
    <t>Cafezal do Sul</t>
  </si>
  <si>
    <t>Cruzeiro do Oeste</t>
  </si>
  <si>
    <t>Iporã</t>
  </si>
  <si>
    <t>Ivaté</t>
  </si>
  <si>
    <t>Mariluz</t>
  </si>
  <si>
    <t>Perobal</t>
  </si>
  <si>
    <t>Pérola</t>
  </si>
  <si>
    <t>Umuarama</t>
  </si>
  <si>
    <t>Xambre</t>
  </si>
  <si>
    <t>Bela Vista da Caroba</t>
  </si>
  <si>
    <t>Perola d'Oeste</t>
  </si>
  <si>
    <t>Planalto</t>
  </si>
  <si>
    <t>Santo Antonio do Sudoeste</t>
  </si>
  <si>
    <t>Amambai</t>
  </si>
  <si>
    <t>Aral Moreira</t>
  </si>
  <si>
    <t>Caarapó</t>
  </si>
  <si>
    <t>Coronel Sapucaia</t>
  </si>
  <si>
    <t>Eldorado</t>
  </si>
  <si>
    <t>Iguatemi</t>
  </si>
  <si>
    <t>Itaquiraí</t>
  </si>
  <si>
    <t>Japorã</t>
  </si>
  <si>
    <t>Juti</t>
  </si>
  <si>
    <t>Naviraí</t>
  </si>
  <si>
    <t>Paranhos</t>
  </si>
  <si>
    <t>Sete Quedas</t>
  </si>
  <si>
    <t>Tacuru</t>
  </si>
  <si>
    <t>Município</t>
  </si>
  <si>
    <t>Técnico de UVR</t>
  </si>
  <si>
    <t>Situação</t>
  </si>
  <si>
    <t>Data de Envio</t>
  </si>
  <si>
    <t>Validado pelo Regional</t>
  </si>
  <si>
    <t>Observações</t>
  </si>
  <si>
    <t>Formulários para Deletar (ID)</t>
  </si>
  <si>
    <t>Validado Equip de TI</t>
  </si>
  <si>
    <t>Resposta Equipe de TI</t>
  </si>
  <si>
    <t>Danúbia Hotrich dos Santos Silva</t>
  </si>
  <si>
    <t>Sim</t>
  </si>
  <si>
    <t>Não</t>
  </si>
  <si>
    <t>Beatriz Piffer</t>
  </si>
  <si>
    <t>Ana Paula Freire</t>
  </si>
  <si>
    <t>Leonardo Zavilenski Fogaça</t>
  </si>
  <si>
    <t>Armindo Ferreira da Silva</t>
  </si>
  <si>
    <t>Henderson Heim</t>
  </si>
  <si>
    <t>Helton Pinto de Castro</t>
  </si>
  <si>
    <t>Jose roberto pogioli</t>
  </si>
  <si>
    <t>Analigia de Santana Abreu</t>
  </si>
  <si>
    <t xml:space="preserve">Anderson Bergamasco Hryczyna </t>
  </si>
  <si>
    <t>Andressa da Silva</t>
  </si>
  <si>
    <t>Isadora Gil</t>
  </si>
  <si>
    <t>Marcella Regyna Scarassatti</t>
  </si>
  <si>
    <t>Emerson Henrique Moreira</t>
  </si>
  <si>
    <t>Fabio Soares Clemente</t>
  </si>
  <si>
    <t>Valdirlei de Araujo</t>
  </si>
  <si>
    <t>Glassys Louise de Souza Cortez</t>
  </si>
  <si>
    <t>Octavio Fellipe j Barbosa</t>
  </si>
  <si>
    <t>Rony Eduardo Souza Terra</t>
  </si>
  <si>
    <t>Angelo Cesar Favaro</t>
  </si>
  <si>
    <t>Ana Julia Pereira</t>
  </si>
  <si>
    <t>Aparecido dos Santos</t>
  </si>
  <si>
    <t>Joao Lucas Côrtes Silva Freitas</t>
  </si>
  <si>
    <t>Jose Antonio Pinheiro Munhoz</t>
  </si>
  <si>
    <t>Alana Bardela dos Santos</t>
  </si>
  <si>
    <t>Diogo Augusto Graeff Vizini</t>
  </si>
  <si>
    <t>Tiago Cabrera de Oliveira</t>
  </si>
  <si>
    <t>Vanessa Diovana Biassi Soares</t>
  </si>
  <si>
    <t>Carlos Eduardo Meira Freire</t>
  </si>
  <si>
    <t>Vania Tomazelli de Lima</t>
  </si>
  <si>
    <t>Jose Elias Calonga Cunha</t>
  </si>
  <si>
    <t>Gustavo Becker Modesto Silva</t>
  </si>
  <si>
    <t>Wendel Ortiz dos Santos</t>
  </si>
  <si>
    <t>Edvaldo José de Souza</t>
  </si>
  <si>
    <t>Sirlei Aparecida Costa Souza</t>
  </si>
  <si>
    <t>Fredson Julio de Oliveira</t>
  </si>
  <si>
    <t>Mayara Cristina Neves Abel</t>
  </si>
  <si>
    <t>Leandra Aymê Alves Elias Assumpcao</t>
  </si>
  <si>
    <t>Camila Bomfim de Carvalho Ferreira</t>
  </si>
  <si>
    <t>Paulo Ricardo Klaus</t>
  </si>
  <si>
    <t>Adiel Correia Nogueira</t>
  </si>
  <si>
    <t>01/10/2025</t>
  </si>
  <si>
    <t>29/10/2025</t>
  </si>
  <si>
    <t>Município sem Estrutura ou Associação</t>
  </si>
  <si>
    <t>15/10/2025</t>
  </si>
  <si>
    <t>06/10/2025</t>
  </si>
  <si>
    <t>10/10/2025</t>
  </si>
  <si>
    <t>23/09/2025</t>
  </si>
  <si>
    <t>30/09/2025</t>
  </si>
  <si>
    <t>28/10/2025</t>
  </si>
  <si>
    <t>19/09/2025</t>
  </si>
  <si>
    <t>08/10/2025</t>
  </si>
  <si>
    <t>26/09/2025</t>
  </si>
  <si>
    <t>Deletado 5394</t>
  </si>
  <si>
    <t>25/09/2025</t>
  </si>
  <si>
    <t>31/10/2025</t>
  </si>
  <si>
    <t>22/09/2025</t>
  </si>
  <si>
    <t>26/09/2025, 26/09/2025</t>
  </si>
  <si>
    <t>24/11/2025</t>
  </si>
  <si>
    <t>10/11/2025</t>
  </si>
  <si>
    <t>14/10/2025</t>
  </si>
  <si>
    <t>16/10/2025</t>
  </si>
  <si>
    <t>03/10/2025</t>
  </si>
  <si>
    <t>13/10/2025</t>
  </si>
  <si>
    <t>14/11/2025</t>
  </si>
  <si>
    <t>09/10/2025</t>
  </si>
  <si>
    <t>07/10/2025</t>
  </si>
  <si>
    <t>04/11/2025</t>
  </si>
  <si>
    <t>ID 5564</t>
  </si>
  <si>
    <t>Deletado 5564</t>
  </si>
  <si>
    <t>03/11/2025</t>
  </si>
  <si>
    <t>17/11/2025</t>
  </si>
  <si>
    <t>13/11/2025</t>
  </si>
  <si>
    <t>26/11/2025</t>
  </si>
  <si>
    <t>06/11/2025</t>
  </si>
  <si>
    <t>Mês de referência</t>
  </si>
  <si>
    <t>Validado Equipe de 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</si>
</sst>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family val="2"/>
      <scheme val="minor"/>
    </font>
    <font>
      <sz val="14"/>
      <color theme="0"/>
      <name val="Aptos Narrow"/>
    </font>
    <font>
      <b/>
      <sz val="14"/>
      <color theme="0"/>
      <name val="Aptos Narrow"/>
    </font>
    <font>
      <sz val="12"/>
      <color theme="1"/>
      <name val="Aptos Narrow"/>
    </font>
    <font>
      <sz val="11"/>
      <color theme="1"/>
      <name val="Calibri"/>
    </font>
    <font>
      <b/>
      <sz val="11"/>
      <color theme="1"/>
      <name val="Calibri"/>
    </font>
    <font>
      <b/>
      <sz val="12"/>
      <color theme="1"/>
      <name val="Aptos Narrow"/>
    </font>
    <font>
      <sz val="14"/>
      <color theme="0"/>
      <name val="Calibri"/>
    </font>
    <font>
      <sz val="16"/>
      <color theme="0"/>
      <name val="Calibri"/>
    </font>
    <font>
      <sz val="18"/>
      <color theme="1"/>
      <name val="Calibri"/>
    </font>
    <font>
      <sz val="12"/>
      <color theme="0"/>
      <name val="Calibri"/>
    </font>
    <font>
      <sz val="11"/>
      <color theme="0"/>
      <name val="Calibri"/>
    </font>
    <font>
      <sz val="11"/>
      <name val="Calibri"/>
    </font>
    <font>
      <sz val="12"/>
      <color theme="0"/>
      <name val="Aptos Narrow"/>
    </font>
    <font>
      <sz val="11"/>
      <color theme="1"/>
      <name val="Arial"/>
    </font>
    <font>
      <sz val="11"/>
      <name val="Arial"/>
    </font>
    <font>
      <sz val="11"/>
      <color rgb="FFFF0000"/>
      <name val="Calibri"/>
    </font>
    <font>
      <b/>
      <sz val="11"/>
      <color rgb="FFFFFFFF"/>
      <name val="Arial"/>
    </font>
    <font>
      <sz val="11"/>
      <color rgb="FFFFFFFF"/>
      <name val="Arial"/>
    </font>
  </fonts>
  <fills count="36">
    <fill>
      <patternFill patternType="none"/>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1"/>
        <bgColor indexed="64"/>
      </patternFill>
    </fill>
    <fill>
      <patternFill patternType="solid">
        <fgColor rgb="FFF5C6AB"/>
        <bgColor indexed="64"/>
      </patternFill>
    </fill>
    <fill>
      <patternFill patternType="solid">
        <fgColor rgb="FFFF8585"/>
        <bgColor indexed="64"/>
      </patternFill>
    </fill>
    <fill>
      <patternFill patternType="solid">
        <fgColor rgb="FFCCC0DA"/>
        <bgColor indexed="64"/>
      </patternFill>
    </fill>
    <fill>
      <patternFill patternType="solid">
        <fgColor rgb="FFB8CCE4"/>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1"/>
        <bgColor indexed="64"/>
      </patternFill>
    </fill>
    <fill>
      <patternFill patternType="solid">
        <fgColor rgb="FF002060"/>
        <bgColor indexed="64"/>
      </patternFill>
    </fill>
    <fill>
      <patternFill patternType="solid">
        <fgColor rgb="FF95B3D7"/>
        <bgColor indexed="64"/>
      </patternFill>
    </fill>
    <fill>
      <patternFill patternType="solid">
        <fgColor rgb="FF366092"/>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rgb="FF003366"/>
        <bgColor rgb="FF003366"/>
      </patternFill>
    </fill>
    <fill>
      <patternFill patternType="solid">
        <fgColor rgb="FF66FF66"/>
        <bgColor rgb="FF66FF66"/>
      </patternFill>
    </fill>
    <fill>
      <patternFill patternType="solid">
        <fgColor rgb="FF008000"/>
        <bgColor rgb="FF008000"/>
      </patternFill>
    </fill>
    <fill>
      <patternFill patternType="solid">
        <fgColor rgb="FFFDEE00"/>
        <bgColor rgb="FFFDEE00"/>
      </patternFill>
    </fill>
    <fill>
      <patternFill patternType="solid">
        <fgColor rgb="FF00BFFF"/>
        <bgColor rgb="FF00BFFF"/>
      </patternFill>
    </fill>
    <fill>
      <patternFill patternType="solid">
        <fgColor rgb="FFFFA500"/>
        <bgColor rgb="FFFFA500"/>
      </patternFill>
    </fill>
    <fill>
      <patternFill patternType="solid">
        <fgColor rgb="FFFF0000"/>
        <bgColor rgb="FFFF0000"/>
      </patternFill>
    </fill>
    <fill>
      <patternFill patternType="solid">
        <fgColor rgb="FF808080"/>
        <bgColor rgb="FF808080"/>
      </patternFill>
    </fill>
    <fill>
      <patternFill patternType="solid">
        <fgColor rgb="FFFF6666"/>
        <bgColor rgb="FFFF6666"/>
      </patternFill>
    </fill>
    <fill>
      <patternFill patternType="solid">
        <fgColor rgb="FF006400"/>
        <bgColor rgb="FF006400"/>
      </patternFill>
    </fill>
    <fill>
      <patternFill patternType="solid">
        <fgColor rgb="FFA020F0"/>
        <bgColor rgb="FFA020F0"/>
      </patternFill>
    </fill>
    <fill>
      <patternFill patternType="solid">
        <fgColor rgb="FF31869B"/>
        <bgColor rgb="FF31869B"/>
      </patternFill>
    </fill>
    <fill>
      <patternFill patternType="solid">
        <fgColor rgb="FFFF6400"/>
        <bgColor rgb="FFFF6400"/>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5">
    <xf numFmtId="0" fontId="0" fillId="0" borderId="0" xfId="0"/>
    <xf numFmtId="49" fontId="1"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9" borderId="2" xfId="0" applyFont="1" applyFill="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5" fillId="0" borderId="3" xfId="0" applyFont="1" applyBorder="1" applyAlignment="1">
      <alignment horizontal="center" vertical="center"/>
    </xf>
    <xf numFmtId="0" fontId="4" fillId="9" borderId="3" xfId="0" applyFont="1" applyFill="1" applyBorder="1" applyAlignment="1">
      <alignment vertical="center"/>
    </xf>
    <xf numFmtId="0" fontId="4" fillId="9" borderId="3" xfId="0" applyFont="1" applyFill="1" applyBorder="1"/>
    <xf numFmtId="0" fontId="11" fillId="12" borderId="4" xfId="0" applyFont="1" applyFill="1" applyBorder="1" applyAlignment="1">
      <alignment horizontal="center" vertical="center"/>
    </xf>
    <xf numFmtId="0" fontId="11" fillId="12" borderId="5" xfId="0" applyFont="1" applyFill="1" applyBorder="1" applyAlignment="1">
      <alignment horizontal="center" vertical="center"/>
    </xf>
    <xf numFmtId="0" fontId="4" fillId="9" borderId="6" xfId="0" applyFont="1" applyFill="1" applyBorder="1" applyAlignment="1">
      <alignment vertical="center"/>
    </xf>
    <xf numFmtId="0" fontId="4" fillId="16" borderId="6" xfId="0" applyFont="1" applyFill="1" applyBorder="1" applyAlignment="1">
      <alignment vertical="center"/>
    </xf>
    <xf numFmtId="0" fontId="4" fillId="0" borderId="4" xfId="0" applyFont="1" applyBorder="1" applyAlignment="1">
      <alignment horizontal="center" vertical="center"/>
    </xf>
    <xf numFmtId="0" fontId="4" fillId="3" borderId="4" xfId="0" applyFont="1" applyFill="1" applyBorder="1" applyAlignment="1">
      <alignment horizontal="center" vertical="center"/>
    </xf>
    <xf numFmtId="164" fontId="4" fillId="3" borderId="4"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9" borderId="7" xfId="0" applyFont="1" applyFill="1" applyBorder="1" applyAlignment="1">
      <alignment vertical="center"/>
    </xf>
    <xf numFmtId="164" fontId="4" fillId="9" borderId="1" xfId="0" applyNumberFormat="1" applyFont="1" applyFill="1" applyBorder="1" applyAlignment="1">
      <alignment horizontal="center" vertical="center"/>
    </xf>
    <xf numFmtId="0" fontId="11" fillId="12" borderId="2" xfId="0" applyFont="1" applyFill="1" applyBorder="1" applyAlignment="1">
      <alignment horizontal="center" vertical="center"/>
    </xf>
    <xf numFmtId="0" fontId="4" fillId="0" borderId="8" xfId="0" applyFont="1" applyBorder="1" applyAlignment="1">
      <alignment horizontal="center" vertical="center"/>
    </xf>
    <xf numFmtId="164" fontId="4" fillId="0" borderId="2" xfId="0" applyNumberFormat="1" applyFont="1" applyBorder="1" applyAlignment="1">
      <alignment horizontal="center" vertical="center"/>
    </xf>
    <xf numFmtId="164" fontId="4" fillId="0" borderId="8"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4" fillId="0" borderId="2" xfId="0" applyFont="1" applyBorder="1" applyAlignment="1">
      <alignment horizontal="center" vertical="center"/>
    </xf>
    <xf numFmtId="0" fontId="13" fillId="21" borderId="2" xfId="0" applyFont="1" applyFill="1" applyBorder="1" applyAlignment="1">
      <alignment horizontal="center" vertical="center"/>
    </xf>
    <xf numFmtId="0" fontId="4" fillId="0" borderId="3" xfId="0" applyFont="1" applyBorder="1"/>
    <xf numFmtId="0" fontId="13" fillId="21" borderId="8" xfId="0" applyFont="1" applyFill="1" applyBorder="1" applyAlignment="1">
      <alignment horizontal="center" vertical="center"/>
    </xf>
    <xf numFmtId="0" fontId="17" fillId="23" borderId="14" xfId="0" applyFont="1" applyFill="1" applyBorder="1" applyAlignment="1">
      <alignment horizontal="center" vertical="center"/>
    </xf>
    <xf numFmtId="0" fontId="15" fillId="25" borderId="14" xfId="0" applyFont="1" applyFill="1" applyBorder="1" applyAlignment="1">
      <alignment horizontal="center" vertical="center"/>
    </xf>
    <xf numFmtId="0" fontId="15" fillId="0" borderId="14" xfId="0" applyFont="1" applyBorder="1" applyAlignment="1">
      <alignment horizontal="center" vertical="center"/>
    </xf>
    <xf numFmtId="0" fontId="18" fillId="30" borderId="14" xfId="0" applyFont="1" applyFill="1" applyBorder="1" applyAlignment="1">
      <alignment horizontal="center" vertical="center"/>
    </xf>
    <xf numFmtId="0" fontId="15" fillId="24" borderId="14" xfId="0" applyFont="1" applyFill="1" applyBorder="1" applyAlignment="1">
      <alignment horizontal="center" vertical="center"/>
    </xf>
    <xf numFmtId="0" fontId="15" fillId="26" borderId="14" xfId="0" applyFont="1" applyFill="1" applyBorder="1" applyAlignment="1">
      <alignment horizontal="center" vertical="center"/>
    </xf>
    <xf numFmtId="0" fontId="15" fillId="27" borderId="14" xfId="0" applyFont="1" applyFill="1" applyBorder="1" applyAlignment="1">
      <alignment horizontal="center" vertical="center"/>
    </xf>
    <xf numFmtId="0" fontId="15" fillId="28" borderId="14" xfId="0" applyFont="1" applyFill="1" applyBorder="1" applyAlignment="1">
      <alignment horizontal="center" vertical="center"/>
    </xf>
    <xf numFmtId="0" fontId="15" fillId="29" borderId="14" xfId="0" applyFont="1" applyFill="1" applyBorder="1" applyAlignment="1">
      <alignment horizontal="center" vertical="center"/>
    </xf>
    <xf numFmtId="0" fontId="15" fillId="0" borderId="14" xfId="0" applyFont="1" applyBorder="1" applyAlignment="1">
      <alignment horizontal="center" vertical="center" wrapText="1"/>
    </xf>
    <xf numFmtId="0" fontId="18" fillId="32" borderId="14" xfId="0" applyFont="1" applyFill="1" applyBorder="1" applyAlignment="1">
      <alignment horizontal="center" vertical="center"/>
    </xf>
    <xf numFmtId="0" fontId="15" fillId="31" borderId="14" xfId="0" applyFont="1" applyFill="1" applyBorder="1" applyAlignment="1">
      <alignment horizontal="center" vertical="center"/>
    </xf>
    <xf numFmtId="0" fontId="18" fillId="33" borderId="14" xfId="0" applyFont="1" applyFill="1" applyBorder="1" applyAlignment="1">
      <alignment horizontal="center" vertical="center"/>
    </xf>
    <xf numFmtId="0" fontId="18" fillId="29" borderId="14" xfId="0" applyFont="1" applyFill="1" applyBorder="1" applyAlignment="1">
      <alignment horizontal="center" vertical="center"/>
    </xf>
    <xf numFmtId="0" fontId="18" fillId="34" borderId="14" xfId="0" applyFont="1" applyFill="1" applyBorder="1" applyAlignment="1">
      <alignment horizontal="center" vertical="center"/>
    </xf>
    <xf numFmtId="0" fontId="18" fillId="35" borderId="14" xfId="0" applyFont="1" applyFill="1" applyBorder="1" applyAlignment="1">
      <alignment horizontal="center" vertical="center"/>
    </xf>
    <xf numFmtId="0" fontId="4" fillId="3" borderId="2" xfId="0" applyFont="1" applyFill="1" applyBorder="1" applyAlignment="1">
      <alignment horizontal="center"/>
    </xf>
    <xf numFmtId="0" fontId="4" fillId="6" borderId="1" xfId="0" applyFont="1" applyFill="1" applyBorder="1" applyAlignment="1">
      <alignment horizontal="center"/>
    </xf>
    <xf numFmtId="0" fontId="11" fillId="12" borderId="4" xfId="0" applyFont="1" applyFill="1" applyBorder="1" applyAlignment="1">
      <alignment horizontal="center" vertical="center"/>
    </xf>
    <xf numFmtId="10" fontId="4" fillId="0" borderId="1" xfId="0" applyNumberFormat="1" applyFont="1" applyBorder="1" applyAlignment="1">
      <alignment horizontal="center" vertical="center"/>
    </xf>
    <xf numFmtId="0" fontId="4" fillId="6" borderId="4" xfId="0" applyFont="1" applyFill="1" applyBorder="1" applyAlignment="1">
      <alignment horizontal="center"/>
    </xf>
    <xf numFmtId="0" fontId="1" fillId="2" borderId="14" xfId="0" applyFont="1" applyFill="1" applyBorder="1" applyAlignment="1">
      <alignment horizontal="center" vertical="center"/>
    </xf>
    <xf numFmtId="0" fontId="4" fillId="4" borderId="14" xfId="0" applyFont="1" applyFill="1" applyBorder="1" applyAlignment="1">
      <alignment horizontal="center" vertical="center"/>
    </xf>
    <xf numFmtId="0" fontId="5" fillId="4" borderId="14" xfId="0" applyFont="1" applyFill="1" applyBorder="1" applyAlignment="1">
      <alignment horizontal="center" vertical="center"/>
    </xf>
    <xf numFmtId="0" fontId="4" fillId="5" borderId="14" xfId="0" applyFont="1" applyFill="1" applyBorder="1" applyAlignment="1">
      <alignment horizontal="center" vertical="center"/>
    </xf>
    <xf numFmtId="0" fontId="5" fillId="5" borderId="14" xfId="0" applyFont="1" applyFill="1" applyBorder="1" applyAlignment="1">
      <alignment horizontal="center" vertical="center"/>
    </xf>
    <xf numFmtId="0" fontId="4" fillId="6" borderId="14" xfId="0" applyFont="1" applyFill="1" applyBorder="1" applyAlignment="1">
      <alignment horizontal="center" vertical="center"/>
    </xf>
    <xf numFmtId="0" fontId="5" fillId="6" borderId="14" xfId="0" applyFont="1" applyFill="1" applyBorder="1" applyAlignment="1">
      <alignment horizontal="center" vertical="center"/>
    </xf>
    <xf numFmtId="0" fontId="4" fillId="7" borderId="14" xfId="0" applyFont="1" applyFill="1" applyBorder="1" applyAlignment="1">
      <alignment horizontal="center" vertical="center"/>
    </xf>
    <xf numFmtId="0" fontId="5" fillId="7" borderId="14" xfId="0" applyFont="1" applyFill="1" applyBorder="1" applyAlignment="1">
      <alignment horizontal="center" vertical="center"/>
    </xf>
    <xf numFmtId="0" fontId="4" fillId="8" borderId="14" xfId="0" applyFont="1" applyFill="1" applyBorder="1" applyAlignment="1">
      <alignment horizontal="center" vertical="center"/>
    </xf>
    <xf numFmtId="0" fontId="5" fillId="8" borderId="14" xfId="0" applyFont="1" applyFill="1" applyBorder="1" applyAlignment="1">
      <alignment horizontal="center" vertical="center"/>
    </xf>
    <xf numFmtId="0" fontId="4" fillId="9" borderId="14" xfId="0" applyFont="1" applyFill="1" applyBorder="1" applyAlignment="1">
      <alignment horizontal="center" vertical="center"/>
    </xf>
    <xf numFmtId="0" fontId="5" fillId="9" borderId="14" xfId="0" applyFont="1" applyFill="1" applyBorder="1" applyAlignment="1">
      <alignment horizontal="center" vertical="center"/>
    </xf>
    <xf numFmtId="0" fontId="5" fillId="0" borderId="14" xfId="0" applyFont="1" applyBorder="1" applyAlignment="1">
      <alignment horizontal="center" vertical="center"/>
    </xf>
    <xf numFmtId="0" fontId="7" fillId="10" borderId="14" xfId="0" applyFont="1" applyFill="1" applyBorder="1" applyAlignment="1">
      <alignment horizontal="center" vertical="center" wrapText="1"/>
    </xf>
    <xf numFmtId="0" fontId="0" fillId="0" borderId="10" xfId="0" applyBorder="1" applyAlignment="1"/>
    <xf numFmtId="0" fontId="7" fillId="10" borderId="14" xfId="0" applyFont="1" applyFill="1" applyBorder="1" applyAlignment="1">
      <alignment horizontal="center" vertical="center"/>
    </xf>
    <xf numFmtId="0" fontId="0" fillId="0" borderId="11" xfId="0" applyBorder="1" applyAlignment="1"/>
    <xf numFmtId="0" fontId="8" fillId="10" borderId="14" xfId="0" applyFont="1" applyFill="1" applyBorder="1" applyAlignment="1">
      <alignment horizontal="center" vertical="center"/>
    </xf>
    <xf numFmtId="49" fontId="9" fillId="11" borderId="9" xfId="0" applyNumberFormat="1" applyFont="1" applyFill="1" applyBorder="1" applyAlignment="1">
      <alignment horizontal="center" vertical="center"/>
    </xf>
    <xf numFmtId="0" fontId="0" fillId="0" borderId="9" xfId="0" applyBorder="1" applyAlignment="1"/>
    <xf numFmtId="0" fontId="10" fillId="2" borderId="14" xfId="0" applyFont="1" applyFill="1" applyBorder="1" applyAlignment="1">
      <alignment horizontal="center" vertical="center"/>
    </xf>
    <xf numFmtId="0" fontId="11" fillId="12" borderId="14" xfId="0" applyFont="1" applyFill="1" applyBorder="1" applyAlignment="1">
      <alignment horizontal="center" vertical="center"/>
    </xf>
    <xf numFmtId="0" fontId="4" fillId="13" borderId="14" xfId="0" applyFont="1" applyFill="1" applyBorder="1" applyAlignment="1">
      <alignment horizontal="center" vertical="center"/>
    </xf>
    <xf numFmtId="0" fontId="0" fillId="0" borderId="0" xfId="0" applyAlignment="1"/>
    <xf numFmtId="0" fontId="0" fillId="0" borderId="12" xfId="0" applyBorder="1" applyAlignment="1"/>
    <xf numFmtId="0" fontId="11" fillId="12" borderId="13" xfId="0" applyFont="1" applyFill="1" applyBorder="1" applyAlignment="1">
      <alignment horizontal="center" vertical="center"/>
    </xf>
    <xf numFmtId="0" fontId="10" fillId="14" borderId="14" xfId="0" applyFont="1" applyFill="1" applyBorder="1" applyAlignment="1">
      <alignment horizontal="center" vertical="center"/>
    </xf>
    <xf numFmtId="0" fontId="12" fillId="15" borderId="14"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0" xfId="0" applyFont="1" applyFill="1" applyBorder="1" applyAlignment="1">
      <alignment horizontal="center" vertical="center"/>
    </xf>
    <xf numFmtId="0" fontId="12" fillId="17" borderId="14" xfId="0" applyFont="1" applyFill="1" applyBorder="1" applyAlignment="1">
      <alignment horizontal="center" vertical="center"/>
    </xf>
    <xf numFmtId="0" fontId="4" fillId="0" borderId="14" xfId="0" applyFont="1" applyBorder="1" applyAlignment="1">
      <alignment horizontal="center" vertical="center"/>
    </xf>
    <xf numFmtId="164" fontId="4" fillId="5" borderId="14" xfId="0" applyNumberFormat="1" applyFont="1" applyFill="1" applyBorder="1" applyAlignment="1">
      <alignment horizontal="center" vertical="center"/>
    </xf>
    <xf numFmtId="0" fontId="12" fillId="18" borderId="14" xfId="0" applyFont="1" applyFill="1" applyBorder="1" applyAlignment="1">
      <alignment horizontal="center" vertical="center"/>
    </xf>
    <xf numFmtId="164" fontId="4" fillId="6" borderId="14" xfId="0" applyNumberFormat="1" applyFont="1" applyFill="1" applyBorder="1" applyAlignment="1">
      <alignment horizontal="center" vertical="center"/>
    </xf>
    <xf numFmtId="0" fontId="12" fillId="19" borderId="14" xfId="0" applyFont="1" applyFill="1" applyBorder="1" applyAlignment="1">
      <alignment horizontal="center" vertical="center"/>
    </xf>
    <xf numFmtId="164" fontId="4" fillId="7" borderId="14" xfId="0" applyNumberFormat="1" applyFont="1" applyFill="1" applyBorder="1" applyAlignment="1">
      <alignment horizontal="center" vertical="center"/>
    </xf>
    <xf numFmtId="0" fontId="12" fillId="20" borderId="14" xfId="0" applyFont="1" applyFill="1" applyBorder="1" applyAlignment="1">
      <alignment horizontal="center" vertical="center"/>
    </xf>
    <xf numFmtId="0" fontId="4" fillId="3" borderId="9" xfId="0" applyFont="1" applyFill="1" applyBorder="1" applyAlignment="1">
      <alignment horizontal="center" vertical="center"/>
    </xf>
    <xf numFmtId="164" fontId="4" fillId="8" borderId="14" xfId="0" applyNumberFormat="1" applyFont="1" applyFill="1" applyBorder="1" applyAlignment="1">
      <alignment horizontal="center" vertical="center"/>
    </xf>
    <xf numFmtId="0" fontId="0" fillId="0" borderId="13" xfId="0" applyBorder="1" applyAlignment="1"/>
    <xf numFmtId="0" fontId="4" fillId="15" borderId="14" xfId="0" applyFont="1" applyFill="1" applyBorder="1" applyAlignment="1">
      <alignment horizontal="center" vertical="center"/>
    </xf>
    <xf numFmtId="0" fontId="4" fillId="3" borderId="14" xfId="0" applyFont="1" applyFill="1" applyBorder="1" applyAlignment="1">
      <alignment horizontal="center"/>
    </xf>
    <xf numFmtId="0" fontId="4" fillId="6" borderId="14" xfId="0" applyFont="1" applyFill="1" applyBorder="1" applyAlignment="1">
      <alignment horizontal="center"/>
    </xf>
    <xf numFmtId="164" fontId="4" fillId="0" borderId="14" xfId="0" applyNumberFormat="1" applyFont="1" applyBorder="1" applyAlignment="1">
      <alignment horizontal="center"/>
    </xf>
    <xf numFmtId="0" fontId="4" fillId="17" borderId="14" xfId="0" applyFont="1" applyFill="1" applyBorder="1" applyAlignment="1">
      <alignment horizontal="center" vertical="center"/>
    </xf>
    <xf numFmtId="0" fontId="4" fillId="18" borderId="14" xfId="0" applyFont="1" applyFill="1" applyBorder="1" applyAlignment="1">
      <alignment horizontal="center" vertical="center"/>
    </xf>
    <xf numFmtId="0" fontId="4" fillId="19" borderId="14" xfId="0" applyFont="1" applyFill="1" applyBorder="1" applyAlignment="1">
      <alignment horizontal="center" vertical="center"/>
    </xf>
    <xf numFmtId="164" fontId="4" fillId="0" borderId="10" xfId="0" applyNumberFormat="1" applyFont="1" applyBorder="1" applyAlignment="1">
      <alignment horizontal="center" vertical="center"/>
    </xf>
    <xf numFmtId="0" fontId="4" fillId="20" borderId="14" xfId="0" applyFont="1" applyFill="1" applyBorder="1" applyAlignment="1">
      <alignment horizontal="center" vertical="center"/>
    </xf>
    <xf numFmtId="10" fontId="4" fillId="0" borderId="14" xfId="0" applyNumberFormat="1" applyFont="1" applyBorder="1" applyAlignment="1">
      <alignment horizontal="center" vertical="center"/>
    </xf>
    <xf numFmtId="0" fontId="13" fillId="21" borderId="14" xfId="0" applyFont="1" applyFill="1" applyBorder="1" applyAlignment="1">
      <alignment horizontal="center" vertical="center"/>
    </xf>
    <xf numFmtId="49" fontId="13" fillId="21" borderId="14" xfId="0" applyNumberFormat="1" applyFont="1" applyFill="1" applyBorder="1" applyAlignment="1">
      <alignment horizontal="center" vertical="center"/>
    </xf>
    <xf numFmtId="0" fontId="12" fillId="0" borderId="14" xfId="0" applyFont="1" applyBorder="1" applyAlignment="1">
      <alignment horizontal="center" vertical="center"/>
    </xf>
    <xf numFmtId="0" fontId="14" fillId="22" borderId="14" xfId="0" applyFont="1" applyFill="1" applyBorder="1" applyAlignment="1">
      <alignment horizontal="center" vertical="center"/>
    </xf>
    <xf numFmtId="0" fontId="16" fillId="0" borderId="14" xfId="0" applyFont="1" applyBorder="1" applyAlignment="1">
      <alignment horizontal="center" vertical="center"/>
    </xf>
  </cellXfs>
  <cellStyles count="1">
    <cellStyle name="Normal" xfId="0" builtinId="0"/>
  </cellStyles>
  <dxfs count="155">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rgb="FF9C0006"/>
      </font>
      <fill>
        <patternFill>
          <bgColor rgb="FFFFC7CE"/>
        </patternFill>
      </fill>
    </dxf>
    <dxf>
      <font>
        <color rgb="FF006100"/>
      </font>
      <fill>
        <patternFill>
          <bgColor rgb="FFC6EFCE"/>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1"/>
      </font>
      <fill>
        <patternFill patternType="solid">
          <bgColor rgb="FF00B050"/>
        </patternFill>
      </fill>
    </dxf>
    <dxf>
      <font>
        <color theme="1"/>
      </font>
      <fill>
        <patternFill patternType="solid">
          <bgColor rgb="FFBDE83C"/>
        </patternFill>
      </fill>
    </dxf>
    <dxf>
      <font>
        <color theme="1"/>
      </font>
      <fill>
        <patternFill patternType="solid">
          <bgColor rgb="FFFFC000"/>
        </patternFill>
      </fill>
    </dxf>
    <dxf>
      <fill>
        <patternFill patternType="solid">
          <bgColor rgb="FFD15A5A"/>
        </patternFill>
      </fill>
    </dxf>
    <dxf>
      <font>
        <color theme="1"/>
      </font>
      <fill>
        <patternFill patternType="solid">
          <bgColor rgb="FFFF0000"/>
        </patternFill>
      </fill>
    </dxf>
    <dxf>
      <font>
        <color theme="1"/>
      </font>
      <fill>
        <patternFill patternType="solid">
          <bgColor rgb="FF00B0F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9"/>
  <sheetViews>
    <sheetView workbookViewId="0"/>
  </sheetViews>
  <sheetFormatPr defaultRowHeight="15"/>
  <cols>
    <col min="1" max="1" width="32" customWidth="1"/>
    <col min="2" max="2" width="8.7109375" customWidth="1"/>
    <col min="6" max="6" width="9.28515625" customWidth="1"/>
    <col min="9" max="9" width="9.140625" customWidth="1"/>
    <col min="17" max="17" width="4.42578125" customWidth="1"/>
    <col min="18" max="18" width="17.5703125" customWidth="1"/>
    <col min="19" max="19" width="12.85546875" customWidth="1"/>
  </cols>
  <sheetData>
    <row r="1" spans="1:21" ht="18.75" customHeight="1">
      <c r="A1" s="58" t="s">
        <v>0</v>
      </c>
      <c r="B1" s="1" t="s">
        <v>1</v>
      </c>
      <c r="C1" s="1" t="s">
        <v>2</v>
      </c>
      <c r="D1" s="1" t="s">
        <v>3</v>
      </c>
      <c r="E1" s="1" t="s">
        <v>4</v>
      </c>
      <c r="F1" s="1" t="s">
        <v>5</v>
      </c>
      <c r="G1" s="1" t="s">
        <v>6</v>
      </c>
      <c r="H1" s="1" t="s">
        <v>7</v>
      </c>
      <c r="I1" s="1" t="s">
        <v>8</v>
      </c>
      <c r="J1" s="1" t="s">
        <v>9</v>
      </c>
      <c r="K1" s="1" t="s">
        <v>10</v>
      </c>
      <c r="L1" s="1" t="s">
        <v>11</v>
      </c>
      <c r="M1" s="1" t="s">
        <v>12</v>
      </c>
      <c r="N1" s="2" t="s">
        <v>13</v>
      </c>
    </row>
    <row r="2" spans="1:21" ht="15.75" customHeight="1">
      <c r="A2" s="3" t="s">
        <v>14</v>
      </c>
      <c r="B2" s="59">
        <f ca="1">COUNTIF(INDIRECT(B$1&amp;"!E2:E1000"),$A2)</f>
        <v>0</v>
      </c>
      <c r="C2" s="59">
        <f ca="1">COUNTIF(INDIRECT(C$1&amp;"!E2:E1000"),$A2)</f>
        <v>0</v>
      </c>
      <c r="D2" s="59">
        <f ca="1">COUNTIF(INDIRECT(D$1&amp;"!E2:E1000"),$A2)</f>
        <v>0</v>
      </c>
      <c r="E2" s="59">
        <f ca="1">COUNTIF(INDIRECT(E$1&amp;"!E2:E1000"),$A2)</f>
        <v>0</v>
      </c>
      <c r="F2" s="59">
        <f ca="1">COUNTIF(INDIRECT(F$1&amp;"!E2:E1000"),$A2)</f>
        <v>0</v>
      </c>
      <c r="G2" s="59">
        <f ca="1">COUNTIF(INDIRECT(G$1&amp;"!E2:E1000"),$A2)</f>
        <v>1</v>
      </c>
      <c r="H2" s="59">
        <f ca="1">COUNTIF(INDIRECT(H$1&amp;"!E2:E1000"),$A2)</f>
        <v>1</v>
      </c>
      <c r="I2" s="59">
        <f ca="1">COUNTIF(INDIRECT(I$1&amp;"!E2:E1000"),$A2)</f>
        <v>19</v>
      </c>
      <c r="J2" s="59">
        <f ca="1">COUNTIF(INDIRECT(J$1&amp;"!E2:E1000"),$A2)</f>
        <v>20</v>
      </c>
      <c r="K2" s="59">
        <f ca="1">COUNTIF(INDIRECT(K$1&amp;"!E2:E1000"),$A2)</f>
        <v>18</v>
      </c>
      <c r="L2" s="59">
        <f ca="1">COUNTIF(INDIRECT(L$1&amp;"!E2:E1000"),$A2)</f>
        <v>0</v>
      </c>
      <c r="M2" s="59">
        <f ca="1">COUNTIF(INDIRECT(M$1&amp;"!E2:E1000"),$A2)</f>
        <v>0</v>
      </c>
      <c r="N2" s="60">
        <f ca="1">SUM(B2:M2)</f>
        <v>59</v>
      </c>
    </row>
    <row r="3" spans="1:21" ht="15.75" customHeight="1">
      <c r="A3" s="4" t="s">
        <v>15</v>
      </c>
      <c r="B3" s="61">
        <f ca="1">COUNTIF(INDIRECT(B$1&amp;"!E2:E1000"),$A3)</f>
        <v>0</v>
      </c>
      <c r="C3" s="61">
        <f ca="1">COUNTIF(INDIRECT(C$1&amp;"!E2:E1000"),$A3)</f>
        <v>0</v>
      </c>
      <c r="D3" s="61">
        <f ca="1">COUNTIF(INDIRECT(D$1&amp;"!E2:E1000"),$A3)</f>
        <v>0</v>
      </c>
      <c r="E3" s="61">
        <f ca="1">COUNTIF(INDIRECT(E$1&amp;"!E2:E1000"),$A3)</f>
        <v>0</v>
      </c>
      <c r="F3" s="61">
        <f ca="1">COUNTIF(INDIRECT(F$1&amp;"!E2:E1000"),$A3)</f>
        <v>0</v>
      </c>
      <c r="G3" s="61">
        <f ca="1">COUNTIF(INDIRECT(G$1&amp;"!E2:E1000"),$A3)</f>
        <v>0</v>
      </c>
      <c r="H3" s="61">
        <f ca="1">COUNTIF(INDIRECT(H$1&amp;"!E2:E1000"),$A3)</f>
        <v>0</v>
      </c>
      <c r="I3" s="61">
        <f ca="1">COUNTIF(INDIRECT(I$1&amp;"!E2:E1000"),$A3)</f>
        <v>0</v>
      </c>
      <c r="J3" s="61">
        <f ca="1">COUNTIF(INDIRECT(J$1&amp;"!E2:E1000"),$A3)</f>
        <v>0</v>
      </c>
      <c r="K3" s="61">
        <f ca="1">COUNTIF(INDIRECT(K$1&amp;"!E2:E1000"),$A3)</f>
        <v>0</v>
      </c>
      <c r="L3" s="61">
        <f ca="1">COUNTIF(INDIRECT(L$1&amp;"!E2:E1000"),$A3)</f>
        <v>39</v>
      </c>
      <c r="M3" s="61">
        <f ca="1">COUNTIF(INDIRECT(M$1&amp;"!E2:E1000"),$A3)</f>
        <v>0</v>
      </c>
      <c r="N3" s="62">
        <f ca="1">SUM(B3:M3)</f>
        <v>39</v>
      </c>
    </row>
    <row r="4" spans="1:21" ht="15.75" customHeight="1">
      <c r="A4" s="5" t="s">
        <v>16</v>
      </c>
      <c r="B4" s="63">
        <f ca="1">COUNTIF(INDIRECT(B$1&amp;"!E2:E1000"),$A4)</f>
        <v>0</v>
      </c>
      <c r="C4" s="63">
        <f ca="1">COUNTIF(INDIRECT(C$1&amp;"!E2:E1000"),$A4)</f>
        <v>0</v>
      </c>
      <c r="D4" s="63">
        <f ca="1">COUNTIF(INDIRECT(D$1&amp;"!E2:E1000"),$A4)</f>
        <v>0</v>
      </c>
      <c r="E4" s="63">
        <f ca="1">COUNTIF(INDIRECT(E$1&amp;"!E2:E1000"),$A4)</f>
        <v>0</v>
      </c>
      <c r="F4" s="63">
        <f ca="1">COUNTIF(INDIRECT(F$1&amp;"!E2:E1000"),$A4)</f>
        <v>0</v>
      </c>
      <c r="G4" s="63">
        <f ca="1">COUNTIF(INDIRECT(G$1&amp;"!E2:E1000"),$A4)</f>
        <v>0</v>
      </c>
      <c r="H4" s="63">
        <f ca="1">COUNTIF(INDIRECT(H$1&amp;"!E2:E1000"),$A4)</f>
        <v>0</v>
      </c>
      <c r="I4" s="63">
        <f ca="1">COUNTIF(INDIRECT(I$1&amp;"!E2:E1000"),$A4)</f>
        <v>19</v>
      </c>
      <c r="J4" s="63">
        <f ca="1">COUNTIF(INDIRECT(J$1&amp;"!E2:E1000"),$A4)</f>
        <v>19</v>
      </c>
      <c r="K4" s="63">
        <f ca="1">COUNTIF(INDIRECT(K$1&amp;"!E2:E1000"),$A4)</f>
        <v>21</v>
      </c>
      <c r="L4" s="63">
        <f ca="1">COUNTIF(INDIRECT(L$1&amp;"!E2:E1000"),$A4)</f>
        <v>0</v>
      </c>
      <c r="M4" s="63">
        <f ca="1">COUNTIF(INDIRECT(M$1&amp;"!E2:E1000"),$A4)</f>
        <v>0</v>
      </c>
      <c r="N4" s="64">
        <f ca="1">SUM(B4:M4)</f>
        <v>59</v>
      </c>
    </row>
    <row r="5" spans="1:21" ht="15.75" customHeight="1">
      <c r="A5" s="6" t="s">
        <v>17</v>
      </c>
      <c r="B5" s="65">
        <f ca="1">COUNTIF(INDIRECT(B$1&amp;"!E2:E1000"),$A5)</f>
        <v>0</v>
      </c>
      <c r="C5" s="65">
        <f ca="1">COUNTIF(INDIRECT(C$1&amp;"!E2:E1000"),$A5)</f>
        <v>0</v>
      </c>
      <c r="D5" s="65">
        <f ca="1">COUNTIF(INDIRECT(D$1&amp;"!E2:E1000"),$A5)</f>
        <v>0</v>
      </c>
      <c r="E5" s="65">
        <f ca="1">COUNTIF(INDIRECT(E$1&amp;"!E2:E1000"),$A5)</f>
        <v>0</v>
      </c>
      <c r="F5" s="65">
        <f ca="1">COUNTIF(INDIRECT(F$1&amp;"!E2:E1000"),$A5)</f>
        <v>0</v>
      </c>
      <c r="G5" s="65">
        <f ca="1">COUNTIF(INDIRECT(G$1&amp;"!E2:E1000"),$A5)</f>
        <v>0</v>
      </c>
      <c r="H5" s="65">
        <f ca="1">COUNTIF(INDIRECT(H$1&amp;"!E2:E1000"),$A5)</f>
        <v>0</v>
      </c>
      <c r="I5" s="65">
        <f ca="1">COUNTIF(INDIRECT(I$1&amp;"!E2:E1000"),$A5)</f>
        <v>1</v>
      </c>
      <c r="J5" s="65">
        <f ca="1">COUNTIF(INDIRECT(J$1&amp;"!E2:E1000"),$A5)</f>
        <v>0</v>
      </c>
      <c r="K5" s="65">
        <f ca="1">COUNTIF(INDIRECT(K$1&amp;"!E2:E1000"),$A5)</f>
        <v>0</v>
      </c>
      <c r="L5" s="65">
        <f ca="1">COUNTIF(INDIRECT(L$1&amp;"!E2:E1000"),$A5)</f>
        <v>0</v>
      </c>
      <c r="M5" s="65">
        <f ca="1">COUNTIF(INDIRECT(M$1&amp;"!E2:E1000"),$A5)</f>
        <v>0</v>
      </c>
      <c r="N5" s="66">
        <f ca="1">SUM(B5:M5)</f>
        <v>1</v>
      </c>
    </row>
    <row r="6" spans="1:21" ht="15.75" customHeight="1">
      <c r="A6" s="7" t="s">
        <v>18</v>
      </c>
      <c r="B6" s="67">
        <f ca="1">COUNTIF(INDIRECT(B$1&amp;"!E2:E1000"),$A6)</f>
        <v>0</v>
      </c>
      <c r="C6" s="67">
        <f ca="1">COUNTIF(INDIRECT(C$1&amp;"!E2:E1000"),$A6)</f>
        <v>0</v>
      </c>
      <c r="D6" s="67">
        <f ca="1">COUNTIF(INDIRECT(D$1&amp;"!E2:E1000"),$A6)</f>
        <v>0</v>
      </c>
      <c r="E6" s="67">
        <f ca="1">COUNTIF(INDIRECT(E$1&amp;"!E2:E1000"),$A6)</f>
        <v>0</v>
      </c>
      <c r="F6" s="67">
        <f ca="1">COUNTIF(INDIRECT(F$1&amp;"!E2:E1000"),$A6)</f>
        <v>0</v>
      </c>
      <c r="G6" s="67">
        <f ca="1">COUNTIF(INDIRECT(G$1&amp;"!E2:E1000"),$A6)</f>
        <v>0</v>
      </c>
      <c r="H6" s="67">
        <f ca="1">COUNTIF(INDIRECT(H$1&amp;"!E2:E1000"),$A6)</f>
        <v>0</v>
      </c>
      <c r="I6" s="67">
        <f ca="1">COUNTIF(INDIRECT(I$1&amp;"!E2:E1000"),$A6)</f>
        <v>2</v>
      </c>
      <c r="J6" s="67">
        <f ca="1">COUNTIF(INDIRECT(J$1&amp;"!E2:E1000"),$A6)</f>
        <v>2</v>
      </c>
      <c r="K6" s="67">
        <f ca="1">COUNTIF(INDIRECT(K$1&amp;"!E2:E1000"),$A6)</f>
        <v>2</v>
      </c>
      <c r="L6" s="67">
        <f ca="1">COUNTIF(INDIRECT(L$1&amp;"!E2:E1000"),$A6)</f>
        <v>2</v>
      </c>
      <c r="M6" s="67">
        <f ca="1">COUNTIF(INDIRECT(M$1&amp;"!E2:E1000"),$A6)</f>
        <v>2</v>
      </c>
      <c r="N6" s="68">
        <f ca="1">SUM(B6:M6)</f>
        <v>10</v>
      </c>
    </row>
    <row r="7" spans="1:21" ht="15.75" customHeight="1">
      <c r="A7" s="8" t="s">
        <v>19</v>
      </c>
      <c r="B7" s="69">
        <f ca="1">COUNTIF(INDIRECT(B$1&amp;"!E2:E1000"),$A7)</f>
        <v>46</v>
      </c>
      <c r="C7" s="69">
        <f ca="1">COUNTIF(INDIRECT(C$1&amp;"!E2:E1000"),$A7)</f>
        <v>46</v>
      </c>
      <c r="D7" s="69">
        <f ca="1">COUNTIF(INDIRECT(D$1&amp;"!E2:E1000"),$A7)</f>
        <v>46</v>
      </c>
      <c r="E7" s="69">
        <f ca="1">COUNTIF(INDIRECT(E$1&amp;"!E2:E1000"),$A7)</f>
        <v>46</v>
      </c>
      <c r="F7" s="69">
        <f ca="1">COUNTIF(INDIRECT(F$1&amp;"!E2:E1000"),$A7)</f>
        <v>46</v>
      </c>
      <c r="G7" s="69">
        <f ca="1">COUNTIF(INDIRECT(G$1&amp;"!E2:E1000"),$A7)</f>
        <v>45</v>
      </c>
      <c r="H7" s="69">
        <f ca="1">COUNTIF(INDIRECT(H$1&amp;"!E2:E1000"),$A7)</f>
        <v>45</v>
      </c>
      <c r="I7" s="69">
        <f ca="1">COUNTIF(INDIRECT(I$1&amp;"!E2:E1000"),$A7)</f>
        <v>5</v>
      </c>
      <c r="J7" s="69">
        <f ca="1">COUNTIF(INDIRECT(J$1&amp;"!E2:E1000"),$A7)</f>
        <v>5</v>
      </c>
      <c r="K7" s="69">
        <f ca="1">COUNTIF(INDIRECT(K$1&amp;"!E2:E1000"),$A7)</f>
        <v>5</v>
      </c>
      <c r="L7" s="69">
        <f ca="1">COUNTIF(INDIRECT(L$1&amp;"!E2:E1000"),$A7)</f>
        <v>5</v>
      </c>
      <c r="M7" s="69">
        <f ca="1">COUNTIF(INDIRECT(M$1&amp;"!E2:E1000"),$A7)</f>
        <v>5</v>
      </c>
      <c r="N7" s="70">
        <f ca="1">SUM(B7:M7)</f>
        <v>345</v>
      </c>
    </row>
    <row r="8" spans="1:21" ht="15.75" customHeight="1">
      <c r="A8" s="9" t="s">
        <v>13</v>
      </c>
      <c r="B8" s="71">
        <f ca="1">SUM(B2:B7)</f>
        <v>46</v>
      </c>
      <c r="C8" s="71">
        <f ca="1">SUM(C2:C7)</f>
        <v>46</v>
      </c>
      <c r="D8" s="71">
        <f ca="1">SUM(D2:D7)</f>
        <v>46</v>
      </c>
      <c r="E8" s="71">
        <f ca="1">SUM(E2:E7)</f>
        <v>46</v>
      </c>
      <c r="F8" s="71">
        <f ca="1">SUM(F2:F7)</f>
        <v>46</v>
      </c>
      <c r="G8" s="71">
        <f ca="1">SUM(G2:G7)</f>
        <v>46</v>
      </c>
      <c r="H8" s="71">
        <f ca="1">SUM(H2:H7)</f>
        <v>46</v>
      </c>
      <c r="I8" s="71">
        <f ca="1">SUM(I2:I7)</f>
        <v>46</v>
      </c>
      <c r="J8" s="71">
        <f ca="1">SUM(J2:J7)</f>
        <v>46</v>
      </c>
      <c r="K8" s="71">
        <f ca="1">SUM(K2:K7)</f>
        <v>46</v>
      </c>
      <c r="L8" s="71">
        <f ca="1">SUM(L2:L7)</f>
        <v>46</v>
      </c>
      <c r="M8" s="71">
        <f ca="1">SUM(M2:M7)</f>
        <v>7</v>
      </c>
      <c r="N8" s="71">
        <f ca="1">SUM(B8:M8)</f>
        <v>513</v>
      </c>
    </row>
    <row r="9" spans="1:21" ht="15.75" customHeight="1">
      <c r="A9" s="10"/>
      <c r="B9" s="11"/>
      <c r="C9" s="11"/>
      <c r="D9" s="11"/>
      <c r="E9" s="11"/>
      <c r="F9" s="11"/>
      <c r="G9" s="11"/>
      <c r="H9" s="11"/>
      <c r="I9" s="11"/>
      <c r="J9" s="11"/>
      <c r="K9" s="11"/>
      <c r="L9" s="11"/>
      <c r="M9" s="11"/>
      <c r="N9" s="11"/>
      <c r="O9" s="11"/>
      <c r="P9" s="11"/>
    </row>
    <row r="10" spans="1:21">
      <c r="A10" s="12"/>
      <c r="B10" s="12"/>
      <c r="C10" s="12"/>
      <c r="D10" s="12"/>
      <c r="E10" s="12"/>
      <c r="F10" s="12"/>
      <c r="G10" s="12"/>
      <c r="H10" s="12"/>
      <c r="I10" s="12"/>
      <c r="J10" s="12"/>
      <c r="K10" s="12"/>
      <c r="L10" s="12"/>
      <c r="M10" s="12"/>
      <c r="N10" s="12"/>
      <c r="O10" s="12"/>
      <c r="P10" s="12"/>
      <c r="Q10" s="12"/>
      <c r="R10" s="12"/>
      <c r="S10" s="12"/>
      <c r="T10" s="12"/>
      <c r="U10" s="12"/>
    </row>
    <row r="11" spans="1:21" ht="21" customHeight="1">
      <c r="A11" s="72" t="s">
        <v>20</v>
      </c>
      <c r="B11" s="73"/>
      <c r="C11" s="74" t="s">
        <v>21</v>
      </c>
      <c r="D11" s="75"/>
      <c r="E11" s="75"/>
      <c r="F11" s="75"/>
      <c r="G11" s="75"/>
      <c r="H11" s="75"/>
      <c r="I11" s="73"/>
      <c r="J11" s="12"/>
      <c r="K11" s="74" t="s">
        <v>22</v>
      </c>
      <c r="L11" s="75"/>
      <c r="M11" s="75"/>
      <c r="N11" s="75"/>
      <c r="O11" s="75"/>
      <c r="P11" s="73"/>
      <c r="Q11" s="13"/>
      <c r="R11" s="76" t="s">
        <v>23</v>
      </c>
      <c r="S11" s="75"/>
      <c r="T11" s="73"/>
      <c r="U11" s="12"/>
    </row>
    <row r="12" spans="1:21" ht="15" customHeight="1">
      <c r="A12" s="77" t="s">
        <v>8</v>
      </c>
      <c r="B12" s="78"/>
      <c r="C12" s="79" t="s">
        <v>24</v>
      </c>
      <c r="D12" s="75"/>
      <c r="E12" s="75"/>
      <c r="F12" s="75"/>
      <c r="G12" s="75"/>
      <c r="H12" s="75"/>
      <c r="I12" s="73"/>
      <c r="J12" s="12"/>
      <c r="K12" s="79" t="s">
        <v>24</v>
      </c>
      <c r="L12" s="75"/>
      <c r="M12" s="75"/>
      <c r="N12" s="75"/>
      <c r="O12" s="75"/>
      <c r="P12" s="73"/>
      <c r="Q12" s="13"/>
      <c r="R12" s="80" t="s">
        <v>25</v>
      </c>
      <c r="S12" s="73"/>
      <c r="T12" s="81" t="s">
        <v>26</v>
      </c>
      <c r="U12" s="12"/>
    </row>
    <row r="13" spans="1:21" ht="21" customHeight="1">
      <c r="A13" s="82"/>
      <c r="B13" s="83"/>
      <c r="C13" s="84" t="s">
        <v>25</v>
      </c>
      <c r="D13" s="14" t="s">
        <v>27</v>
      </c>
      <c r="E13" s="14" t="s">
        <v>28</v>
      </c>
      <c r="F13" s="14" t="s">
        <v>29</v>
      </c>
      <c r="G13" s="14" t="s">
        <v>30</v>
      </c>
      <c r="H13" s="14" t="s">
        <v>31</v>
      </c>
      <c r="I13" s="15" t="s">
        <v>32</v>
      </c>
      <c r="J13" s="16"/>
      <c r="K13" s="84" t="s">
        <v>27</v>
      </c>
      <c r="L13" s="14" t="s">
        <v>28</v>
      </c>
      <c r="M13" s="14" t="s">
        <v>29</v>
      </c>
      <c r="N13" s="14" t="s">
        <v>30</v>
      </c>
      <c r="O13" s="14" t="s">
        <v>31</v>
      </c>
      <c r="P13" s="14" t="s">
        <v>32</v>
      </c>
      <c r="Q13" s="13"/>
      <c r="R13" s="85" t="str">
        <f>_xlfn.CONCAT("Envios - Mês de Referência - ", A12)</f>
        <v>Envios - Mês de Referência - 08.25</v>
      </c>
      <c r="S13" s="75"/>
      <c r="T13" s="73"/>
      <c r="U13" s="12"/>
    </row>
    <row r="14" spans="1:21" ht="21" customHeight="1">
      <c r="A14" s="82"/>
      <c r="B14" s="83"/>
      <c r="C14" s="86" t="s">
        <v>33</v>
      </c>
      <c r="D14" s="87">
        <f t="array" aca="1" ref="D14" ca="1">IFERROR(ROWS(_xlfn._xlws.FILTER(INDIRECT($A$12&amp;"!A2:E100"),(INDIRECT($A$12&amp;"!A2:A100")=$C14)*(INDIRECT($A$12&amp;"!E2:E100")="Enviado"))), 0)</f>
        <v>3</v>
      </c>
      <c r="E14" s="61">
        <f t="array" aca="1" ref="E14" ca="1">IFERROR(ROWS(_xlfn._xlws.FILTER(INDIRECT($A$12&amp;"!A2:E100"),(INDIRECT($A$12&amp;"!A2:A100")=$C14)*(INDIRECT($A$12&amp;"!E2:E100")="Atrasado"))), 0)</f>
        <v>0</v>
      </c>
      <c r="F14" s="63">
        <f t="array" aca="1" ref="F14" ca="1">IFERROR(ROWS(_xlfn._xlws.FILTER(INDIRECT($A$12&amp;"!A2:E100"),(INDIRECT($A$12&amp;"!A2:A100")=$C14)*(INDIRECT($A$12&amp;"!E2:E100")="Atrasado &gt;= 2"))), 0)</f>
        <v>4</v>
      </c>
      <c r="G14" s="65">
        <f t="array" aca="1" ref="G14" ca="1">IFERROR(ROWS(_xlfn._xlws.FILTER(INDIRECT($A$12&amp;"!A2:E100"),(INDIRECT($A$12&amp;"!A2:A100")=$C14)*(INDIRECT($A$12&amp;"!E2:E100")="Duplicado"))), 0)</f>
        <v>0</v>
      </c>
      <c r="H14" s="67">
        <f t="array" aca="1" ref="H14" ca="1">IFERROR(ROWS(_xlfn._xlws.FILTER(INDIRECT($A$12&amp;"!A2:E100"),(INDIRECT($A$12&amp;"!A2:A100")=$C14)*(INDIRECT($A$12&amp;"!E2:E100")="Outras Ocorrências"))), 0)</f>
        <v>1</v>
      </c>
      <c r="I14" s="69">
        <f t="array" aca="1" ref="I14" ca="1">IFERROR(ROWS(_xlfn._xlws.FILTER(INDIRECT($A$12&amp;"!A2:E100"),(INDIRECT($A$12&amp;"!A2:A100")=$C14)*(INDIRECT($A$12&amp;"!E2:E100")="Sem Técnico"))), 0)</f>
        <v>0</v>
      </c>
      <c r="J14" s="17"/>
      <c r="K14" s="88">
        <f ca="1">COUNTIF(INDIRECT("Monitoramento!$D$2:$Q$15"), "Enviado")</f>
        <v>12</v>
      </c>
      <c r="L14" s="61">
        <f ca="1">COUNTIF(INDIRECT("Monitoramento!$D$2:$Q$15"), "Atrasado")</f>
        <v>11</v>
      </c>
      <c r="M14" s="63">
        <f ca="1">COUNTIF(INDIRECT("Monitoramento!$D$2:$Q$15"), "Atrasado &gt;= 2")</f>
        <v>21</v>
      </c>
      <c r="N14" s="65">
        <f ca="1">COUNTIF(INDIRECT("Monitoramento!$D$2:$Q$15"), "Duplicado")</f>
        <v>0</v>
      </c>
      <c r="O14" s="67">
        <f ca="1">COUNTIF(INDIRECT("Monitoramento!$D$2:$Q$15"), "Outras Ocorrências")</f>
        <v>5</v>
      </c>
      <c r="P14" s="69">
        <f ca="1">COUNTIF(INDIRECT("Monitoramento!$D$2:$Q$15"), "Sem Técnico")</f>
        <v>84</v>
      </c>
      <c r="Q14" s="13"/>
      <c r="R14" s="18" t="s">
        <v>34</v>
      </c>
      <c r="S14" s="19">
        <f ca="1">VLOOKUP($T$12,$C$14:$I$18,2, FALSE)</f>
        <v>6</v>
      </c>
      <c r="T14" s="20">
        <f ca="1">S14/SUM($S$14:$S$19)</f>
        <v>0.46153846153846156</v>
      </c>
      <c r="U14" s="12"/>
    </row>
    <row r="15" spans="1:21" ht="21" customHeight="1">
      <c r="A15" s="82"/>
      <c r="B15" s="83"/>
      <c r="C15" s="89" t="s">
        <v>35</v>
      </c>
      <c r="D15" s="87">
        <f t="array" aca="1" ref="D15" ca="1">IFERROR(ROWS(_xlfn._xlws.FILTER(INDIRECT($A$12&amp;"!A2:E100"),(INDIRECT($A$12&amp;"!A2:A100")=$C15)*(INDIRECT($A$12&amp;"!E2:E100")="Enviado"))), 0)</f>
        <v>2</v>
      </c>
      <c r="E15" s="61">
        <f t="array" aca="1" ref="E15" ca="1">IFERROR(ROWS(_xlfn._xlws.FILTER(INDIRECT($A$12&amp;"!A2:E100"),(INDIRECT($A$12&amp;"!A2:A100")=$C15)*(INDIRECT($A$12&amp;"!E2:E100")="Atrasado"))), 0)</f>
        <v>0</v>
      </c>
      <c r="F15" s="63">
        <f t="array" aca="1" ref="F15" ca="1">IFERROR(ROWS(_xlfn._xlws.FILTER(INDIRECT($A$12&amp;"!A2:E100"),(INDIRECT($A$12&amp;"!A2:A100")=$C15)*(INDIRECT($A$12&amp;"!E2:E100")="Atrasado &gt;= 2"))), 0)</f>
        <v>9</v>
      </c>
      <c r="G15" s="65">
        <f t="array" aca="1" ref="G15" ca="1">IFERROR(ROWS(_xlfn._xlws.FILTER(INDIRECT($A$12&amp;"!A2:E100"),(INDIRECT($A$12&amp;"!A2:A100")=$C15)*(INDIRECT($A$12&amp;"!E2:E100")="Duplicado"))), 0)</f>
        <v>0</v>
      </c>
      <c r="H15" s="67">
        <f t="array" aca="1" ref="H15" ca="1">IFERROR(ROWS(_xlfn._xlws.FILTER(INDIRECT($A$12&amp;"!A2:E100"),(INDIRECT($A$12&amp;"!A2:A100")=$C15)*(INDIRECT($A$12&amp;"!E2:E100")="Outras Ocorrências"))), 0)</f>
        <v>0</v>
      </c>
      <c r="I15" s="69">
        <f t="array" aca="1" ref="I15" ca="1">IFERROR(ROWS(_xlfn._xlws.FILTER(INDIRECT($A$12&amp;"!A2:E100"),(INDIRECT($A$12&amp;"!A2:A100")=$C15)*(INDIRECT($A$12&amp;"!E2:E100")="Sem Técnico"))), 0)</f>
        <v>0</v>
      </c>
      <c r="J15" s="16"/>
      <c r="K15" s="88">
        <f ca="1">COUNTIF(INDIRECT("Monitoramento!$D$18:$Q$31"), "Enviado")</f>
        <v>19</v>
      </c>
      <c r="L15" s="61">
        <f ca="1">COUNTIF(INDIRECT("Monitoramento!$D$18:$Q$31"), "Atrasado")</f>
        <v>11</v>
      </c>
      <c r="M15" s="63">
        <f ca="1">COUNTIF(INDIRECT("Monitoramento!$D$18:$Q$31"), "Atrasado &gt;= 2")</f>
        <v>14</v>
      </c>
      <c r="N15" s="65">
        <f ca="1">COUNTIF(INDIRECT("Monitoramento!$D$18:$Q$31"), "Duplicado")</f>
        <v>0</v>
      </c>
      <c r="O15" s="67">
        <f ca="1">COUNTIF(INDIRECT("Monitoramento!$D$18:$Q$31"), "Outras Ocorrências")</f>
        <v>5</v>
      </c>
      <c r="P15" s="69">
        <f ca="1">COUNTIF(INDIRECT("Monitoramento!$D$18:$Q$31"), "Sem Técnico")</f>
        <v>84</v>
      </c>
      <c r="Q15" s="13"/>
      <c r="R15" s="90" t="s">
        <v>36</v>
      </c>
      <c r="S15" s="61">
        <f ca="1">VLOOKUP($T$12,$C$14:$I$18,3,FALSE)</f>
        <v>0</v>
      </c>
      <c r="T15" s="91">
        <f ca="1">S15/SUM($S$14:$S$19)</f>
        <v>0</v>
      </c>
      <c r="U15" s="12"/>
    </row>
    <row r="16" spans="1:21" ht="18.75" customHeight="1">
      <c r="A16" s="82"/>
      <c r="B16" s="83"/>
      <c r="C16" s="92" t="s">
        <v>37</v>
      </c>
      <c r="D16" s="87">
        <f t="array" aca="1" ref="D16" ca="1">IFERROR(ROWS(_xlfn._xlws.FILTER(INDIRECT($A$12&amp;"!A2:E100"),(INDIRECT($A$12&amp;"!A2:A100")=$C16)*(INDIRECT($A$12&amp;"!E2:E100")="Enviado"))), 0)</f>
        <v>8</v>
      </c>
      <c r="E16" s="61">
        <f t="array" aca="1" ref="E16" ca="1">IFERROR(ROWS(_xlfn._xlws.FILTER(INDIRECT($A$12&amp;"!A2:E100"),(INDIRECT($A$12&amp;"!A2:A100")=$C16)*(INDIRECT($A$12&amp;"!E2:E100")="Atrasado"))), 0)</f>
        <v>0</v>
      </c>
      <c r="F16" s="63">
        <f t="array" aca="1" ref="F16" ca="1">IFERROR(ROWS(_xlfn._xlws.FILTER(INDIRECT($A$12&amp;"!A2:E100"),(INDIRECT($A$12&amp;"!A2:A100")=$C16)*(INDIRECT($A$12&amp;"!E2:E100")="Atrasado &gt;= 2"))), 0)</f>
        <v>1</v>
      </c>
      <c r="G16" s="65">
        <f t="array" aca="1" ref="G16" ca="1">IFERROR(ROWS(_xlfn._xlws.FILTER(INDIRECT($A$12&amp;"!A2:E100"),(INDIRECT($A$12&amp;"!A2:A100")=$C16)*(INDIRECT($A$12&amp;"!E2:E100")="Duplicado"))), 0)</f>
        <v>0</v>
      </c>
      <c r="H16" s="67">
        <f t="array" aca="1" ref="H16" ca="1">IFERROR(ROWS(_xlfn._xlws.FILTER(INDIRECT($A$12&amp;"!A2:E100"),(INDIRECT($A$12&amp;"!A2:A100")=$C16)*(INDIRECT($A$12&amp;"!E2:E100")="Outras Ocorrências"))), 0)</f>
        <v>1</v>
      </c>
      <c r="I16" s="69">
        <f t="array" aca="1" ref="I16" ca="1">IFERROR(ROWS(_xlfn._xlws.FILTER(INDIRECT($A$12&amp;"!A2:E100"),(INDIRECT($A$12&amp;"!A2:A100")=$C16)*(INDIRECT($A$12&amp;"!E2:E100")="Sem Técnico"))), 0)</f>
        <v>0</v>
      </c>
      <c r="J16" s="17"/>
      <c r="K16" s="88">
        <f ca="1">COUNTIF(INDIRECT("Monitoramento!$D$34:$Q$47"), "Enviado")</f>
        <v>9</v>
      </c>
      <c r="L16" s="61">
        <f ca="1">COUNTIF(INDIRECT("Monitoramento!$D$34:$Q$47"), "Atrasado")</f>
        <v>6</v>
      </c>
      <c r="M16" s="63">
        <f ca="1">COUNTIF(INDIRECT("Monitoramento!$D$34:$Q$47"), "Atrasado &gt;= 2")</f>
        <v>9</v>
      </c>
      <c r="N16" s="65">
        <f ca="1">COUNTIF(INDIRECT("Monitoramento!$D$34:$Q$47"), "Duplicado")</f>
        <v>0</v>
      </c>
      <c r="O16" s="67">
        <f ca="1">COUNTIF(INDIRECT("Monitoramento!$D$34:$Q$47"), "Outras Ocorrências")</f>
        <v>0</v>
      </c>
      <c r="P16" s="69">
        <f ca="1">COUNTIF(INDIRECT("Monitoramento!$D$34:$Q$47"), "Sem Técnico")</f>
        <v>90</v>
      </c>
      <c r="Q16" s="13"/>
      <c r="R16" s="90" t="s">
        <v>38</v>
      </c>
      <c r="S16" s="63">
        <f ca="1">VLOOKUP($T$12,$C$14:$I$18,4,FALSE)</f>
        <v>5</v>
      </c>
      <c r="T16" s="93">
        <f ca="1">S16/SUM($S$14:$S$19)</f>
        <v>0.38461538461538464</v>
      </c>
      <c r="U16" s="12"/>
    </row>
    <row r="17" spans="1:21" ht="18.75" customHeight="1">
      <c r="A17" s="82"/>
      <c r="B17" s="83"/>
      <c r="C17" s="94" t="s">
        <v>39</v>
      </c>
      <c r="D17" s="87">
        <f t="array" aca="1" ref="D17" ca="1">IFERROR(ROWS(_xlfn._xlws.FILTER(INDIRECT($A$12&amp;"!A2:E100"),(INDIRECT($A$12&amp;"!A2:A100")=$C17)*(INDIRECT($A$12&amp;"!E2:E100")="Enviado"))), 0)</f>
        <v>0</v>
      </c>
      <c r="E17" s="61">
        <f t="array" aca="1" ref="E17" ca="1">IFERROR(ROWS(_xlfn._xlws.FILTER(INDIRECT($A$12&amp;"!A2:E100"),(INDIRECT($A$12&amp;"!A2:A100")=$C17)*(INDIRECT($A$12&amp;"!E2:E100")="Atrasado"))), 0)</f>
        <v>0</v>
      </c>
      <c r="F17" s="63">
        <f t="array" aca="1" ref="F17" ca="1">IFERROR(ROWS(_xlfn._xlws.FILTER(INDIRECT($A$12&amp;"!A2:E100"),(INDIRECT($A$12&amp;"!A2:A100")=$C17)*(INDIRECT($A$12&amp;"!E2:E100")="Atrasado &gt;= 2"))), 0)</f>
        <v>0</v>
      </c>
      <c r="G17" s="65">
        <f t="array" aca="1" ref="G17" ca="1">IFERROR(ROWS(_xlfn._xlws.FILTER(INDIRECT($A$12&amp;"!A2:E100"),(INDIRECT($A$12&amp;"!A2:A100")=$C17)*(INDIRECT($A$12&amp;"!E2:E100")="Duplicado"))), 0)</f>
        <v>0</v>
      </c>
      <c r="H17" s="67">
        <f t="array" aca="1" ref="H17" ca="1">IFERROR(ROWS(_xlfn._xlws.FILTER(INDIRECT($A$12&amp;"!A2:E100"),(INDIRECT($A$12&amp;"!A2:A100")=$C17)*(INDIRECT($A$12&amp;"!E2:E100")="Outras Ocorrências"))), 0)</f>
        <v>0</v>
      </c>
      <c r="I17" s="69">
        <f t="array" aca="1" ref="I17" ca="1">IFERROR(ROWS(_xlfn._xlws.FILTER(INDIRECT($A$12&amp;"!A2:E100"),(INDIRECT($A$12&amp;"!A2:A100")=$C17)*(INDIRECT($A$12&amp;"!E2:E100")="Sem Técnico"))), 0)</f>
        <v>4</v>
      </c>
      <c r="J17" s="16"/>
      <c r="K17" s="88">
        <f ca="1">COUNTIF(INDIRECT("Monitoramento!$D$50:$Q$63"), "Enviado")</f>
        <v>9</v>
      </c>
      <c r="L17" s="61">
        <f ca="1">COUNTIF(INDIRECT("Monitoramento!$D$50:$Q$63"), "Atrasado")</f>
        <v>5</v>
      </c>
      <c r="M17" s="63">
        <f ca="1">COUNTIF(INDIRECT("Monitoramento!$D$50:$Q$63"), "Atrasado &gt;= 2")</f>
        <v>6</v>
      </c>
      <c r="N17" s="65">
        <f ca="1">COUNTIF(INDIRECT("Monitoramento!$D$50:$Q$63"), "Duplicado")</f>
        <v>1</v>
      </c>
      <c r="O17" s="67">
        <f ca="1">COUNTIF(INDIRECT("Monitoramento!$D$50:$Q$63"), "Outras Ocorrências")</f>
        <v>0</v>
      </c>
      <c r="P17" s="69">
        <f ca="1">COUNTIF(INDIRECT("Monitoramento!$D$50:$Q$63"), "Sem Técnico")</f>
        <v>46</v>
      </c>
      <c r="Q17" s="13"/>
      <c r="R17" s="90" t="s">
        <v>40</v>
      </c>
      <c r="S17" s="65">
        <f ca="1">VLOOKUP($T$12,$C$14:$I$18,5,FALSE)</f>
        <v>1</v>
      </c>
      <c r="T17" s="95">
        <f ca="1">S17/SUM($S$14:$S$19)</f>
        <v>7.6923076923076927E-2</v>
      </c>
      <c r="U17" s="12"/>
    </row>
    <row r="18" spans="1:21" ht="15" customHeight="1">
      <c r="A18" s="82"/>
      <c r="B18" s="83"/>
      <c r="C18" s="96" t="s">
        <v>26</v>
      </c>
      <c r="D18" s="87">
        <f t="array" aca="1" ref="D18" ca="1">IFERROR(ROWS(_xlfn._xlws.FILTER(INDIRECT($A$12&amp;"!A2:E100"),(INDIRECT($A$12&amp;"!A2:A100")=$C18)*(INDIRECT($A$12&amp;"!E2:E100")="Enviado"))), 0)</f>
        <v>6</v>
      </c>
      <c r="E18" s="61">
        <f t="array" aca="1" ref="E18" ca="1">IFERROR(ROWS(_xlfn._xlws.FILTER(INDIRECT($A$12&amp;"!A2:E100"),(INDIRECT($A$12&amp;"!A2:A100")=$C18)*(INDIRECT($A$12&amp;"!E2:E100")="Atrasado"))), 0)</f>
        <v>0</v>
      </c>
      <c r="F18" s="63">
        <f t="array" aca="1" ref="F18" ca="1">IFERROR(ROWS(_xlfn._xlws.FILTER(INDIRECT($A$12&amp;"!A2:E100"),(INDIRECT($A$12&amp;"!A2:A100")=$C18)*(INDIRECT($A$12&amp;"!E2:E100")="Atrasado &gt;= 2"))), 0)</f>
        <v>5</v>
      </c>
      <c r="G18" s="65">
        <f t="array" aca="1" ref="G18" ca="1">IFERROR(ROWS(_xlfn._xlws.FILTER(INDIRECT($A$12&amp;"!A2:E100"),(INDIRECT($A$12&amp;"!A2:A100")=$C18)*(INDIRECT($A$12&amp;"!E2:E100")="Duplicado"))), 0)</f>
        <v>1</v>
      </c>
      <c r="H18" s="67">
        <f t="array" aca="1" ref="H18" ca="1">IFERROR(ROWS(_xlfn._xlws.FILTER(INDIRECT($A$12&amp;"!A2:E100"),(INDIRECT($A$12&amp;"!A2:A100")=$C18)*(INDIRECT($A$12&amp;"!E2:E100")="Outras Ocorrências"))), 0)</f>
        <v>0</v>
      </c>
      <c r="I18" s="69">
        <f t="array" aca="1" ref="I18" ca="1">IFERROR(ROWS(_xlfn._xlws.FILTER(INDIRECT($A$12&amp;"!A2:E100"),(INDIRECT($A$12&amp;"!A2:A100")=$C18)*(INDIRECT($A$12&amp;"!E2:E100")="Sem Técnico"))), 0)</f>
        <v>1</v>
      </c>
      <c r="J18" s="16"/>
      <c r="K18" s="97">
        <f ca="1">COUNTIF(INDIRECT("Monitoramento!$D$66:$Q$78"), "Enviado")</f>
        <v>0</v>
      </c>
      <c r="L18" s="21">
        <f ca="1">COUNTIF(INDIRECT("Monitoramento!$D$66:$Q$78"), "Atrasado")</f>
        <v>0</v>
      </c>
      <c r="M18" s="22">
        <f ca="1">COUNTIF(INDIRECT("Monitoramento!$D$66:$Q$78"), "Atrasado &gt;= 2")</f>
        <v>0</v>
      </c>
      <c r="N18" s="23">
        <f ca="1">COUNTIF(INDIRECT("Monitoramento!$D$66:$Q$78"), "Duplicado")</f>
        <v>0</v>
      </c>
      <c r="O18" s="24">
        <f ca="1">COUNTIF(INDIRECT("Monitoramento!$D$66:$Q$78"), "Outras Ocorrências")</f>
        <v>0</v>
      </c>
      <c r="P18" s="25">
        <f ca="1">COUNTIF(INDIRECT("Monitoramento!$D$66:$Q$78"), "Sem Técnico")</f>
        <v>0</v>
      </c>
      <c r="Q18" s="13"/>
      <c r="R18" s="90" t="s">
        <v>18</v>
      </c>
      <c r="S18" s="67">
        <f ca="1">VLOOKUP($T$12,$C$14:$I$18,6,FALSE)</f>
        <v>0</v>
      </c>
      <c r="T18" s="98">
        <f ca="1">S18/SUM($S$14:$S$19)</f>
        <v>0</v>
      </c>
      <c r="U18" s="12"/>
    </row>
    <row r="19" spans="1:21" ht="15" customHeight="1">
      <c r="A19" s="82"/>
      <c r="B19" s="83"/>
      <c r="C19" s="79" t="s">
        <v>41</v>
      </c>
      <c r="D19" s="75"/>
      <c r="E19" s="75"/>
      <c r="F19" s="75"/>
      <c r="G19" s="75"/>
      <c r="H19" s="75"/>
      <c r="I19" s="73"/>
      <c r="J19" s="26"/>
      <c r="K19" s="79" t="s">
        <v>41</v>
      </c>
      <c r="L19" s="75"/>
      <c r="M19" s="75"/>
      <c r="N19" s="75"/>
      <c r="O19" s="75"/>
      <c r="P19" s="73"/>
      <c r="Q19" s="13"/>
      <c r="R19" s="90" t="s">
        <v>19</v>
      </c>
      <c r="S19" s="25">
        <f ca="1">VLOOKUP($T$12,$C$14:$I$18,7,FALSE)</f>
        <v>1</v>
      </c>
      <c r="T19" s="27">
        <f ca="1">S19/SUM($S$14:$S$19)</f>
        <v>7.6923076923076927E-2</v>
      </c>
      <c r="U19" s="12"/>
    </row>
    <row r="20" spans="1:21" ht="15" customHeight="1">
      <c r="A20" s="82"/>
      <c r="B20" s="83"/>
      <c r="C20" s="80" t="s">
        <v>25</v>
      </c>
      <c r="D20" s="73"/>
      <c r="E20" s="80" t="s">
        <v>42</v>
      </c>
      <c r="F20" s="73"/>
      <c r="G20" s="80" t="s">
        <v>43</v>
      </c>
      <c r="H20" s="73"/>
      <c r="I20" s="28" t="s">
        <v>44</v>
      </c>
      <c r="J20" s="17"/>
      <c r="K20" s="55" t="s">
        <v>42</v>
      </c>
      <c r="L20" s="99"/>
      <c r="M20" s="55" t="s">
        <v>43</v>
      </c>
      <c r="N20" s="99"/>
      <c r="O20" s="55" t="s">
        <v>45</v>
      </c>
      <c r="P20" s="99"/>
      <c r="Q20" s="13"/>
      <c r="R20" s="29" t="s">
        <v>46</v>
      </c>
      <c r="S20" s="56">
        <f ca="1">VLOOKUP($T$12,$C$21:$I$25,7,FALSE)</f>
        <v>0</v>
      </c>
      <c r="T20" s="78"/>
      <c r="U20" s="12"/>
    </row>
    <row r="21" spans="1:21" ht="15" customHeight="1">
      <c r="A21" s="82"/>
      <c r="B21" s="83"/>
      <c r="C21" s="100" t="s">
        <v>33</v>
      </c>
      <c r="D21" s="73"/>
      <c r="E21" s="101">
        <f t="array" aca="1" ref="E21" ca="1">IFERROR(ROWS(_xlfn._xlws.FILTER(INDIRECT($A$12&amp;"!A2:E100"),(INDIRECT($A$12&amp;"!A2:A100")=$C21)*(INDIRECT($A$12&amp;"!G2:G100")="Sim"))), 0)</f>
        <v>0</v>
      </c>
      <c r="F21" s="73"/>
      <c r="G21" s="102">
        <f t="array" aca="1" ref="G21" ca="1">IFERROR(ROWS(_xlfn._xlws.FILTER(INDIRECT($A$12&amp;"!A2:E100"),(INDIRECT($A$12&amp;"!A2:A100")=$C21)*(INDIRECT($A$12&amp;"!G2:G100")="Não"))), 0)</f>
        <v>8</v>
      </c>
      <c r="H21" s="73"/>
      <c r="I21" s="30">
        <f ca="1">E21/SUM(E21:H21)</f>
        <v>0</v>
      </c>
      <c r="J21" s="16"/>
      <c r="K21" s="101">
        <f ca="1">COUNTIF(INDIRECT("Regionais!D2:Q15"), "Sim")</f>
        <v>84</v>
      </c>
      <c r="L21" s="73"/>
      <c r="M21" s="102">
        <f ca="1">COUNTIF(INDIRECT("Regionais!D2:Q15"), "Não")</f>
        <v>49</v>
      </c>
      <c r="N21" s="73"/>
      <c r="O21" s="103">
        <f ca="1">IFERROR(K21/SUM(K21:N21), 0)</f>
        <v>0.63157894736842102</v>
      </c>
      <c r="P21" s="73"/>
      <c r="Q21" s="13"/>
      <c r="R21" s="85" t="s">
        <v>47</v>
      </c>
      <c r="S21" s="75"/>
      <c r="T21" s="73"/>
      <c r="U21" s="12"/>
    </row>
    <row r="22" spans="1:21" ht="15" customHeight="1">
      <c r="A22" s="82"/>
      <c r="B22" s="83"/>
      <c r="C22" s="104" t="s">
        <v>35</v>
      </c>
      <c r="D22" s="73"/>
      <c r="E22" s="101">
        <f t="array" aca="1" ref="E22" ca="1">IFERROR(ROWS(_xlfn._xlws.FILTER(INDIRECT($A$12&amp;"!A2:E100"),(INDIRECT($A$12&amp;"!A2:A100")=$C22)*(INDIRECT($A$12&amp;"!G2:G100")="Sim"))), 0)</f>
        <v>0</v>
      </c>
      <c r="F22" s="73"/>
      <c r="G22" s="102">
        <f t="array" aca="1" ref="G22" ca="1">IFERROR(ROWS(_xlfn._xlws.FILTER(INDIRECT($A$12&amp;"!A2:E100"),(INDIRECT($A$12&amp;"!A2:A100")=$C22)*(INDIRECT($A$12&amp;"!G2:G100")="Não"))), 0)</f>
        <v>11</v>
      </c>
      <c r="H22" s="73"/>
      <c r="I22" s="30">
        <f ca="1">E22/SUM(E22:H22)</f>
        <v>0</v>
      </c>
      <c r="J22" s="17"/>
      <c r="K22" s="101">
        <f ca="1">COUNTIF(INDIRECT("Regionais!D18:Q31"), "Sim")</f>
        <v>84</v>
      </c>
      <c r="L22" s="73"/>
      <c r="M22" s="102">
        <f ca="1">COUNTIF(INDIRECT("Regionais!D18:Q31"), "Não")</f>
        <v>49</v>
      </c>
      <c r="N22" s="73"/>
      <c r="O22" s="103">
        <f ca="1">IFERROR(K22/SUM(K22:N22), 0)</f>
        <v>0.63157894736842102</v>
      </c>
      <c r="P22" s="73"/>
      <c r="Q22" s="13"/>
      <c r="R22" s="18" t="s">
        <v>34</v>
      </c>
      <c r="S22" s="19">
        <f ca="1">VLOOKUP($T$12,$C$13:$P$18,9,FALSE)</f>
        <v>0</v>
      </c>
      <c r="T22" s="20" t="e">
        <f ca="1">S22/SUM($S$22:$S$27)</f>
        <v>#DIV/0!</v>
      </c>
      <c r="U22" s="12"/>
    </row>
    <row r="23" spans="1:21" ht="15" customHeight="1">
      <c r="A23" s="82"/>
      <c r="B23" s="83"/>
      <c r="C23" s="105" t="s">
        <v>37</v>
      </c>
      <c r="D23" s="73"/>
      <c r="E23" s="101">
        <f t="array" aca="1" ref="E23" ca="1">IFERROR(ROWS(_xlfn._xlws.FILTER(INDIRECT($A$12&amp;"!A2:E100"),(INDIRECT($A$12&amp;"!A2:A100")=$C23)*(INDIRECT($A$12&amp;"!G2:G100")="Sim"))), 0)</f>
        <v>1</v>
      </c>
      <c r="F23" s="73"/>
      <c r="G23" s="54">
        <f t="array" aca="1" ref="G23" ca="1">IFERROR(ROWS(_xlfn._xlws.FILTER(INDIRECT($A$12&amp;"!A2:E100"),(INDIRECT($A$12&amp;"!A2:A100")=$C23)*(INDIRECT($A$12&amp;"!G2:G100")="Não"))), 0)</f>
        <v>9</v>
      </c>
      <c r="H23" s="78"/>
      <c r="I23" s="31">
        <f ca="1">E23/SUM(E23:H23)</f>
        <v>0.1</v>
      </c>
      <c r="J23" s="17"/>
      <c r="K23" s="101">
        <f ca="1">COUNTIF(INDIRECT("Regionais!D34:Q47"), "Sim")</f>
        <v>70</v>
      </c>
      <c r="L23" s="73"/>
      <c r="M23" s="102">
        <f ca="1">COUNTIF(INDIRECT("Regionais!D34:Q47"), "Não")</f>
        <v>44</v>
      </c>
      <c r="N23" s="73"/>
      <c r="O23" s="103">
        <f ca="1">IFERROR(K23/SUM(K23:N23), 0)</f>
        <v>0.61403508771929827</v>
      </c>
      <c r="P23" s="73"/>
      <c r="Q23" s="13"/>
      <c r="R23" s="90" t="s">
        <v>36</v>
      </c>
      <c r="S23" s="61">
        <f ca="1">VLOOKUP($T$12,$C$13:$P$18,10,FALSE)</f>
        <v>0</v>
      </c>
      <c r="T23" s="91" t="e">
        <f ca="1">S23/SUM($S$22:$S$27)</f>
        <v>#DIV/0!</v>
      </c>
      <c r="U23" s="12"/>
    </row>
    <row r="24" spans="1:21" ht="15" customHeight="1">
      <c r="A24" s="82"/>
      <c r="B24" s="83"/>
      <c r="C24" s="106" t="s">
        <v>39</v>
      </c>
      <c r="D24" s="73"/>
      <c r="E24" s="53">
        <f t="array" aca="1" ref="E24" ca="1">IFERROR(ROWS(_xlfn._xlws.FILTER(INDIRECT($A$12&amp;"!A2:E100"),(INDIRECT($A$12&amp;"!A2:A100")=$C24)*(INDIRECT($A$12&amp;"!G2:G100")="Sim"))), 0)</f>
        <v>0</v>
      </c>
      <c r="F24" s="75"/>
      <c r="G24" s="102">
        <f t="array" aca="1" ref="G24" ca="1">IFERROR(ROWS(_xlfn._xlws.FILTER(INDIRECT($A$12&amp;"!A2:E100"),(INDIRECT($A$12&amp;"!A2:A100")=$C24)*(INDIRECT($A$12&amp;"!G2:G100")="Não"))), 0)</f>
        <v>4</v>
      </c>
      <c r="H24" s="73"/>
      <c r="I24" s="107">
        <f ca="1">E24/SUM(E24:H24)</f>
        <v>0</v>
      </c>
      <c r="J24" s="12"/>
      <c r="K24" s="101">
        <f ca="1">COUNTIF(INDIRECT("Regionais!D50:Q63"), "Sim")</f>
        <v>41</v>
      </c>
      <c r="L24" s="73"/>
      <c r="M24" s="102">
        <f ca="1">COUNTIF(INDIRECT("Regionais!D50:Q63"), "Não")</f>
        <v>26</v>
      </c>
      <c r="N24" s="73"/>
      <c r="O24" s="103">
        <f ca="1">IFERROR(K24/SUM(K24:N24), 0)</f>
        <v>0.61194029850746268</v>
      </c>
      <c r="P24" s="73"/>
      <c r="Q24" s="13"/>
      <c r="R24" s="90" t="s">
        <v>38</v>
      </c>
      <c r="S24" s="63">
        <f ca="1">VLOOKUP($T$12,$C$13:$P$18,11,FALSE)</f>
        <v>0</v>
      </c>
      <c r="T24" s="93" t="e">
        <f ca="1">S24/SUM($S$22:$S$27)</f>
        <v>#DIV/0!</v>
      </c>
      <c r="U24" s="12"/>
    </row>
    <row r="25" spans="1:21">
      <c r="A25" s="82"/>
      <c r="B25" s="83"/>
      <c r="C25" s="108" t="s">
        <v>26</v>
      </c>
      <c r="D25" s="73"/>
      <c r="E25" s="101">
        <f t="array" aca="1" ref="E25" ca="1">IFERROR(ROWS(_xlfn._xlws.FILTER(INDIRECT($A$12&amp;"!A2:E100"),(INDIRECT($A$12&amp;"!A2:A100")=$C25)*(INDIRECT($A$12&amp;"!G2:G100")="Sim"))), 0)</f>
        <v>0</v>
      </c>
      <c r="F25" s="73"/>
      <c r="G25" s="57">
        <f t="array" aca="1" ref="G25" ca="1">IFERROR(ROWS(_xlfn._xlws.FILTER(INDIRECT($A$12&amp;"!A2:E100"),(INDIRECT($A$12&amp;"!A2:A100")=$C25)*(INDIRECT($A$12&amp;"!G2:G100")="Não"))), 0)</f>
        <v>13</v>
      </c>
      <c r="H25" s="99"/>
      <c r="I25" s="32">
        <f ca="1">E25/SUM(E25:H25)</f>
        <v>0</v>
      </c>
      <c r="J25" s="12"/>
      <c r="K25" s="101">
        <f ca="1">COUNTIF(INDIRECT("Regionais!D66:Q78"), "Sim")</f>
        <v>0</v>
      </c>
      <c r="L25" s="73"/>
      <c r="M25" s="102">
        <f ca="1">COUNTIF(INDIRECT("Regionais!D66:Q78"), "Não")</f>
        <v>0</v>
      </c>
      <c r="N25" s="73"/>
      <c r="O25" s="103">
        <f ca="1">IFERROR(K25/SUM(K25:N25), 0)</f>
        <v>0</v>
      </c>
      <c r="P25" s="73"/>
      <c r="Q25" s="13"/>
      <c r="R25" s="90" t="s">
        <v>40</v>
      </c>
      <c r="S25" s="65">
        <f ca="1">VLOOKUP($T$12,$C$13:$P$18,12,FALSE)</f>
        <v>0</v>
      </c>
      <c r="T25" s="95" t="e">
        <f ca="1">S25/SUM($S$22:$S$27)</f>
        <v>#DIV/0!</v>
      </c>
      <c r="U25" s="12"/>
    </row>
    <row r="26" spans="1:21">
      <c r="A26" s="13"/>
      <c r="B26" s="13"/>
      <c r="C26" s="13"/>
      <c r="D26" s="13"/>
      <c r="E26" s="13"/>
      <c r="F26" s="13"/>
      <c r="G26" s="13"/>
      <c r="H26" s="13"/>
      <c r="I26" s="13"/>
      <c r="J26" s="12"/>
      <c r="K26" s="13"/>
      <c r="L26" s="13"/>
      <c r="M26" s="13"/>
      <c r="N26" s="13"/>
      <c r="O26" s="13"/>
      <c r="P26" s="13"/>
      <c r="Q26" s="13"/>
      <c r="R26" s="90" t="s">
        <v>18</v>
      </c>
      <c r="S26" s="67">
        <f ca="1">VLOOKUP($T$12,$C$13:$P$18,13,FALSE)</f>
        <v>0</v>
      </c>
      <c r="T26" s="98" t="e">
        <f ca="1">S26/SUM($S$22:$S$27)</f>
        <v>#DIV/0!</v>
      </c>
      <c r="U26" s="12"/>
    </row>
    <row r="27" spans="1:21">
      <c r="A27" s="13"/>
      <c r="B27" s="13"/>
      <c r="C27" s="13"/>
      <c r="D27" s="13"/>
      <c r="E27" s="13"/>
      <c r="F27" s="13"/>
      <c r="G27" s="13"/>
      <c r="H27" s="13"/>
      <c r="I27" s="13"/>
      <c r="J27" s="12"/>
      <c r="K27" s="13"/>
      <c r="L27" s="13"/>
      <c r="M27" s="13"/>
      <c r="N27" s="13"/>
      <c r="O27" s="13"/>
      <c r="P27" s="13"/>
      <c r="Q27" s="13"/>
      <c r="R27" s="90" t="s">
        <v>19</v>
      </c>
      <c r="S27" s="25">
        <f ca="1">VLOOKUP($T$12,$C$13:$P$18,14,FALSE)</f>
        <v>0</v>
      </c>
      <c r="T27" s="27" t="e">
        <f ca="1">S27/SUM($S$22:$S$27)</f>
        <v>#DIV/0!</v>
      </c>
      <c r="U27" s="12"/>
    </row>
    <row r="28" spans="1:21">
      <c r="A28" s="13"/>
      <c r="B28" s="13"/>
      <c r="C28" s="13"/>
      <c r="D28" s="13"/>
      <c r="E28" s="13"/>
      <c r="F28" s="13"/>
      <c r="G28" s="13"/>
      <c r="H28" s="13"/>
      <c r="I28" s="13"/>
      <c r="J28" s="12"/>
      <c r="K28" s="13"/>
      <c r="L28" s="13"/>
      <c r="M28" s="13"/>
      <c r="N28" s="13"/>
      <c r="O28" s="13"/>
      <c r="P28" s="13"/>
      <c r="Q28" s="13"/>
      <c r="R28" s="33" t="s">
        <v>46</v>
      </c>
      <c r="S28" s="109">
        <f ca="1">VLOOKUP($T$12,$C$20:$P$25,13,FALSE)</f>
        <v>0</v>
      </c>
      <c r="T28" s="73"/>
      <c r="U28" s="12"/>
    </row>
    <row r="29" spans="1:21">
      <c r="A29" s="12"/>
      <c r="B29" s="12"/>
      <c r="C29" s="12"/>
      <c r="D29" s="12"/>
      <c r="E29" s="12"/>
      <c r="F29" s="12"/>
      <c r="G29" s="12"/>
      <c r="H29" s="12"/>
      <c r="I29" s="12"/>
      <c r="J29" s="12"/>
      <c r="K29" s="12"/>
      <c r="L29" s="12"/>
      <c r="M29" s="12"/>
      <c r="N29" s="12"/>
      <c r="O29" s="12"/>
      <c r="P29" s="12"/>
      <c r="Q29" s="12"/>
      <c r="R29" s="12"/>
      <c r="S29" s="12"/>
      <c r="T29" s="12"/>
      <c r="U29" s="12"/>
    </row>
  </sheetData>
  <mergeCells count="50">
    <mergeCell ref="R11:T11"/>
    <mergeCell ref="E25:F25"/>
    <mergeCell ref="M23:N23"/>
    <mergeCell ref="S20:T20"/>
    <mergeCell ref="G25:H25"/>
    <mergeCell ref="O23:P23"/>
    <mergeCell ref="R13:T13"/>
    <mergeCell ref="C12:I12"/>
    <mergeCell ref="E22:F22"/>
    <mergeCell ref="G22:H22"/>
    <mergeCell ref="K11:P11"/>
    <mergeCell ref="E21:F21"/>
    <mergeCell ref="A12:B25"/>
    <mergeCell ref="G24:H24"/>
    <mergeCell ref="K23:L23"/>
    <mergeCell ref="C23:D23"/>
    <mergeCell ref="M24:N24"/>
    <mergeCell ref="G20:H20"/>
    <mergeCell ref="S28:T28"/>
    <mergeCell ref="K22:L22"/>
    <mergeCell ref="M22:N22"/>
    <mergeCell ref="O22:P22"/>
    <mergeCell ref="R12:S12"/>
    <mergeCell ref="M25:N25"/>
    <mergeCell ref="M21:N21"/>
    <mergeCell ref="O25:P25"/>
    <mergeCell ref="O21:P21"/>
    <mergeCell ref="K19:P19"/>
    <mergeCell ref="A11:B11"/>
    <mergeCell ref="O24:P24"/>
    <mergeCell ref="E23:F23"/>
    <mergeCell ref="G23:H23"/>
    <mergeCell ref="R21:T21"/>
    <mergeCell ref="K12:P12"/>
    <mergeCell ref="C19:I19"/>
    <mergeCell ref="K21:L21"/>
    <mergeCell ref="C20:D20"/>
    <mergeCell ref="E20:F20"/>
    <mergeCell ref="K20:L20"/>
    <mergeCell ref="M20:N20"/>
    <mergeCell ref="O20:P20"/>
    <mergeCell ref="C22:D22"/>
    <mergeCell ref="C11:I11"/>
    <mergeCell ref="C21:D21"/>
    <mergeCell ref="G21:H21"/>
    <mergeCell ref="K25:L25"/>
    <mergeCell ref="C24:D24"/>
    <mergeCell ref="E24:F24"/>
    <mergeCell ref="K24:L24"/>
    <mergeCell ref="C25:D25"/>
  </mergeCells>
  <conditionalFormatting sqref="T12">
    <cfRule type="cellIs" dxfId="154" priority="5" operator="equal">
      <formula>"Coripa"</formula>
    </cfRule>
    <cfRule type="cellIs" dxfId="153" priority="6" operator="equal">
      <formula>"Comafen"</formula>
    </cfRule>
    <cfRule type="cellIs" dxfId="152" priority="7" operator="equal">
      <formula>"Cibax"</formula>
    </cfRule>
    <cfRule type="cellIs" dxfId="151" priority="8" operator="equal">
      <formula>"Cifra"</formula>
    </cfRule>
    <cfRule type="cellIs" dxfId="150" priority="9" operator="equal">
      <formula>"Conisul"</formula>
    </cfRule>
  </conditionalFormatting>
  <conditionalFormatting sqref="I21:I25 O21:O25 S20 S28">
    <cfRule type="cellIs" dxfId="149" priority="1" operator="lessThanOrEqual">
      <formula>0.25</formula>
    </cfRule>
    <cfRule type="cellIs" dxfId="148" priority="2" operator="lessThanOrEqual">
      <formula>0.5</formula>
    </cfRule>
    <cfRule type="cellIs" dxfId="147" priority="3" operator="lessThanOrEqual">
      <formula>0.75</formula>
    </cfRule>
    <cfRule type="cellIs" dxfId="146" priority="4" operator="lessThanOrEqual">
      <formula>1</formula>
    </cfRule>
  </conditionalFormatting>
  <dataValidations count="2">
    <dataValidation type="list" showInputMessage="1" showErrorMessage="1" sqref="A12" xr:uid="{00000000-0002-0000-0000-000000000000}">
      <formula1>"11.24,12.24,01.25,02.25,03.25,04.25,05.25,06.25,07.25,08.25,09.25,10.25,11.25,12.25"</formula1>
    </dataValidation>
    <dataValidation type="list" showInputMessage="1" showErrorMessage="1" sqref="T12" xr:uid="{00000000-0002-0000-0000-000001000000}">
      <formula1>$C$14:$C$18</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9"/>
  <sheetViews>
    <sheetView tabSelected="1" workbookViewId="0">
      <selection activeCell="K12" sqref="K12:M22"/>
    </sheetView>
  </sheetViews>
  <sheetFormatPr defaultRowHeight="15"/>
  <cols>
    <col min="2" max="2" width="31.140625" customWidth="1"/>
    <col min="3" max="3" width="8.5703125" customWidth="1"/>
    <col min="4" max="4" width="15" hidden="1" customWidth="1"/>
    <col min="5" max="5" width="16.140625" hidden="1" customWidth="1"/>
    <col min="6" max="6" width="16.85546875" hidden="1" customWidth="1"/>
    <col min="7" max="7" width="18.5703125" hidden="1" customWidth="1"/>
    <col min="8" max="8" width="16.7109375" hidden="1" customWidth="1"/>
    <col min="9" max="9" width="17" hidden="1" customWidth="1"/>
    <col min="10" max="10" width="19" hidden="1" customWidth="1"/>
    <col min="11" max="11" width="23.7109375" customWidth="1"/>
    <col min="12" max="12" width="20" customWidth="1"/>
    <col min="13" max="13" width="20.140625" customWidth="1"/>
    <col min="14" max="14" width="19.85546875" customWidth="1"/>
    <col min="15" max="15" width="20.7109375" customWidth="1"/>
  </cols>
  <sheetData>
    <row r="1" spans="1:15" ht="15.75" customHeight="1">
      <c r="A1" s="34" t="s">
        <v>25</v>
      </c>
      <c r="B1" s="34" t="s">
        <v>48</v>
      </c>
      <c r="C1" s="34" t="s">
        <v>49</v>
      </c>
      <c r="D1" s="110" t="s">
        <v>1</v>
      </c>
      <c r="E1" s="110" t="s">
        <v>2</v>
      </c>
      <c r="F1" s="110" t="s">
        <v>3</v>
      </c>
      <c r="G1" s="110" t="s">
        <v>4</v>
      </c>
      <c r="H1" s="110" t="s">
        <v>5</v>
      </c>
      <c r="I1" s="110" t="s">
        <v>6</v>
      </c>
      <c r="J1" s="111" t="s">
        <v>7</v>
      </c>
      <c r="K1" s="111" t="s">
        <v>8</v>
      </c>
      <c r="L1" s="111" t="s">
        <v>9</v>
      </c>
      <c r="M1" s="111" t="s">
        <v>10</v>
      </c>
      <c r="N1" s="111" t="s">
        <v>11</v>
      </c>
      <c r="O1" s="111" t="s">
        <v>12</v>
      </c>
    </row>
    <row r="2" spans="1:15" ht="15.75" customHeight="1">
      <c r="A2" s="86" t="s">
        <v>33</v>
      </c>
      <c r="B2" s="112" t="s">
        <v>50</v>
      </c>
      <c r="C2" s="90">
        <v>1</v>
      </c>
      <c r="D2" s="113" t="str">
        <f t="array" aca="1" ref="D2" ca="1">IF(
    VLOOKUP(
        $A2,
        _xlfn._xlws.FILTER(
            INDIRECT("'"&amp;D$1&amp;"'!A2:E1000"), (INDIRECT("'"&amp;D$1&amp;"'!B2:B1000")=$B2) * (INDIRECT("'"&amp;D$1&amp;"'!C2:C1000")=$C2)
        ),
        5,
        FALSE
    )=0,
    "",
    VLOOKUP(
        $A2,
        _xlfn._xlws.FILTER(
            INDIRECT("'"&amp;D$1&amp;"'!A2:E1000"), (INDIRECT("'"&amp;D$1&amp;"'!B2:B1000")=$B2) * (INDIRECT("'"&amp;D$1&amp;"'!C2:C1000")=$C2)
        ),
        5,
        FALSE
    )
)</f>
        <v>Sem Técnico</v>
      </c>
      <c r="E2" s="113" t="str">
        <f t="array" aca="1" ref="E2" ca="1">IF(
    VLOOKUP(
        $A2,
        _xlfn._xlws.FILTER(
            INDIRECT("'"&amp;E$1&amp;"'!A2:E1000"), (INDIRECT("'"&amp;E$1&amp;"'!B2:B1000")=$B2) * (INDIRECT("'"&amp;E$1&amp;"'!C2:C1000")=$C2)
        ),
        5,
        FALSE
    )=0,
    "",
    VLOOKUP(
        $A2,
        _xlfn._xlws.FILTER(
            INDIRECT("'"&amp;E$1&amp;"'!A2:E1000"), (INDIRECT("'"&amp;E$1&amp;"'!B2:B1000")=$B2) * (INDIRECT("'"&amp;E$1&amp;"'!C2:C1000")=$C2)
        ),
        5,
        FALSE
    )
)</f>
        <v>Sem Técnico</v>
      </c>
      <c r="F2" s="113" t="str">
        <f t="array" aca="1" ref="F2" ca="1">IF(
    VLOOKUP(
        $A2,
        _xlfn._xlws.FILTER(
            INDIRECT("'"&amp;F$1&amp;"'!A2:E1000"), (INDIRECT("'"&amp;F$1&amp;"'!B2:B1000")=$B2) * (INDIRECT("'"&amp;F$1&amp;"'!C2:C1000")=$C2)
        ),
        5,
        FALSE
    )=0,
    "",
    VLOOKUP(
        $A2,
        _xlfn._xlws.FILTER(
            INDIRECT("'"&amp;F$1&amp;"'!A2:E1000"), (INDIRECT("'"&amp;F$1&amp;"'!B2:B1000")=$B2) * (INDIRECT("'"&amp;F$1&amp;"'!C2:C1000")=$C2)
        ),
        5,
        FALSE
    )
)</f>
        <v>Sem Técnico</v>
      </c>
      <c r="G2" s="113" t="str">
        <f t="array" aca="1" ref="G2" ca="1">IF(
    VLOOKUP(
        $A2,
        _xlfn._xlws.FILTER(
            INDIRECT("'"&amp;G$1&amp;"'!A2:E1000"), (INDIRECT("'"&amp;G$1&amp;"'!B2:B1000")=$B2) * (INDIRECT("'"&amp;G$1&amp;"'!C2:C1000")=$C2)
        ),
        5,
        FALSE
    )=0,
    "",
    VLOOKUP(
        $A2,
        _xlfn._xlws.FILTER(
            INDIRECT("'"&amp;G$1&amp;"'!A2:E1000"), (INDIRECT("'"&amp;G$1&amp;"'!B2:B1000")=$B2) * (INDIRECT("'"&amp;G$1&amp;"'!C2:C1000")=$C2)
        ),
        5,
        FALSE
    )
)</f>
        <v>Sem Técnico</v>
      </c>
      <c r="H2" s="113" t="str">
        <f t="array" aca="1" ref="H2" ca="1">IF(
    VLOOKUP(
        $A2,
        _xlfn._xlws.FILTER(
            INDIRECT("'"&amp;H$1&amp;"'!A2:E1000"), (INDIRECT("'"&amp;H$1&amp;"'!B2:B1000")=$B2) * (INDIRECT("'"&amp;H$1&amp;"'!C2:C1000")=$C2)
        ),
        5,
        FALSE
    )=0,
    "",
    VLOOKUP(
        $A2,
        _xlfn._xlws.FILTER(
            INDIRECT("'"&amp;H$1&amp;"'!A2:E1000"), (INDIRECT("'"&amp;H$1&amp;"'!B2:B1000")=$B2) * (INDIRECT("'"&amp;H$1&amp;"'!C2:C1000")=$C2)
        ),
        5,
        FALSE
    )
)</f>
        <v>Sem Técnico</v>
      </c>
      <c r="I2" s="113" t="str">
        <f t="array" aca="1" ref="I2" ca="1">IF(
    VLOOKUP(
        $A2,
        _xlfn._xlws.FILTER(
            INDIRECT("'"&amp;I$1&amp;"'!A2:E1000"), (INDIRECT("'"&amp;I$1&amp;"'!B2:B1000")=$B2) * (INDIRECT("'"&amp;I$1&amp;"'!C2:C1000")=$C2)
        ),
        5,
        FALSE
    )=0,
    "",
    VLOOKUP(
        $A2,
        _xlfn._xlws.FILTER(
            INDIRECT("'"&amp;I$1&amp;"'!A2:E1000"), (INDIRECT("'"&amp;I$1&amp;"'!B2:B1000")=$B2) * (INDIRECT("'"&amp;I$1&amp;"'!C2:C1000")=$C2)
        ),
        5,
        FALSE
    )
)</f>
        <v>Sem Técnico</v>
      </c>
      <c r="J2" s="113" t="str">
        <f t="array" aca="1" ref="J2" ca="1">IF(
    VLOOKUP(
        $A2,
        _xlfn._xlws.FILTER(
            INDIRECT("'"&amp;J$1&amp;"'!A2:E1000"), (INDIRECT("'"&amp;J$1&amp;"'!B2:B1000")=$B2) * (INDIRECT("'"&amp;J$1&amp;"'!C2:C1000")=$C2)
        ),
        5,
        FALSE
    )=0,
    "",
    VLOOKUP(
        $A2,
        _xlfn._xlws.FILTER(
            INDIRECT("'"&amp;J$1&amp;"'!A2:E1000"), (INDIRECT("'"&amp;J$1&amp;"'!B2:B1000")=$B2) * (INDIRECT("'"&amp;J$1&amp;"'!C2:C1000")=$C2)
        ),
        5,
        FALSE
    )
)</f>
        <v>Sem Técnico</v>
      </c>
      <c r="K2" s="113" t="str">
        <f t="array" aca="1" ref="K2" ca="1">IF(
    VLOOKUP(
        $A2,
        _xlfn._xlws.FILTER(
            INDIRECT("'"&amp;K$1&amp;"'!A2:E1000"), (INDIRECT("'"&amp;K$1&amp;"'!B2:B1000")=$B2) * (INDIRECT("'"&amp;K$1&amp;"'!C2:C1000")=$C2)
        ),
        5,
        FALSE
    )=0,
    "",
    VLOOKUP(
        $A2,
        _xlfn._xlws.FILTER(
            INDIRECT("'"&amp;K$1&amp;"'!A2:E1000"), (INDIRECT("'"&amp;K$1&amp;"'!B2:B1000")=$B2) * (INDIRECT("'"&amp;K$1&amp;"'!C2:C1000")=$C2)
        ),
        5,
        FALSE
    )
)</f>
        <v>Outras Ocorrências</v>
      </c>
      <c r="L2" s="113" t="str">
        <f t="array" aca="1" ref="L2" ca="1">IF(
    VLOOKUP(
        $A2,
        _xlfn._xlws.FILTER(
            INDIRECT("'"&amp;L$1&amp;"'!A2:E1000"), (INDIRECT("'"&amp;L$1&amp;"'!B2:B1000")=$B2) * (INDIRECT("'"&amp;L$1&amp;"'!C2:C1000")=$C2)
        ),
        5,
        FALSE
    )=0,
    "",
    VLOOKUP(
        $A2,
        _xlfn._xlws.FILTER(
            INDIRECT("'"&amp;L$1&amp;"'!A2:E1000"), (INDIRECT("'"&amp;L$1&amp;"'!B2:B1000")=$B2) * (INDIRECT("'"&amp;L$1&amp;"'!C2:C1000")=$C2)
        ),
        5,
        FALSE
    )
)</f>
        <v>Outras Ocorrências</v>
      </c>
      <c r="M2" s="113" t="str">
        <f t="array" aca="1" ref="M2" ca="1">IF(
    VLOOKUP(
        $A2,
        _xlfn._xlws.FILTER(
            INDIRECT("'"&amp;M$1&amp;"'!A2:E1000"), (INDIRECT("'"&amp;M$1&amp;"'!B2:B1000")=$B2) * (INDIRECT("'"&amp;M$1&amp;"'!C2:C1000")=$C2)
        ),
        5,
        FALSE
    )=0,
    "",
    VLOOKUP(
        $A2,
        _xlfn._xlws.FILTER(
            INDIRECT("'"&amp;M$1&amp;"'!A2:E1000"), (INDIRECT("'"&amp;M$1&amp;"'!B2:B1000")=$B2) * (INDIRECT("'"&amp;M$1&amp;"'!C2:C1000")=$C2)
        ),
        5,
        FALSE
    )
)</f>
        <v>Outras Ocorrências</v>
      </c>
      <c r="N2" s="113" t="str">
        <f t="array" aca="1" ref="N2" ca="1">IF(
    VLOOKUP(
        $A2,
        _xlfn._xlws.FILTER(
            INDIRECT("'"&amp;N$1&amp;"'!A2:E1000"), (INDIRECT("'"&amp;N$1&amp;"'!B2:B1000")=$B2) * (INDIRECT("'"&amp;N$1&amp;"'!C2:C1000")=$C2)
        ),
        5,
        FALSE
    )=0,
    "",
    VLOOKUP(
        $A2,
        _xlfn._xlws.FILTER(
            INDIRECT("'"&amp;N$1&amp;"'!A2:E1000"), (INDIRECT("'"&amp;N$1&amp;"'!B2:B1000")=$B2) * (INDIRECT("'"&amp;N$1&amp;"'!C2:C1000")=$C2)
        ),
        5,
        FALSE
    )
)</f>
        <v>Outras Ocorrências</v>
      </c>
      <c r="O2" s="113" t="str">
        <f t="array" aca="1" ref="O2" ca="1">IF(
    VLOOKUP(
        $A2,
        _xlfn._xlws.FILTER(
            INDIRECT("'"&amp;O$1&amp;"'!A2:E1000"), (INDIRECT("'"&amp;O$1&amp;"'!B2:B1000")=$B2) * (INDIRECT("'"&amp;O$1&amp;"'!C2:C1000")=$C2)
        ),
        5,
        FALSE
    )=0,
    "",
    VLOOKUP(
        $A2,
        _xlfn._xlws.FILTER(
            INDIRECT("'"&amp;O$1&amp;"'!A2:E1000"), (INDIRECT("'"&amp;O$1&amp;"'!B2:B1000")=$B2) * (INDIRECT("'"&amp;O$1&amp;"'!C2:C1000")=$C2)
        ),
        5,
        FALSE
    )
)</f>
        <v>Outras Ocorrências</v>
      </c>
    </row>
    <row r="3" spans="1:15" ht="15.75" customHeight="1">
      <c r="A3" s="86" t="s">
        <v>33</v>
      </c>
      <c r="B3" s="112" t="s">
        <v>51</v>
      </c>
      <c r="C3" s="90">
        <v>1</v>
      </c>
      <c r="D3" s="113" t="str">
        <f t="array" aca="1" ref="D3" ca="1">IF(
    VLOOKUP(
        $A3,
        _xlfn._xlws.FILTER(
            INDIRECT("'"&amp;D$1&amp;"'!A2:E1000"), (INDIRECT("'"&amp;D$1&amp;"'!B2:B1000")=$B3) * (INDIRECT("'"&amp;D$1&amp;"'!C2:C1000")=$C3)
        ),
        5,
        FALSE
    )=0,
    "",
    VLOOKUP(
        $A3,
        _xlfn._xlws.FILTER(
            INDIRECT("'"&amp;D$1&amp;"'!A2:E1000"), (INDIRECT("'"&amp;D$1&amp;"'!B2:B1000")=$B3) * (INDIRECT("'"&amp;D$1&amp;"'!C2:C1000")=$C3)
        ),
        5,
        FALSE
    )
)</f>
        <v>Sem Técnico</v>
      </c>
      <c r="E3" s="113" t="str">
        <f t="array" aca="1" ref="E3" ca="1">IF(
    VLOOKUP(
        $A3,
        _xlfn._xlws.FILTER(
            INDIRECT("'"&amp;E$1&amp;"'!A2:E1000"), (INDIRECT("'"&amp;E$1&amp;"'!B2:B1000")=$B3) * (INDIRECT("'"&amp;E$1&amp;"'!C2:C1000")=$C3)
        ),
        5,
        FALSE
    )=0,
    "",
    VLOOKUP(
        $A3,
        _xlfn._xlws.FILTER(
            INDIRECT("'"&amp;E$1&amp;"'!A2:E1000"), (INDIRECT("'"&amp;E$1&amp;"'!B2:B1000")=$B3) * (INDIRECT("'"&amp;E$1&amp;"'!C2:C1000")=$C3)
        ),
        5,
        FALSE
    )
)</f>
        <v>Sem Técnico</v>
      </c>
      <c r="F3" s="113" t="str">
        <f t="array" aca="1" ref="F3" ca="1">IF(
    VLOOKUP(
        $A3,
        _xlfn._xlws.FILTER(
            INDIRECT("'"&amp;F$1&amp;"'!A2:E1000"), (INDIRECT("'"&amp;F$1&amp;"'!B2:B1000")=$B3) * (INDIRECT("'"&amp;F$1&amp;"'!C2:C1000")=$C3)
        ),
        5,
        FALSE
    )=0,
    "",
    VLOOKUP(
        $A3,
        _xlfn._xlws.FILTER(
            INDIRECT("'"&amp;F$1&amp;"'!A2:E1000"), (INDIRECT("'"&amp;F$1&amp;"'!B2:B1000")=$B3) * (INDIRECT("'"&amp;F$1&amp;"'!C2:C1000")=$C3)
        ),
        5,
        FALSE
    )
)</f>
        <v>Sem Técnico</v>
      </c>
      <c r="G3" s="113" t="str">
        <f t="array" aca="1" ref="G3" ca="1">IF(
    VLOOKUP(
        $A3,
        _xlfn._xlws.FILTER(
            INDIRECT("'"&amp;G$1&amp;"'!A2:E1000"), (INDIRECT("'"&amp;G$1&amp;"'!B2:B1000")=$B3) * (INDIRECT("'"&amp;G$1&amp;"'!C2:C1000")=$C3)
        ),
        5,
        FALSE
    )=0,
    "",
    VLOOKUP(
        $A3,
        _xlfn._xlws.FILTER(
            INDIRECT("'"&amp;G$1&amp;"'!A2:E1000"), (INDIRECT("'"&amp;G$1&amp;"'!B2:B1000")=$B3) * (INDIRECT("'"&amp;G$1&amp;"'!C2:C1000")=$C3)
        ),
        5,
        FALSE
    )
)</f>
        <v>Sem Técnico</v>
      </c>
      <c r="H3" s="113" t="str">
        <f t="array" aca="1" ref="H3" ca="1">IF(
    VLOOKUP(
        $A3,
        _xlfn._xlws.FILTER(
            INDIRECT("'"&amp;H$1&amp;"'!A2:E1000"), (INDIRECT("'"&amp;H$1&amp;"'!B2:B1000")=$B3) * (INDIRECT("'"&amp;H$1&amp;"'!C2:C1000")=$C3)
        ),
        5,
        FALSE
    )=0,
    "",
    VLOOKUP(
        $A3,
        _xlfn._xlws.FILTER(
            INDIRECT("'"&amp;H$1&amp;"'!A2:E1000"), (INDIRECT("'"&amp;H$1&amp;"'!B2:B1000")=$B3) * (INDIRECT("'"&amp;H$1&amp;"'!C2:C1000")=$C3)
        ),
        5,
        FALSE
    )
)</f>
        <v>Sem Técnico</v>
      </c>
      <c r="I3" s="113" t="str">
        <f t="array" aca="1" ref="I3" ca="1">IF(
    VLOOKUP(
        $A3,
        _xlfn._xlws.FILTER(
            INDIRECT("'"&amp;I$1&amp;"'!A2:E1000"), (INDIRECT("'"&amp;I$1&amp;"'!B2:B1000")=$B3) * (INDIRECT("'"&amp;I$1&amp;"'!C2:C1000")=$C3)
        ),
        5,
        FALSE
    )=0,
    "",
    VLOOKUP(
        $A3,
        _xlfn._xlws.FILTER(
            INDIRECT("'"&amp;I$1&amp;"'!A2:E1000"), (INDIRECT("'"&amp;I$1&amp;"'!B2:B1000")=$B3) * (INDIRECT("'"&amp;I$1&amp;"'!C2:C1000")=$C3)
        ),
        5,
        FALSE
    )
)</f>
        <v>Sem Técnico</v>
      </c>
      <c r="J3" s="113" t="str">
        <f t="array" aca="1" ref="J3" ca="1">IF(
    VLOOKUP(
        $A3,
        _xlfn._xlws.FILTER(
            INDIRECT("'"&amp;J$1&amp;"'!A2:E1000"), (INDIRECT("'"&amp;J$1&amp;"'!B2:B1000")=$B3) * (INDIRECT("'"&amp;J$1&amp;"'!C2:C1000")=$C3)
        ),
        5,
        FALSE
    )=0,
    "",
    VLOOKUP(
        $A3,
        _xlfn._xlws.FILTER(
            INDIRECT("'"&amp;J$1&amp;"'!A2:E1000"), (INDIRECT("'"&amp;J$1&amp;"'!B2:B1000")=$B3) * (INDIRECT("'"&amp;J$1&amp;"'!C2:C1000")=$C3)
        ),
        5,
        FALSE
    )
)</f>
        <v>Sem Técnico</v>
      </c>
      <c r="K3" s="113" t="str">
        <f t="array" aca="1" ref="K3" ca="1">IF(
    VLOOKUP(
        $A3,
        _xlfn._xlws.FILTER(
            INDIRECT("'"&amp;K$1&amp;"'!A2:E1000"), (INDIRECT("'"&amp;K$1&amp;"'!B2:B1000")=$B3) * (INDIRECT("'"&amp;K$1&amp;"'!C2:C1000")=$C3)
        ),
        5,
        FALSE
    )=0,
    "",
    VLOOKUP(
        $A3,
        _xlfn._xlws.FILTER(
            INDIRECT("'"&amp;K$1&amp;"'!A2:E1000"), (INDIRECT("'"&amp;K$1&amp;"'!B2:B1000")=$B3) * (INDIRECT("'"&amp;K$1&amp;"'!C2:C1000")=$C3)
        ),
        5,
        FALSE
    )
)</f>
        <v>Enviado</v>
      </c>
      <c r="L3" s="113" t="str">
        <f t="array" aca="1" ref="L3" ca="1">IF(
    VLOOKUP(
        $A3,
        _xlfn._xlws.FILTER(
            INDIRECT("'"&amp;L$1&amp;"'!A2:E1000"), (INDIRECT("'"&amp;L$1&amp;"'!B2:B1000")=$B3) * (INDIRECT("'"&amp;L$1&amp;"'!C2:C1000")=$C3)
        ),
        5,
        FALSE
    )=0,
    "",
    VLOOKUP(
        $A3,
        _xlfn._xlws.FILTER(
            INDIRECT("'"&amp;L$1&amp;"'!A2:E1000"), (INDIRECT("'"&amp;L$1&amp;"'!B2:B1000")=$B3) * (INDIRECT("'"&amp;L$1&amp;"'!C2:C1000")=$C3)
        ),
        5,
        FALSE
    )
)</f>
        <v>Atrasado &gt;= 2</v>
      </c>
      <c r="M3" s="113" t="str">
        <f t="array" aca="1" ref="M3" ca="1">IF(
    VLOOKUP(
        $A3,
        _xlfn._xlws.FILTER(
            INDIRECT("'"&amp;M$1&amp;"'!A2:E1000"), (INDIRECT("'"&amp;M$1&amp;"'!B2:B1000")=$B3) * (INDIRECT("'"&amp;M$1&amp;"'!C2:C1000")=$C3)
        ),
        5,
        FALSE
    )=0,
    "",
    VLOOKUP(
        $A3,
        _xlfn._xlws.FILTER(
            INDIRECT("'"&amp;M$1&amp;"'!A2:E1000"), (INDIRECT("'"&amp;M$1&amp;"'!B2:B1000")=$B3) * (INDIRECT("'"&amp;M$1&amp;"'!C2:C1000")=$C3)
        ),
        5,
        FALSE
    )
)</f>
        <v>Atrasado &gt;= 2</v>
      </c>
      <c r="N3" s="113" t="str">
        <f t="array" aca="1" ref="N3" ca="1">IF(
    VLOOKUP(
        $A3,
        _xlfn._xlws.FILTER(
            INDIRECT("'"&amp;N$1&amp;"'!A2:E1000"), (INDIRECT("'"&amp;N$1&amp;"'!B2:B1000")=$B3) * (INDIRECT("'"&amp;N$1&amp;"'!C2:C1000")=$C3)
        ),
        5,
        FALSE
    )=0,
    "",
    VLOOKUP(
        $A3,
        _xlfn._xlws.FILTER(
            INDIRECT("'"&amp;N$1&amp;"'!A2:E1000"), (INDIRECT("'"&amp;N$1&amp;"'!B2:B1000")=$B3) * (INDIRECT("'"&amp;N$1&amp;"'!C2:C1000")=$C3)
        ),
        5,
        FALSE
    )
)</f>
        <v>Atrasado</v>
      </c>
      <c r="O3" s="113" t="str">
        <f t="array" aca="1" ref="O3" ca="1">IF(
    VLOOKUP(
        $A3,
        _xlfn._xlws.FILTER(
            INDIRECT("'"&amp;O$1&amp;"'!A2:E1000"), (INDIRECT("'"&amp;O$1&amp;"'!B2:B1000")=$B3) * (INDIRECT("'"&amp;O$1&amp;"'!C2:C1000")=$C3)
        ),
        5,
        FALSE
    )=0,
    "",
    VLOOKUP(
        $A3,
        _xlfn._xlws.FILTER(
            INDIRECT("'"&amp;O$1&amp;"'!A2:E1000"), (INDIRECT("'"&amp;O$1&amp;"'!B2:B1000")=$B3) * (INDIRECT("'"&amp;O$1&amp;"'!C2:C1000")=$C3)
        ),
        5,
        FALSE
    )
)</f>
        <v/>
      </c>
    </row>
    <row r="4" spans="1:15" ht="15.75" customHeight="1">
      <c r="A4" s="86" t="s">
        <v>33</v>
      </c>
      <c r="B4" s="112" t="s">
        <v>52</v>
      </c>
      <c r="C4" s="90">
        <v>1</v>
      </c>
      <c r="D4" s="113" t="str">
        <f t="array" aca="1" ref="D4" ca="1">IF(
    VLOOKUP(
        $A4,
        _xlfn._xlws.FILTER(
            INDIRECT("'"&amp;D$1&amp;"'!A2:E1000"), (INDIRECT("'"&amp;D$1&amp;"'!B2:B1000")=$B4) * (INDIRECT("'"&amp;D$1&amp;"'!C2:C1000")=$C4)
        ),
        5,
        FALSE
    )=0,
    "",
    VLOOKUP(
        $A4,
        _xlfn._xlws.FILTER(
            INDIRECT("'"&amp;D$1&amp;"'!A2:E1000"), (INDIRECT("'"&amp;D$1&amp;"'!B2:B1000")=$B4) * (INDIRECT("'"&amp;D$1&amp;"'!C2:C1000")=$C4)
        ),
        5,
        FALSE
    )
)</f>
        <v>Sem Técnico</v>
      </c>
      <c r="E4" s="113" t="str">
        <f t="array" aca="1" ref="E4" ca="1">IF(
    VLOOKUP(
        $A4,
        _xlfn._xlws.FILTER(
            INDIRECT("'"&amp;E$1&amp;"'!A2:E1000"), (INDIRECT("'"&amp;E$1&amp;"'!B2:B1000")=$B4) * (INDIRECT("'"&amp;E$1&amp;"'!C2:C1000")=$C4)
        ),
        5,
        FALSE
    )=0,
    "",
    VLOOKUP(
        $A4,
        _xlfn._xlws.FILTER(
            INDIRECT("'"&amp;E$1&amp;"'!A2:E1000"), (INDIRECT("'"&amp;E$1&amp;"'!B2:B1000")=$B4) * (INDIRECT("'"&amp;E$1&amp;"'!C2:C1000")=$C4)
        ),
        5,
        FALSE
    )
)</f>
        <v>Sem Técnico</v>
      </c>
      <c r="F4" s="113" t="str">
        <f t="array" aca="1" ref="F4" ca="1">IF(
    VLOOKUP(
        $A4,
        _xlfn._xlws.FILTER(
            INDIRECT("'"&amp;F$1&amp;"'!A2:E1000"), (INDIRECT("'"&amp;F$1&amp;"'!B2:B1000")=$B4) * (INDIRECT("'"&amp;F$1&amp;"'!C2:C1000")=$C4)
        ),
        5,
        FALSE
    )=0,
    "",
    VLOOKUP(
        $A4,
        _xlfn._xlws.FILTER(
            INDIRECT("'"&amp;F$1&amp;"'!A2:E1000"), (INDIRECT("'"&amp;F$1&amp;"'!B2:B1000")=$B4) * (INDIRECT("'"&amp;F$1&amp;"'!C2:C1000")=$C4)
        ),
        5,
        FALSE
    )
)</f>
        <v>Sem Técnico</v>
      </c>
      <c r="G4" s="113" t="str">
        <f t="array" aca="1" ref="G4" ca="1">IF(
    VLOOKUP(
        $A4,
        _xlfn._xlws.FILTER(
            INDIRECT("'"&amp;G$1&amp;"'!A2:E1000"), (INDIRECT("'"&amp;G$1&amp;"'!B2:B1000")=$B4) * (INDIRECT("'"&amp;G$1&amp;"'!C2:C1000")=$C4)
        ),
        5,
        FALSE
    )=0,
    "",
    VLOOKUP(
        $A4,
        _xlfn._xlws.FILTER(
            INDIRECT("'"&amp;G$1&amp;"'!A2:E1000"), (INDIRECT("'"&amp;G$1&amp;"'!B2:B1000")=$B4) * (INDIRECT("'"&amp;G$1&amp;"'!C2:C1000")=$C4)
        ),
        5,
        FALSE
    )
)</f>
        <v>Sem Técnico</v>
      </c>
      <c r="H4" s="113" t="str">
        <f t="array" aca="1" ref="H4" ca="1">IF(
    VLOOKUP(
        $A4,
        _xlfn._xlws.FILTER(
            INDIRECT("'"&amp;H$1&amp;"'!A2:E1000"), (INDIRECT("'"&amp;H$1&amp;"'!B2:B1000")=$B4) * (INDIRECT("'"&amp;H$1&amp;"'!C2:C1000")=$C4)
        ),
        5,
        FALSE
    )=0,
    "",
    VLOOKUP(
        $A4,
        _xlfn._xlws.FILTER(
            INDIRECT("'"&amp;H$1&amp;"'!A2:E1000"), (INDIRECT("'"&amp;H$1&amp;"'!B2:B1000")=$B4) * (INDIRECT("'"&amp;H$1&amp;"'!C2:C1000")=$C4)
        ),
        5,
        FALSE
    )
)</f>
        <v>Sem Técnico</v>
      </c>
      <c r="I4" s="113" t="str">
        <f t="array" aca="1" ref="I4" ca="1">IF(
    VLOOKUP(
        $A4,
        _xlfn._xlws.FILTER(
            INDIRECT("'"&amp;I$1&amp;"'!A2:E1000"), (INDIRECT("'"&amp;I$1&amp;"'!B2:B1000")=$B4) * (INDIRECT("'"&amp;I$1&amp;"'!C2:C1000")=$C4)
        ),
        5,
        FALSE
    )=0,
    "",
    VLOOKUP(
        $A4,
        _xlfn._xlws.FILTER(
            INDIRECT("'"&amp;I$1&amp;"'!A2:E1000"), (INDIRECT("'"&amp;I$1&amp;"'!B2:B1000")=$B4) * (INDIRECT("'"&amp;I$1&amp;"'!C2:C1000")=$C4)
        ),
        5,
        FALSE
    )
)</f>
        <v>Sem Técnico</v>
      </c>
      <c r="J4" s="113" t="str">
        <f t="array" aca="1" ref="J4" ca="1">IF(
    VLOOKUP(
        $A4,
        _xlfn._xlws.FILTER(
            INDIRECT("'"&amp;J$1&amp;"'!A2:E1000"), (INDIRECT("'"&amp;J$1&amp;"'!B2:B1000")=$B4) * (INDIRECT("'"&amp;J$1&amp;"'!C2:C1000")=$C4)
        ),
        5,
        FALSE
    )=0,
    "",
    VLOOKUP(
        $A4,
        _xlfn._xlws.FILTER(
            INDIRECT("'"&amp;J$1&amp;"'!A2:E1000"), (INDIRECT("'"&amp;J$1&amp;"'!B2:B1000")=$B4) * (INDIRECT("'"&amp;J$1&amp;"'!C2:C1000")=$C4)
        ),
        5,
        FALSE
    )
)</f>
        <v>Sem Técnico</v>
      </c>
      <c r="K4" s="113" t="str">
        <f t="array" aca="1" ref="K4" ca="1">IF(
    VLOOKUP(
        $A4,
        _xlfn._xlws.FILTER(
            INDIRECT("'"&amp;K$1&amp;"'!A2:E1000"), (INDIRECT("'"&amp;K$1&amp;"'!B2:B1000")=$B4) * (INDIRECT("'"&amp;K$1&amp;"'!C2:C1000")=$C4)
        ),
        5,
        FALSE
    )=0,
    "",
    VLOOKUP(
        $A4,
        _xlfn._xlws.FILTER(
            INDIRECT("'"&amp;K$1&amp;"'!A2:E1000"), (INDIRECT("'"&amp;K$1&amp;"'!B2:B1000")=$B4) * (INDIRECT("'"&amp;K$1&amp;"'!C2:C1000")=$C4)
        ),
        5,
        FALSE
    )
)</f>
        <v>Atrasado &gt;= 2</v>
      </c>
      <c r="L4" s="113" t="str">
        <f t="array" aca="1" ref="L4" ca="1">IF(
    VLOOKUP(
        $A4,
        _xlfn._xlws.FILTER(
            INDIRECT("'"&amp;L$1&amp;"'!A2:E1000"), (INDIRECT("'"&amp;L$1&amp;"'!B2:B1000")=$B4) * (INDIRECT("'"&amp;L$1&amp;"'!C2:C1000")=$C4)
        ),
        5,
        FALSE
    )=0,
    "",
    VLOOKUP(
        $A4,
        _xlfn._xlws.FILTER(
            INDIRECT("'"&amp;L$1&amp;"'!A2:E1000"), (INDIRECT("'"&amp;L$1&amp;"'!B2:B1000")=$B4) * (INDIRECT("'"&amp;L$1&amp;"'!C2:C1000")=$C4)
        ),
        5,
        FALSE
    )
)</f>
        <v>Atrasado &gt;= 2</v>
      </c>
      <c r="M4" s="113" t="str">
        <f t="array" aca="1" ref="M4" ca="1">IF(
    VLOOKUP(
        $A4,
        _xlfn._xlws.FILTER(
            INDIRECT("'"&amp;M$1&amp;"'!A2:E1000"), (INDIRECT("'"&amp;M$1&amp;"'!B2:B1000")=$B4) * (INDIRECT("'"&amp;M$1&amp;"'!C2:C1000")=$C4)
        ),
        5,
        FALSE
    )=0,
    "",
    VLOOKUP(
        $A4,
        _xlfn._xlws.FILTER(
            INDIRECT("'"&amp;M$1&amp;"'!A2:E1000"), (INDIRECT("'"&amp;M$1&amp;"'!B2:B1000")=$B4) * (INDIRECT("'"&amp;M$1&amp;"'!C2:C1000")=$C4)
        ),
        5,
        FALSE
    )
)</f>
        <v>Atrasado &gt;= 2</v>
      </c>
      <c r="N4" s="113" t="str">
        <f t="array" aca="1" ref="N4" ca="1">IF(
    VLOOKUP(
        $A4,
        _xlfn._xlws.FILTER(
            INDIRECT("'"&amp;N$1&amp;"'!A2:E1000"), (INDIRECT("'"&amp;N$1&amp;"'!B2:B1000")=$B4) * (INDIRECT("'"&amp;N$1&amp;"'!C2:C1000")=$C4)
        ),
        5,
        FALSE
    )=0,
    "",
    VLOOKUP(
        $A4,
        _xlfn._xlws.FILTER(
            INDIRECT("'"&amp;N$1&amp;"'!A2:E1000"), (INDIRECT("'"&amp;N$1&amp;"'!B2:B1000")=$B4) * (INDIRECT("'"&amp;N$1&amp;"'!C2:C1000")=$C4)
        ),
        5,
        FALSE
    )
)</f>
        <v>Atrasado</v>
      </c>
      <c r="O4" s="113" t="str">
        <f t="array" aca="1" ref="O4" ca="1">IF(
    VLOOKUP(
        $A4,
        _xlfn._xlws.FILTER(
            INDIRECT("'"&amp;O$1&amp;"'!A2:E1000"), (INDIRECT("'"&amp;O$1&amp;"'!B2:B1000")=$B4) * (INDIRECT("'"&amp;O$1&amp;"'!C2:C1000")=$C4)
        ),
        5,
        FALSE
    )=0,
    "",
    VLOOKUP(
        $A4,
        _xlfn._xlws.FILTER(
            INDIRECT("'"&amp;O$1&amp;"'!A2:E1000"), (INDIRECT("'"&amp;O$1&amp;"'!B2:B1000")=$B4) * (INDIRECT("'"&amp;O$1&amp;"'!C2:C1000")=$C4)
        ),
        5,
        FALSE
    )
)</f>
        <v/>
      </c>
    </row>
    <row r="5" spans="1:15" ht="15.75" customHeight="1">
      <c r="A5" s="86" t="s">
        <v>33</v>
      </c>
      <c r="B5" s="112" t="s">
        <v>53</v>
      </c>
      <c r="C5" s="90">
        <v>1</v>
      </c>
      <c r="D5" s="113" t="str">
        <f t="array" aca="1" ref="D5" ca="1">IF(
    VLOOKUP(
        $A5,
        _xlfn._xlws.FILTER(
            INDIRECT("'"&amp;D$1&amp;"'!A2:E1000"), (INDIRECT("'"&amp;D$1&amp;"'!B2:B1000")=$B5) * (INDIRECT("'"&amp;D$1&amp;"'!C2:C1000")=$C5)
        ),
        5,
        FALSE
    )=0,
    "",
    VLOOKUP(
        $A5,
        _xlfn._xlws.FILTER(
            INDIRECT("'"&amp;D$1&amp;"'!A2:E1000"), (INDIRECT("'"&amp;D$1&amp;"'!B2:B1000")=$B5) * (INDIRECT("'"&amp;D$1&amp;"'!C2:C1000")=$C5)
        ),
        5,
        FALSE
    )
)</f>
        <v>Sem Técnico</v>
      </c>
      <c r="E5" s="113" t="str">
        <f t="array" aca="1" ref="E5" ca="1">IF(
    VLOOKUP(
        $A5,
        _xlfn._xlws.FILTER(
            INDIRECT("'"&amp;E$1&amp;"'!A2:E1000"), (INDIRECT("'"&amp;E$1&amp;"'!B2:B1000")=$B5) * (INDIRECT("'"&amp;E$1&amp;"'!C2:C1000")=$C5)
        ),
        5,
        FALSE
    )=0,
    "",
    VLOOKUP(
        $A5,
        _xlfn._xlws.FILTER(
            INDIRECT("'"&amp;E$1&amp;"'!A2:E1000"), (INDIRECT("'"&amp;E$1&amp;"'!B2:B1000")=$B5) * (INDIRECT("'"&amp;E$1&amp;"'!C2:C1000")=$C5)
        ),
        5,
        FALSE
    )
)</f>
        <v>Sem Técnico</v>
      </c>
      <c r="F5" s="113" t="str">
        <f t="array" aca="1" ref="F5" ca="1">IF(
    VLOOKUP(
        $A5,
        _xlfn._xlws.FILTER(
            INDIRECT("'"&amp;F$1&amp;"'!A2:E1000"), (INDIRECT("'"&amp;F$1&amp;"'!B2:B1000")=$B5) * (INDIRECT("'"&amp;F$1&amp;"'!C2:C1000")=$C5)
        ),
        5,
        FALSE
    )=0,
    "",
    VLOOKUP(
        $A5,
        _xlfn._xlws.FILTER(
            INDIRECT("'"&amp;F$1&amp;"'!A2:E1000"), (INDIRECT("'"&amp;F$1&amp;"'!B2:B1000")=$B5) * (INDIRECT("'"&amp;F$1&amp;"'!C2:C1000")=$C5)
        ),
        5,
        FALSE
    )
)</f>
        <v>Sem Técnico</v>
      </c>
      <c r="G5" s="113" t="str">
        <f t="array" aca="1" ref="G5" ca="1">IF(
    VLOOKUP(
        $A5,
        _xlfn._xlws.FILTER(
            INDIRECT("'"&amp;G$1&amp;"'!A2:E1000"), (INDIRECT("'"&amp;G$1&amp;"'!B2:B1000")=$B5) * (INDIRECT("'"&amp;G$1&amp;"'!C2:C1000")=$C5)
        ),
        5,
        FALSE
    )=0,
    "",
    VLOOKUP(
        $A5,
        _xlfn._xlws.FILTER(
            INDIRECT("'"&amp;G$1&amp;"'!A2:E1000"), (INDIRECT("'"&amp;G$1&amp;"'!B2:B1000")=$B5) * (INDIRECT("'"&amp;G$1&amp;"'!C2:C1000")=$C5)
        ),
        5,
        FALSE
    )
)</f>
        <v>Sem Técnico</v>
      </c>
      <c r="H5" s="113" t="str">
        <f t="array" aca="1" ref="H5" ca="1">IF(
    VLOOKUP(
        $A5,
        _xlfn._xlws.FILTER(
            INDIRECT("'"&amp;H$1&amp;"'!A2:E1000"), (INDIRECT("'"&amp;H$1&amp;"'!B2:B1000")=$B5) * (INDIRECT("'"&amp;H$1&amp;"'!C2:C1000")=$C5)
        ),
        5,
        FALSE
    )=0,
    "",
    VLOOKUP(
        $A5,
        _xlfn._xlws.FILTER(
            INDIRECT("'"&amp;H$1&amp;"'!A2:E1000"), (INDIRECT("'"&amp;H$1&amp;"'!B2:B1000")=$B5) * (INDIRECT("'"&amp;H$1&amp;"'!C2:C1000")=$C5)
        ),
        5,
        FALSE
    )
)</f>
        <v>Sem Técnico</v>
      </c>
      <c r="I5" s="113" t="str">
        <f t="array" aca="1" ref="I5" ca="1">IF(
    VLOOKUP(
        $A5,
        _xlfn._xlws.FILTER(
            INDIRECT("'"&amp;I$1&amp;"'!A2:E1000"), (INDIRECT("'"&amp;I$1&amp;"'!B2:B1000")=$B5) * (INDIRECT("'"&amp;I$1&amp;"'!C2:C1000")=$C5)
        ),
        5,
        FALSE
    )=0,
    "",
    VLOOKUP(
        $A5,
        _xlfn._xlws.FILTER(
            INDIRECT("'"&amp;I$1&amp;"'!A2:E1000"), (INDIRECT("'"&amp;I$1&amp;"'!B2:B1000")=$B5) * (INDIRECT("'"&amp;I$1&amp;"'!C2:C1000")=$C5)
        ),
        5,
        FALSE
    )
)</f>
        <v>Sem Técnico</v>
      </c>
      <c r="J5" s="113" t="str">
        <f t="array" aca="1" ref="J5" ca="1">IF(
    VLOOKUP(
        $A5,
        _xlfn._xlws.FILTER(
            INDIRECT("'"&amp;J$1&amp;"'!A2:E1000"), (INDIRECT("'"&amp;J$1&amp;"'!B2:B1000")=$B5) * (INDIRECT("'"&amp;J$1&amp;"'!C2:C1000")=$C5)
        ),
        5,
        FALSE
    )=0,
    "",
    VLOOKUP(
        $A5,
        _xlfn._xlws.FILTER(
            INDIRECT("'"&amp;J$1&amp;"'!A2:E1000"), (INDIRECT("'"&amp;J$1&amp;"'!B2:B1000")=$B5) * (INDIRECT("'"&amp;J$1&amp;"'!C2:C1000")=$C5)
        ),
        5,
        FALSE
    )
)</f>
        <v>Sem Técnico</v>
      </c>
      <c r="K5" s="113" t="str">
        <f t="array" aca="1" ref="K5" ca="1">IF(
    VLOOKUP(
        $A5,
        _xlfn._xlws.FILTER(
            INDIRECT("'"&amp;K$1&amp;"'!A2:E1000"), (INDIRECT("'"&amp;K$1&amp;"'!B2:B1000")=$B5) * (INDIRECT("'"&amp;K$1&amp;"'!C2:C1000")=$C5)
        ),
        5,
        FALSE
    )=0,
    "",
    VLOOKUP(
        $A5,
        _xlfn._xlws.FILTER(
            INDIRECT("'"&amp;K$1&amp;"'!A2:E1000"), (INDIRECT("'"&amp;K$1&amp;"'!B2:B1000")=$B5) * (INDIRECT("'"&amp;K$1&amp;"'!C2:C1000")=$C5)
        ),
        5,
        FALSE
    )
)</f>
        <v>Enviado</v>
      </c>
      <c r="L5" s="113" t="str">
        <f t="array" aca="1" ref="L5" ca="1">IF(
    VLOOKUP(
        $A5,
        _xlfn._xlws.FILTER(
            INDIRECT("'"&amp;L$1&amp;"'!A2:E1000"), (INDIRECT("'"&amp;L$1&amp;"'!B2:B1000")=$B5) * (INDIRECT("'"&amp;L$1&amp;"'!C2:C1000")=$C5)
        ),
        5,
        FALSE
    )=0,
    "",
    VLOOKUP(
        $A5,
        _xlfn._xlws.FILTER(
            INDIRECT("'"&amp;L$1&amp;"'!A2:E1000"), (INDIRECT("'"&amp;L$1&amp;"'!B2:B1000")=$B5) * (INDIRECT("'"&amp;L$1&amp;"'!C2:C1000")=$C5)
        ),
        5,
        FALSE
    )
)</f>
        <v>Enviado</v>
      </c>
      <c r="M5" s="113" t="str">
        <f t="array" aca="1" ref="M5" ca="1">IF(
    VLOOKUP(
        $A5,
        _xlfn._xlws.FILTER(
            INDIRECT("'"&amp;M$1&amp;"'!A2:E1000"), (INDIRECT("'"&amp;M$1&amp;"'!B2:B1000")=$B5) * (INDIRECT("'"&amp;M$1&amp;"'!C2:C1000")=$C5)
        ),
        5,
        FALSE
    )=0,
    "",
    VLOOKUP(
        $A5,
        _xlfn._xlws.FILTER(
            INDIRECT("'"&amp;M$1&amp;"'!A2:E1000"), (INDIRECT("'"&amp;M$1&amp;"'!B2:B1000")=$B5) * (INDIRECT("'"&amp;M$1&amp;"'!C2:C1000")=$C5)
        ),
        5,
        FALSE
    )
)</f>
        <v>Atrasado &gt;= 2</v>
      </c>
      <c r="N5" s="113" t="str">
        <f t="array" aca="1" ref="N5" ca="1">IF(
    VLOOKUP(
        $A5,
        _xlfn._xlws.FILTER(
            INDIRECT("'"&amp;N$1&amp;"'!A2:E1000"), (INDIRECT("'"&amp;N$1&amp;"'!B2:B1000")=$B5) * (INDIRECT("'"&amp;N$1&amp;"'!C2:C1000")=$C5)
        ),
        5,
        FALSE
    )=0,
    "",
    VLOOKUP(
        $A5,
        _xlfn._xlws.FILTER(
            INDIRECT("'"&amp;N$1&amp;"'!A2:E1000"), (INDIRECT("'"&amp;N$1&amp;"'!B2:B1000")=$B5) * (INDIRECT("'"&amp;N$1&amp;"'!C2:C1000")=$C5)
        ),
        5,
        FALSE
    )
)</f>
        <v>Atrasado</v>
      </c>
      <c r="O5" s="113" t="str">
        <f t="array" aca="1" ref="O5" ca="1">IF(
    VLOOKUP(
        $A5,
        _xlfn._xlws.FILTER(
            INDIRECT("'"&amp;O$1&amp;"'!A2:E1000"), (INDIRECT("'"&amp;O$1&amp;"'!B2:B1000")=$B5) * (INDIRECT("'"&amp;O$1&amp;"'!C2:C1000")=$C5)
        ),
        5,
        FALSE
    )=0,
    "",
    VLOOKUP(
        $A5,
        _xlfn._xlws.FILTER(
            INDIRECT("'"&amp;O$1&amp;"'!A2:E1000"), (INDIRECT("'"&amp;O$1&amp;"'!B2:B1000")=$B5) * (INDIRECT("'"&amp;O$1&amp;"'!C2:C1000")=$C5)
        ),
        5,
        FALSE
    )
)</f>
        <v/>
      </c>
    </row>
    <row r="6" spans="1:15" ht="15.75" customHeight="1">
      <c r="A6" s="86" t="s">
        <v>33</v>
      </c>
      <c r="B6" s="112" t="s">
        <v>54</v>
      </c>
      <c r="C6" s="90">
        <v>1</v>
      </c>
      <c r="D6" s="113" t="str">
        <f t="array" aca="1" ref="D6" ca="1">IF(
    VLOOKUP(
        $A6,
        _xlfn._xlws.FILTER(
            INDIRECT("'"&amp;D$1&amp;"'!A2:E1000"), (INDIRECT("'"&amp;D$1&amp;"'!B2:B1000")=$B6) * (INDIRECT("'"&amp;D$1&amp;"'!C2:C1000")=$C6)
        ),
        5,
        FALSE
    )=0,
    "",
    VLOOKUP(
        $A6,
        _xlfn._xlws.FILTER(
            INDIRECT("'"&amp;D$1&amp;"'!A2:E1000"), (INDIRECT("'"&amp;D$1&amp;"'!B2:B1000")=$B6) * (INDIRECT("'"&amp;D$1&amp;"'!C2:C1000")=$C6)
        ),
        5,
        FALSE
    )
)</f>
        <v>Sem Técnico</v>
      </c>
      <c r="E6" s="113" t="str">
        <f t="array" aca="1" ref="E6" ca="1">IF(
    VLOOKUP(
        $A6,
        _xlfn._xlws.FILTER(
            INDIRECT("'"&amp;E$1&amp;"'!A2:E1000"), (INDIRECT("'"&amp;E$1&amp;"'!B2:B1000")=$B6) * (INDIRECT("'"&amp;E$1&amp;"'!C2:C1000")=$C6)
        ),
        5,
        FALSE
    )=0,
    "",
    VLOOKUP(
        $A6,
        _xlfn._xlws.FILTER(
            INDIRECT("'"&amp;E$1&amp;"'!A2:E1000"), (INDIRECT("'"&amp;E$1&amp;"'!B2:B1000")=$B6) * (INDIRECT("'"&amp;E$1&amp;"'!C2:C1000")=$C6)
        ),
        5,
        FALSE
    )
)</f>
        <v>Sem Técnico</v>
      </c>
      <c r="F6" s="113" t="str">
        <f t="array" aca="1" ref="F6" ca="1">IF(
    VLOOKUP(
        $A6,
        _xlfn._xlws.FILTER(
            INDIRECT("'"&amp;F$1&amp;"'!A2:E1000"), (INDIRECT("'"&amp;F$1&amp;"'!B2:B1000")=$B6) * (INDIRECT("'"&amp;F$1&amp;"'!C2:C1000")=$C6)
        ),
        5,
        FALSE
    )=0,
    "",
    VLOOKUP(
        $A6,
        _xlfn._xlws.FILTER(
            INDIRECT("'"&amp;F$1&amp;"'!A2:E1000"), (INDIRECT("'"&amp;F$1&amp;"'!B2:B1000")=$B6) * (INDIRECT("'"&amp;F$1&amp;"'!C2:C1000")=$C6)
        ),
        5,
        FALSE
    )
)</f>
        <v>Sem Técnico</v>
      </c>
      <c r="G6" s="113" t="str">
        <f t="array" aca="1" ref="G6" ca="1">IF(
    VLOOKUP(
        $A6,
        _xlfn._xlws.FILTER(
            INDIRECT("'"&amp;G$1&amp;"'!A2:E1000"), (INDIRECT("'"&amp;G$1&amp;"'!B2:B1000")=$B6) * (INDIRECT("'"&amp;G$1&amp;"'!C2:C1000")=$C6)
        ),
        5,
        FALSE
    )=0,
    "",
    VLOOKUP(
        $A6,
        _xlfn._xlws.FILTER(
            INDIRECT("'"&amp;G$1&amp;"'!A2:E1000"), (INDIRECT("'"&amp;G$1&amp;"'!B2:B1000")=$B6) * (INDIRECT("'"&amp;G$1&amp;"'!C2:C1000")=$C6)
        ),
        5,
        FALSE
    )
)</f>
        <v>Sem Técnico</v>
      </c>
      <c r="H6" s="113" t="str">
        <f t="array" aca="1" ref="H6" ca="1">IF(
    VLOOKUP(
        $A6,
        _xlfn._xlws.FILTER(
            INDIRECT("'"&amp;H$1&amp;"'!A2:E1000"), (INDIRECT("'"&amp;H$1&amp;"'!B2:B1000")=$B6) * (INDIRECT("'"&amp;H$1&amp;"'!C2:C1000")=$C6)
        ),
        5,
        FALSE
    )=0,
    "",
    VLOOKUP(
        $A6,
        _xlfn._xlws.FILTER(
            INDIRECT("'"&amp;H$1&amp;"'!A2:E1000"), (INDIRECT("'"&amp;H$1&amp;"'!B2:B1000")=$B6) * (INDIRECT("'"&amp;H$1&amp;"'!C2:C1000")=$C6)
        ),
        5,
        FALSE
    )
)</f>
        <v>Sem Técnico</v>
      </c>
      <c r="I6" s="113" t="str">
        <f t="array" aca="1" ref="I6" ca="1">IF(
    VLOOKUP(
        $A6,
        _xlfn._xlws.FILTER(
            INDIRECT("'"&amp;I$1&amp;"'!A2:E1000"), (INDIRECT("'"&amp;I$1&amp;"'!B2:B1000")=$B6) * (INDIRECT("'"&amp;I$1&amp;"'!C2:C1000")=$C6)
        ),
        5,
        FALSE
    )=0,
    "",
    VLOOKUP(
        $A6,
        _xlfn._xlws.FILTER(
            INDIRECT("'"&amp;I$1&amp;"'!A2:E1000"), (INDIRECT("'"&amp;I$1&amp;"'!B2:B1000")=$B6) * (INDIRECT("'"&amp;I$1&amp;"'!C2:C1000")=$C6)
        ),
        5,
        FALSE
    )
)</f>
        <v>Sem Técnico</v>
      </c>
      <c r="J6" s="113" t="str">
        <f t="array" aca="1" ref="J6" ca="1">IF(
    VLOOKUP(
        $A6,
        _xlfn._xlws.FILTER(
            INDIRECT("'"&amp;J$1&amp;"'!A2:E1000"), (INDIRECT("'"&amp;J$1&amp;"'!B2:B1000")=$B6) * (INDIRECT("'"&amp;J$1&amp;"'!C2:C1000")=$C6)
        ),
        5,
        FALSE
    )=0,
    "",
    VLOOKUP(
        $A6,
        _xlfn._xlws.FILTER(
            INDIRECT("'"&amp;J$1&amp;"'!A2:E1000"), (INDIRECT("'"&amp;J$1&amp;"'!B2:B1000")=$B6) * (INDIRECT("'"&amp;J$1&amp;"'!C2:C1000")=$C6)
        ),
        5,
        FALSE
    )
)</f>
        <v>Sem Técnico</v>
      </c>
      <c r="K6" s="113" t="str">
        <f t="array" aca="1" ref="K6" ca="1">IF(
    VLOOKUP(
        $A6,
        _xlfn._xlws.FILTER(
            INDIRECT("'"&amp;K$1&amp;"'!A2:E1000"), (INDIRECT("'"&amp;K$1&amp;"'!B2:B1000")=$B6) * (INDIRECT("'"&amp;K$1&amp;"'!C2:C1000")=$C6)
        ),
        5,
        FALSE
    )=0,
    "",
    VLOOKUP(
        $A6,
        _xlfn._xlws.FILTER(
            INDIRECT("'"&amp;K$1&amp;"'!A2:E1000"), (INDIRECT("'"&amp;K$1&amp;"'!B2:B1000")=$B6) * (INDIRECT("'"&amp;K$1&amp;"'!C2:C1000")=$C6)
        ),
        5,
        FALSE
    )
)</f>
        <v>Atrasado &gt;= 2</v>
      </c>
      <c r="L6" s="113" t="str">
        <f t="array" aca="1" ref="L6" ca="1">IF(
    VLOOKUP(
        $A6,
        _xlfn._xlws.FILTER(
            INDIRECT("'"&amp;L$1&amp;"'!A2:E1000"), (INDIRECT("'"&amp;L$1&amp;"'!B2:B1000")=$B6) * (INDIRECT("'"&amp;L$1&amp;"'!C2:C1000")=$C6)
        ),
        5,
        FALSE
    )=0,
    "",
    VLOOKUP(
        $A6,
        _xlfn._xlws.FILTER(
            INDIRECT("'"&amp;L$1&amp;"'!A2:E1000"), (INDIRECT("'"&amp;L$1&amp;"'!B2:B1000")=$B6) * (INDIRECT("'"&amp;L$1&amp;"'!C2:C1000")=$C6)
        ),
        5,
        FALSE
    )
)</f>
        <v>Atrasado &gt;= 2</v>
      </c>
      <c r="M6" s="113" t="str">
        <f t="array" aca="1" ref="M6" ca="1">IF(
    VLOOKUP(
        $A6,
        _xlfn._xlws.FILTER(
            INDIRECT("'"&amp;M$1&amp;"'!A2:E1000"), (INDIRECT("'"&amp;M$1&amp;"'!B2:B1000")=$B6) * (INDIRECT("'"&amp;M$1&amp;"'!C2:C1000")=$C6)
        ),
        5,
        FALSE
    )=0,
    "",
    VLOOKUP(
        $A6,
        _xlfn._xlws.FILTER(
            INDIRECT("'"&amp;M$1&amp;"'!A2:E1000"), (INDIRECT("'"&amp;M$1&amp;"'!B2:B1000")=$B6) * (INDIRECT("'"&amp;M$1&amp;"'!C2:C1000")=$C6)
        ),
        5,
        FALSE
    )
)</f>
        <v>Enviado</v>
      </c>
      <c r="N6" s="113" t="str">
        <f t="array" aca="1" ref="N6" ca="1">IF(
    VLOOKUP(
        $A6,
        _xlfn._xlws.FILTER(
            INDIRECT("'"&amp;N$1&amp;"'!A2:E1000"), (INDIRECT("'"&amp;N$1&amp;"'!B2:B1000")=$B6) * (INDIRECT("'"&amp;N$1&amp;"'!C2:C1000")=$C6)
        ),
        5,
        FALSE
    )=0,
    "",
    VLOOKUP(
        $A6,
        _xlfn._xlws.FILTER(
            INDIRECT("'"&amp;N$1&amp;"'!A2:E1000"), (INDIRECT("'"&amp;N$1&amp;"'!B2:B1000")=$B6) * (INDIRECT("'"&amp;N$1&amp;"'!C2:C1000")=$C6)
        ),
        5,
        FALSE
    )
)</f>
        <v>Atrasado</v>
      </c>
      <c r="O6" s="113" t="str">
        <f t="array" aca="1" ref="O6" ca="1">IF(
    VLOOKUP(
        $A6,
        _xlfn._xlws.FILTER(
            INDIRECT("'"&amp;O$1&amp;"'!A2:E1000"), (INDIRECT("'"&amp;O$1&amp;"'!B2:B1000")=$B6) * (INDIRECT("'"&amp;O$1&amp;"'!C2:C1000")=$C6)
        ),
        5,
        FALSE
    )=0,
    "",
    VLOOKUP(
        $A6,
        _xlfn._xlws.FILTER(
            INDIRECT("'"&amp;O$1&amp;"'!A2:E1000"), (INDIRECT("'"&amp;O$1&amp;"'!B2:B1000")=$B6) * (INDIRECT("'"&amp;O$1&amp;"'!C2:C1000")=$C6)
        ),
        5,
        FALSE
    )
)</f>
        <v/>
      </c>
    </row>
    <row r="7" spans="1:15" ht="15.75" customHeight="1">
      <c r="A7" s="86" t="s">
        <v>33</v>
      </c>
      <c r="B7" s="112" t="s">
        <v>55</v>
      </c>
      <c r="C7" s="90">
        <v>1</v>
      </c>
      <c r="D7" s="113" t="str">
        <f t="array" aca="1" ref="D7" ca="1">IF(
    VLOOKUP(
        $A7,
        _xlfn._xlws.FILTER(
            INDIRECT("'"&amp;D$1&amp;"'!A2:E1000"), (INDIRECT("'"&amp;D$1&amp;"'!B2:B1000")=$B7) * (INDIRECT("'"&amp;D$1&amp;"'!C2:C1000")=$C7)
        ),
        5,
        FALSE
    )=0,
    "",
    VLOOKUP(
        $A7,
        _xlfn._xlws.FILTER(
            INDIRECT("'"&amp;D$1&amp;"'!A2:E1000"), (INDIRECT("'"&amp;D$1&amp;"'!B2:B1000")=$B7) * (INDIRECT("'"&amp;D$1&amp;"'!C2:C1000")=$C7)
        ),
        5,
        FALSE
    )
)</f>
        <v>Sem Técnico</v>
      </c>
      <c r="E7" s="113" t="str">
        <f t="array" aca="1" ref="E7" ca="1">IF(
    VLOOKUP(
        $A7,
        _xlfn._xlws.FILTER(
            INDIRECT("'"&amp;E$1&amp;"'!A2:E1000"), (INDIRECT("'"&amp;E$1&amp;"'!B2:B1000")=$B7) * (INDIRECT("'"&amp;E$1&amp;"'!C2:C1000")=$C7)
        ),
        5,
        FALSE
    )=0,
    "",
    VLOOKUP(
        $A7,
        _xlfn._xlws.FILTER(
            INDIRECT("'"&amp;E$1&amp;"'!A2:E1000"), (INDIRECT("'"&amp;E$1&amp;"'!B2:B1000")=$B7) * (INDIRECT("'"&amp;E$1&amp;"'!C2:C1000")=$C7)
        ),
        5,
        FALSE
    )
)</f>
        <v>Sem Técnico</v>
      </c>
      <c r="F7" s="113" t="str">
        <f t="array" aca="1" ref="F7" ca="1">IF(
    VLOOKUP(
        $A7,
        _xlfn._xlws.FILTER(
            INDIRECT("'"&amp;F$1&amp;"'!A2:E1000"), (INDIRECT("'"&amp;F$1&amp;"'!B2:B1000")=$B7) * (INDIRECT("'"&amp;F$1&amp;"'!C2:C1000")=$C7)
        ),
        5,
        FALSE
    )=0,
    "",
    VLOOKUP(
        $A7,
        _xlfn._xlws.FILTER(
            INDIRECT("'"&amp;F$1&amp;"'!A2:E1000"), (INDIRECT("'"&amp;F$1&amp;"'!B2:B1000")=$B7) * (INDIRECT("'"&amp;F$1&amp;"'!C2:C1000")=$C7)
        ),
        5,
        FALSE
    )
)</f>
        <v>Sem Técnico</v>
      </c>
      <c r="G7" s="113" t="str">
        <f t="array" aca="1" ref="G7" ca="1">IF(
    VLOOKUP(
        $A7,
        _xlfn._xlws.FILTER(
            INDIRECT("'"&amp;G$1&amp;"'!A2:E1000"), (INDIRECT("'"&amp;G$1&amp;"'!B2:B1000")=$B7) * (INDIRECT("'"&amp;G$1&amp;"'!C2:C1000")=$C7)
        ),
        5,
        FALSE
    )=0,
    "",
    VLOOKUP(
        $A7,
        _xlfn._xlws.FILTER(
            INDIRECT("'"&amp;G$1&amp;"'!A2:E1000"), (INDIRECT("'"&amp;G$1&amp;"'!B2:B1000")=$B7) * (INDIRECT("'"&amp;G$1&amp;"'!C2:C1000")=$C7)
        ),
        5,
        FALSE
    )
)</f>
        <v>Sem Técnico</v>
      </c>
      <c r="H7" s="113" t="str">
        <f t="array" aca="1" ref="H7" ca="1">IF(
    VLOOKUP(
        $A7,
        _xlfn._xlws.FILTER(
            INDIRECT("'"&amp;H$1&amp;"'!A2:E1000"), (INDIRECT("'"&amp;H$1&amp;"'!B2:B1000")=$B7) * (INDIRECT("'"&amp;H$1&amp;"'!C2:C1000")=$C7)
        ),
        5,
        FALSE
    )=0,
    "",
    VLOOKUP(
        $A7,
        _xlfn._xlws.FILTER(
            INDIRECT("'"&amp;H$1&amp;"'!A2:E1000"), (INDIRECT("'"&amp;H$1&amp;"'!B2:B1000")=$B7) * (INDIRECT("'"&amp;H$1&amp;"'!C2:C1000")=$C7)
        ),
        5,
        FALSE
    )
)</f>
        <v>Sem Técnico</v>
      </c>
      <c r="I7" s="113" t="str">
        <f t="array" aca="1" ref="I7" ca="1">IF(
    VLOOKUP(
        $A7,
        _xlfn._xlws.FILTER(
            INDIRECT("'"&amp;I$1&amp;"'!A2:E1000"), (INDIRECT("'"&amp;I$1&amp;"'!B2:B1000")=$B7) * (INDIRECT("'"&amp;I$1&amp;"'!C2:C1000")=$C7)
        ),
        5,
        FALSE
    )=0,
    "",
    VLOOKUP(
        $A7,
        _xlfn._xlws.FILTER(
            INDIRECT("'"&amp;I$1&amp;"'!A2:E1000"), (INDIRECT("'"&amp;I$1&amp;"'!B2:B1000")=$B7) * (INDIRECT("'"&amp;I$1&amp;"'!C2:C1000")=$C7)
        ),
        5,
        FALSE
    )
)</f>
        <v>Sem Técnico</v>
      </c>
      <c r="J7" s="113" t="str">
        <f t="array" aca="1" ref="J7" ca="1">IF(
    VLOOKUP(
        $A7,
        _xlfn._xlws.FILTER(
            INDIRECT("'"&amp;J$1&amp;"'!A2:E1000"), (INDIRECT("'"&amp;J$1&amp;"'!B2:B1000")=$B7) * (INDIRECT("'"&amp;J$1&amp;"'!C2:C1000")=$C7)
        ),
        5,
        FALSE
    )=0,
    "",
    VLOOKUP(
        $A7,
        _xlfn._xlws.FILTER(
            INDIRECT("'"&amp;J$1&amp;"'!A2:E1000"), (INDIRECT("'"&amp;J$1&amp;"'!B2:B1000")=$B7) * (INDIRECT("'"&amp;J$1&amp;"'!C2:C1000")=$C7)
        ),
        5,
        FALSE
    )
)</f>
        <v>Sem Técnico</v>
      </c>
      <c r="K7" s="113" t="str">
        <f t="array" aca="1" ref="K7" ca="1">IF(
    VLOOKUP(
        $A7,
        _xlfn._xlws.FILTER(
            INDIRECT("'"&amp;K$1&amp;"'!A2:E1000"), (INDIRECT("'"&amp;K$1&amp;"'!B2:B1000")=$B7) * (INDIRECT("'"&amp;K$1&amp;"'!C2:C1000")=$C7)
        ),
        5,
        FALSE
    )=0,
    "",
    VLOOKUP(
        $A7,
        _xlfn._xlws.FILTER(
            INDIRECT("'"&amp;K$1&amp;"'!A2:E1000"), (INDIRECT("'"&amp;K$1&amp;"'!B2:B1000")=$B7) * (INDIRECT("'"&amp;K$1&amp;"'!C2:C1000")=$C7)
        ),
        5,
        FALSE
    )
)</f>
        <v>Enviado</v>
      </c>
      <c r="L7" s="113" t="str">
        <f t="array" aca="1" ref="L7" ca="1">IF(
    VLOOKUP(
        $A7,
        _xlfn._xlws.FILTER(
            INDIRECT("'"&amp;L$1&amp;"'!A2:E1000"), (INDIRECT("'"&amp;L$1&amp;"'!B2:B1000")=$B7) * (INDIRECT("'"&amp;L$1&amp;"'!C2:C1000")=$C7)
        ),
        5,
        FALSE
    )=0,
    "",
    VLOOKUP(
        $A7,
        _xlfn._xlws.FILTER(
            INDIRECT("'"&amp;L$1&amp;"'!A2:E1000"), (INDIRECT("'"&amp;L$1&amp;"'!B2:B1000")=$B7) * (INDIRECT("'"&amp;L$1&amp;"'!C2:C1000")=$C7)
        ),
        5,
        FALSE
    )
)</f>
        <v>Enviado</v>
      </c>
      <c r="M7" s="113" t="str">
        <f t="array" aca="1" ref="M7" ca="1">IF(
    VLOOKUP(
        $A7,
        _xlfn._xlws.FILTER(
            INDIRECT("'"&amp;M$1&amp;"'!A2:E1000"), (INDIRECT("'"&amp;M$1&amp;"'!B2:B1000")=$B7) * (INDIRECT("'"&amp;M$1&amp;"'!C2:C1000")=$C7)
        ),
        5,
        FALSE
    )=0,
    "",
    VLOOKUP(
        $A7,
        _xlfn._xlws.FILTER(
            INDIRECT("'"&amp;M$1&amp;"'!A2:E1000"), (INDIRECT("'"&amp;M$1&amp;"'!B2:B1000")=$B7) * (INDIRECT("'"&amp;M$1&amp;"'!C2:C1000")=$C7)
        ),
        5,
        FALSE
    )
)</f>
        <v>Enviado</v>
      </c>
      <c r="N7" s="113" t="str">
        <f t="array" aca="1" ref="N7" ca="1">IF(
    VLOOKUP(
        $A7,
        _xlfn._xlws.FILTER(
            INDIRECT("'"&amp;N$1&amp;"'!A2:E1000"), (INDIRECT("'"&amp;N$1&amp;"'!B2:B1000")=$B7) * (INDIRECT("'"&amp;N$1&amp;"'!C2:C1000")=$C7)
        ),
        5,
        FALSE
    )=0,
    "",
    VLOOKUP(
        $A7,
        _xlfn._xlws.FILTER(
            INDIRECT("'"&amp;N$1&amp;"'!A2:E1000"), (INDIRECT("'"&amp;N$1&amp;"'!B2:B1000")=$B7) * (INDIRECT("'"&amp;N$1&amp;"'!C2:C1000")=$C7)
        ),
        5,
        FALSE
    )
)</f>
        <v>Atrasado</v>
      </c>
      <c r="O7" s="113" t="str">
        <f t="array" aca="1" ref="O7" ca="1">IF(
    VLOOKUP(
        $A7,
        _xlfn._xlws.FILTER(
            INDIRECT("'"&amp;O$1&amp;"'!A2:E1000"), (INDIRECT("'"&amp;O$1&amp;"'!B2:B1000")=$B7) * (INDIRECT("'"&amp;O$1&amp;"'!C2:C1000")=$C7)
        ),
        5,
        FALSE
    )=0,
    "",
    VLOOKUP(
        $A7,
        _xlfn._xlws.FILTER(
            INDIRECT("'"&amp;O$1&amp;"'!A2:E1000"), (INDIRECT("'"&amp;O$1&amp;"'!B2:B1000")=$B7) * (INDIRECT("'"&amp;O$1&amp;"'!C2:C1000")=$C7)
        ),
        5,
        FALSE
    )
)</f>
        <v/>
      </c>
    </row>
    <row r="8" spans="1:15" ht="15.75" customHeight="1">
      <c r="A8" s="86" t="s">
        <v>33</v>
      </c>
      <c r="B8" s="112" t="s">
        <v>56</v>
      </c>
      <c r="C8" s="90">
        <v>1</v>
      </c>
      <c r="D8" s="113" t="str">
        <f t="array" aca="1" ref="D8" ca="1">IF(
    VLOOKUP(
        $A8,
        _xlfn._xlws.FILTER(
            INDIRECT("'"&amp;D$1&amp;"'!A2:E1000"), (INDIRECT("'"&amp;D$1&amp;"'!B2:B1000")=$B8) * (INDIRECT("'"&amp;D$1&amp;"'!C2:C1000")=$C8)
        ),
        5,
        FALSE
    )=0,
    "",
    VLOOKUP(
        $A8,
        _xlfn._xlws.FILTER(
            INDIRECT("'"&amp;D$1&amp;"'!A2:E1000"), (INDIRECT("'"&amp;D$1&amp;"'!B2:B1000")=$B8) * (INDIRECT("'"&amp;D$1&amp;"'!C2:C1000")=$C8)
        ),
        5,
        FALSE
    )
)</f>
        <v>Sem Técnico</v>
      </c>
      <c r="E8" s="113" t="str">
        <f t="array" aca="1" ref="E8" ca="1">IF(
    VLOOKUP(
        $A8,
        _xlfn._xlws.FILTER(
            INDIRECT("'"&amp;E$1&amp;"'!A2:E1000"), (INDIRECT("'"&amp;E$1&amp;"'!B2:B1000")=$B8) * (INDIRECT("'"&amp;E$1&amp;"'!C2:C1000")=$C8)
        ),
        5,
        FALSE
    )=0,
    "",
    VLOOKUP(
        $A8,
        _xlfn._xlws.FILTER(
            INDIRECT("'"&amp;E$1&amp;"'!A2:E1000"), (INDIRECT("'"&amp;E$1&amp;"'!B2:B1000")=$B8) * (INDIRECT("'"&amp;E$1&amp;"'!C2:C1000")=$C8)
        ),
        5,
        FALSE
    )
)</f>
        <v>Sem Técnico</v>
      </c>
      <c r="F8" s="113" t="str">
        <f t="array" aca="1" ref="F8" ca="1">IF(
    VLOOKUP(
        $A8,
        _xlfn._xlws.FILTER(
            INDIRECT("'"&amp;F$1&amp;"'!A2:E1000"), (INDIRECT("'"&amp;F$1&amp;"'!B2:B1000")=$B8) * (INDIRECT("'"&amp;F$1&amp;"'!C2:C1000")=$C8)
        ),
        5,
        FALSE
    )=0,
    "",
    VLOOKUP(
        $A8,
        _xlfn._xlws.FILTER(
            INDIRECT("'"&amp;F$1&amp;"'!A2:E1000"), (INDIRECT("'"&amp;F$1&amp;"'!B2:B1000")=$B8) * (INDIRECT("'"&amp;F$1&amp;"'!C2:C1000")=$C8)
        ),
        5,
        FALSE
    )
)</f>
        <v>Sem Técnico</v>
      </c>
      <c r="G8" s="113" t="str">
        <f t="array" aca="1" ref="G8" ca="1">IF(
    VLOOKUP(
        $A8,
        _xlfn._xlws.FILTER(
            INDIRECT("'"&amp;G$1&amp;"'!A2:E1000"), (INDIRECT("'"&amp;G$1&amp;"'!B2:B1000")=$B8) * (INDIRECT("'"&amp;G$1&amp;"'!C2:C1000")=$C8)
        ),
        5,
        FALSE
    )=0,
    "",
    VLOOKUP(
        $A8,
        _xlfn._xlws.FILTER(
            INDIRECT("'"&amp;G$1&amp;"'!A2:E1000"), (INDIRECT("'"&amp;G$1&amp;"'!B2:B1000")=$B8) * (INDIRECT("'"&amp;G$1&amp;"'!C2:C1000")=$C8)
        ),
        5,
        FALSE
    )
)</f>
        <v>Sem Técnico</v>
      </c>
      <c r="H8" s="113" t="str">
        <f t="array" aca="1" ref="H8" ca="1">IF(
    VLOOKUP(
        $A8,
        _xlfn._xlws.FILTER(
            INDIRECT("'"&amp;H$1&amp;"'!A2:E1000"), (INDIRECT("'"&amp;H$1&amp;"'!B2:B1000")=$B8) * (INDIRECT("'"&amp;H$1&amp;"'!C2:C1000")=$C8)
        ),
        5,
        FALSE
    )=0,
    "",
    VLOOKUP(
        $A8,
        _xlfn._xlws.FILTER(
            INDIRECT("'"&amp;H$1&amp;"'!A2:E1000"), (INDIRECT("'"&amp;H$1&amp;"'!B2:B1000")=$B8) * (INDIRECT("'"&amp;H$1&amp;"'!C2:C1000")=$C8)
        ),
        5,
        FALSE
    )
)</f>
        <v>Sem Técnico</v>
      </c>
      <c r="I8" s="113" t="str">
        <f t="array" aca="1" ref="I8" ca="1">IF(
    VLOOKUP(
        $A8,
        _xlfn._xlws.FILTER(
            INDIRECT("'"&amp;I$1&amp;"'!A2:E1000"), (INDIRECT("'"&amp;I$1&amp;"'!B2:B1000")=$B8) * (INDIRECT("'"&amp;I$1&amp;"'!C2:C1000")=$C8)
        ),
        5,
        FALSE
    )=0,
    "",
    VLOOKUP(
        $A8,
        _xlfn._xlws.FILTER(
            INDIRECT("'"&amp;I$1&amp;"'!A2:E1000"), (INDIRECT("'"&amp;I$1&amp;"'!B2:B1000")=$B8) * (INDIRECT("'"&amp;I$1&amp;"'!C2:C1000")=$C8)
        ),
        5,
        FALSE
    )
)</f>
        <v>Sem Técnico</v>
      </c>
      <c r="J8" s="113" t="str">
        <f t="array" aca="1" ref="J8" ca="1">IF(
    VLOOKUP(
        $A8,
        _xlfn._xlws.FILTER(
            INDIRECT("'"&amp;J$1&amp;"'!A2:E1000"), (INDIRECT("'"&amp;J$1&amp;"'!B2:B1000")=$B8) * (INDIRECT("'"&amp;J$1&amp;"'!C2:C1000")=$C8)
        ),
        5,
        FALSE
    )=0,
    "",
    VLOOKUP(
        $A8,
        _xlfn._xlws.FILTER(
            INDIRECT("'"&amp;J$1&amp;"'!A2:E1000"), (INDIRECT("'"&amp;J$1&amp;"'!B2:B1000")=$B8) * (INDIRECT("'"&amp;J$1&amp;"'!C2:C1000")=$C8)
        ),
        5,
        FALSE
    )
)</f>
        <v>Sem Técnico</v>
      </c>
      <c r="K8" s="113" t="str">
        <f t="array" aca="1" ref="K8" ca="1">IF(
    VLOOKUP(
        $A8,
        _xlfn._xlws.FILTER(
            INDIRECT("'"&amp;K$1&amp;"'!A2:E1000"), (INDIRECT("'"&amp;K$1&amp;"'!B2:B1000")=$B8) * (INDIRECT("'"&amp;K$1&amp;"'!C2:C1000")=$C8)
        ),
        5,
        FALSE
    )=0,
    "",
    VLOOKUP(
        $A8,
        _xlfn._xlws.FILTER(
            INDIRECT("'"&amp;K$1&amp;"'!A2:E1000"), (INDIRECT("'"&amp;K$1&amp;"'!B2:B1000")=$B8) * (INDIRECT("'"&amp;K$1&amp;"'!C2:C1000")=$C8)
        ),
        5,
        FALSE
    )
)</f>
        <v>Atrasado &gt;= 2</v>
      </c>
      <c r="L8" s="113" t="str">
        <f t="array" aca="1" ref="L8" ca="1">IF(
    VLOOKUP(
        $A8,
        _xlfn._xlws.FILTER(
            INDIRECT("'"&amp;L$1&amp;"'!A2:E1000"), (INDIRECT("'"&amp;L$1&amp;"'!B2:B1000")=$B8) * (INDIRECT("'"&amp;L$1&amp;"'!C2:C1000")=$C8)
        ),
        5,
        FALSE
    )=0,
    "",
    VLOOKUP(
        $A8,
        _xlfn._xlws.FILTER(
            INDIRECT("'"&amp;L$1&amp;"'!A2:E1000"), (INDIRECT("'"&amp;L$1&amp;"'!B2:B1000")=$B8) * (INDIRECT("'"&amp;L$1&amp;"'!C2:C1000")=$C8)
        ),
        5,
        FALSE
    )
)</f>
        <v>Atrasado &gt;= 2</v>
      </c>
      <c r="M8" s="113" t="str">
        <f t="array" aca="1" ref="M8" ca="1">IF(
    VLOOKUP(
        $A8,
        _xlfn._xlws.FILTER(
            INDIRECT("'"&amp;M$1&amp;"'!A2:E1000"), (INDIRECT("'"&amp;M$1&amp;"'!B2:B1000")=$B8) * (INDIRECT("'"&amp;M$1&amp;"'!C2:C1000")=$C8)
        ),
        5,
        FALSE
    )=0,
    "",
    VLOOKUP(
        $A8,
        _xlfn._xlws.FILTER(
            INDIRECT("'"&amp;M$1&amp;"'!A2:E1000"), (INDIRECT("'"&amp;M$1&amp;"'!B2:B1000")=$B8) * (INDIRECT("'"&amp;M$1&amp;"'!C2:C1000")=$C8)
        ),
        5,
        FALSE
    )
)</f>
        <v>Atrasado &gt;= 2</v>
      </c>
      <c r="N8" s="113" t="str">
        <f t="array" aca="1" ref="N8" ca="1">IF(
    VLOOKUP(
        $A8,
        _xlfn._xlws.FILTER(
            INDIRECT("'"&amp;N$1&amp;"'!A2:E1000"), (INDIRECT("'"&amp;N$1&amp;"'!B2:B1000")=$B8) * (INDIRECT("'"&amp;N$1&amp;"'!C2:C1000")=$C8)
        ),
        5,
        FALSE
    )=0,
    "",
    VLOOKUP(
        $A8,
        _xlfn._xlws.FILTER(
            INDIRECT("'"&amp;N$1&amp;"'!A2:E1000"), (INDIRECT("'"&amp;N$1&amp;"'!B2:B1000")=$B8) * (INDIRECT("'"&amp;N$1&amp;"'!C2:C1000")=$C8)
        ),
        5,
        FALSE
    )
)</f>
        <v>Atrasado</v>
      </c>
      <c r="O8" s="113" t="str">
        <f t="array" aca="1" ref="O8" ca="1">IF(
    VLOOKUP(
        $A8,
        _xlfn._xlws.FILTER(
            INDIRECT("'"&amp;O$1&amp;"'!A2:E1000"), (INDIRECT("'"&amp;O$1&amp;"'!B2:B1000")=$B8) * (INDIRECT("'"&amp;O$1&amp;"'!C2:C1000")=$C8)
        ),
        5,
        FALSE
    )=0,
    "",
    VLOOKUP(
        $A8,
        _xlfn._xlws.FILTER(
            INDIRECT("'"&amp;O$1&amp;"'!A2:E1000"), (INDIRECT("'"&amp;O$1&amp;"'!B2:B1000")=$B8) * (INDIRECT("'"&amp;O$1&amp;"'!C2:C1000")=$C8)
        ),
        5,
        FALSE
    )
)</f>
        <v/>
      </c>
    </row>
    <row r="9" spans="1:15" ht="15.75" customHeight="1">
      <c r="A9" s="86" t="s">
        <v>33</v>
      </c>
      <c r="B9" s="112" t="s">
        <v>57</v>
      </c>
      <c r="C9" s="90">
        <v>1</v>
      </c>
      <c r="D9" s="113" t="str">
        <f t="array" aca="1" ref="D9" ca="1">IF(
    VLOOKUP(
        $A9,
        _xlfn._xlws.FILTER(
            INDIRECT("'"&amp;D$1&amp;"'!A2:E1000"), (INDIRECT("'"&amp;D$1&amp;"'!B2:B1000")=$B9) * (INDIRECT("'"&amp;D$1&amp;"'!C2:C1000")=$C9)
        ),
        5,
        FALSE
    )=0,
    "",
    VLOOKUP(
        $A9,
        _xlfn._xlws.FILTER(
            INDIRECT("'"&amp;D$1&amp;"'!A2:E1000"), (INDIRECT("'"&amp;D$1&amp;"'!B2:B1000")=$B9) * (INDIRECT("'"&amp;D$1&amp;"'!C2:C1000")=$C9)
        ),
        5,
        FALSE
    )
)</f>
        <v>Sem Técnico</v>
      </c>
      <c r="E9" s="113" t="str">
        <f t="array" aca="1" ref="E9" ca="1">IF(
    VLOOKUP(
        $A9,
        _xlfn._xlws.FILTER(
            INDIRECT("'"&amp;E$1&amp;"'!A2:E1000"), (INDIRECT("'"&amp;E$1&amp;"'!B2:B1000")=$B9) * (INDIRECT("'"&amp;E$1&amp;"'!C2:C1000")=$C9)
        ),
        5,
        FALSE
    )=0,
    "",
    VLOOKUP(
        $A9,
        _xlfn._xlws.FILTER(
            INDIRECT("'"&amp;E$1&amp;"'!A2:E1000"), (INDIRECT("'"&amp;E$1&amp;"'!B2:B1000")=$B9) * (INDIRECT("'"&amp;E$1&amp;"'!C2:C1000")=$C9)
        ),
        5,
        FALSE
    )
)</f>
        <v>Sem Técnico</v>
      </c>
      <c r="F9" s="113" t="str">
        <f t="array" aca="1" ref="F9" ca="1">IF(
    VLOOKUP(
        $A9,
        _xlfn._xlws.FILTER(
            INDIRECT("'"&amp;F$1&amp;"'!A2:E1000"), (INDIRECT("'"&amp;F$1&amp;"'!B2:B1000")=$B9) * (INDIRECT("'"&amp;F$1&amp;"'!C2:C1000")=$C9)
        ),
        5,
        FALSE
    )=0,
    "",
    VLOOKUP(
        $A9,
        _xlfn._xlws.FILTER(
            INDIRECT("'"&amp;F$1&amp;"'!A2:E1000"), (INDIRECT("'"&amp;F$1&amp;"'!B2:B1000")=$B9) * (INDIRECT("'"&amp;F$1&amp;"'!C2:C1000")=$C9)
        ),
        5,
        FALSE
    )
)</f>
        <v>Sem Técnico</v>
      </c>
      <c r="G9" s="113" t="str">
        <f t="array" aca="1" ref="G9" ca="1">IF(
    VLOOKUP(
        $A9,
        _xlfn._xlws.FILTER(
            INDIRECT("'"&amp;G$1&amp;"'!A2:E1000"), (INDIRECT("'"&amp;G$1&amp;"'!B2:B1000")=$B9) * (INDIRECT("'"&amp;G$1&amp;"'!C2:C1000")=$C9)
        ),
        5,
        FALSE
    )=0,
    "",
    VLOOKUP(
        $A9,
        _xlfn._xlws.FILTER(
            INDIRECT("'"&amp;G$1&amp;"'!A2:E1000"), (INDIRECT("'"&amp;G$1&amp;"'!B2:B1000")=$B9) * (INDIRECT("'"&amp;G$1&amp;"'!C2:C1000")=$C9)
        ),
        5,
        FALSE
    )
)</f>
        <v>Sem Técnico</v>
      </c>
      <c r="H9" s="113" t="str">
        <f t="array" aca="1" ref="H9" ca="1">IF(
    VLOOKUP(
        $A9,
        _xlfn._xlws.FILTER(
            INDIRECT("'"&amp;H$1&amp;"'!A2:E1000"), (INDIRECT("'"&amp;H$1&amp;"'!B2:B1000")=$B9) * (INDIRECT("'"&amp;H$1&amp;"'!C2:C1000")=$C9)
        ),
        5,
        FALSE
    )=0,
    "",
    VLOOKUP(
        $A9,
        _xlfn._xlws.FILTER(
            INDIRECT("'"&amp;H$1&amp;"'!A2:E1000"), (INDIRECT("'"&amp;H$1&amp;"'!B2:B1000")=$B9) * (INDIRECT("'"&amp;H$1&amp;"'!C2:C1000")=$C9)
        ),
        5,
        FALSE
    )
)</f>
        <v>Sem Técnico</v>
      </c>
      <c r="I9" s="113" t="str">
        <f t="array" aca="1" ref="I9" ca="1">IF(
    VLOOKUP(
        $A9,
        _xlfn._xlws.FILTER(
            INDIRECT("'"&amp;I$1&amp;"'!A2:E1000"), (INDIRECT("'"&amp;I$1&amp;"'!B2:B1000")=$B9) * (INDIRECT("'"&amp;I$1&amp;"'!C2:C1000")=$C9)
        ),
        5,
        FALSE
    )=0,
    "",
    VLOOKUP(
        $A9,
        _xlfn._xlws.FILTER(
            INDIRECT("'"&amp;I$1&amp;"'!A2:E1000"), (INDIRECT("'"&amp;I$1&amp;"'!B2:B1000")=$B9) * (INDIRECT("'"&amp;I$1&amp;"'!C2:C1000")=$C9)
        ),
        5,
        FALSE
    )
)</f>
        <v>Sem Técnico</v>
      </c>
      <c r="J9" s="113" t="str">
        <f t="array" aca="1" ref="J9" ca="1">IF(
    VLOOKUP(
        $A9,
        _xlfn._xlws.FILTER(
            INDIRECT("'"&amp;J$1&amp;"'!A2:E1000"), (INDIRECT("'"&amp;J$1&amp;"'!B2:B1000")=$B9) * (INDIRECT("'"&amp;J$1&amp;"'!C2:C1000")=$C9)
        ),
        5,
        FALSE
    )=0,
    "",
    VLOOKUP(
        $A9,
        _xlfn._xlws.FILTER(
            INDIRECT("'"&amp;J$1&amp;"'!A2:E1000"), (INDIRECT("'"&amp;J$1&amp;"'!B2:B1000")=$B9) * (INDIRECT("'"&amp;J$1&amp;"'!C2:C1000")=$C9)
        ),
        5,
        FALSE
    )
)</f>
        <v>Sem Técnico</v>
      </c>
      <c r="K9" s="113" t="str">
        <f t="array" aca="1" ref="K9" ca="1">IF(
    VLOOKUP(
        $A9,
        _xlfn._xlws.FILTER(
            INDIRECT("'"&amp;K$1&amp;"'!A2:E1000"), (INDIRECT("'"&amp;K$1&amp;"'!B2:B1000")=$B9) * (INDIRECT("'"&amp;K$1&amp;"'!C2:C1000")=$C9)
        ),
        5,
        FALSE
    )=0,
    "",
    VLOOKUP(
        $A9,
        _xlfn._xlws.FILTER(
            INDIRECT("'"&amp;K$1&amp;"'!A2:E1000"), (INDIRECT("'"&amp;K$1&amp;"'!B2:B1000")=$B9) * (INDIRECT("'"&amp;K$1&amp;"'!C2:C1000")=$C9)
        ),
        5,
        FALSE
    )
)</f>
        <v>Atrasado &gt;= 2</v>
      </c>
      <c r="L9" s="113" t="str">
        <f t="array" aca="1" ref="L9" ca="1">IF(
    VLOOKUP(
        $A9,
        _xlfn._xlws.FILTER(
            INDIRECT("'"&amp;L$1&amp;"'!A2:E1000"), (INDIRECT("'"&amp;L$1&amp;"'!B2:B1000")=$B9) * (INDIRECT("'"&amp;L$1&amp;"'!C2:C1000")=$C9)
        ),
        5,
        FALSE
    )=0,
    "",
    VLOOKUP(
        $A9,
        _xlfn._xlws.FILTER(
            INDIRECT("'"&amp;L$1&amp;"'!A2:E1000"), (INDIRECT("'"&amp;L$1&amp;"'!B2:B1000")=$B9) * (INDIRECT("'"&amp;L$1&amp;"'!C2:C1000")=$C9)
        ),
        5,
        FALSE
    )
)</f>
        <v>Enviado</v>
      </c>
      <c r="M9" s="113" t="str">
        <f t="array" aca="1" ref="M9" ca="1">IF(
    VLOOKUP(
        $A9,
        _xlfn._xlws.FILTER(
            INDIRECT("'"&amp;M$1&amp;"'!A2:E1000"), (INDIRECT("'"&amp;M$1&amp;"'!B2:B1000")=$B9) * (INDIRECT("'"&amp;M$1&amp;"'!C2:C1000")=$C9)
        ),
        5,
        FALSE
    )=0,
    "",
    VLOOKUP(
        $A9,
        _xlfn._xlws.FILTER(
            INDIRECT("'"&amp;M$1&amp;"'!A2:E1000"), (INDIRECT("'"&amp;M$1&amp;"'!B2:B1000")=$B9) * (INDIRECT("'"&amp;M$1&amp;"'!C2:C1000")=$C9)
        ),
        5,
        FALSE
    )
)</f>
        <v>Enviado</v>
      </c>
      <c r="N9" s="113" t="str">
        <f t="array" aca="1" ref="N9" ca="1">IF(
    VLOOKUP(
        $A9,
        _xlfn._xlws.FILTER(
            INDIRECT("'"&amp;N$1&amp;"'!A2:E1000"), (INDIRECT("'"&amp;N$1&amp;"'!B2:B1000")=$B9) * (INDIRECT("'"&amp;N$1&amp;"'!C2:C1000")=$C9)
        ),
        5,
        FALSE
    )=0,
    "",
    VLOOKUP(
        $A9,
        _xlfn._xlws.FILTER(
            INDIRECT("'"&amp;N$1&amp;"'!A2:E1000"), (INDIRECT("'"&amp;N$1&amp;"'!B2:B1000")=$B9) * (INDIRECT("'"&amp;N$1&amp;"'!C2:C1000")=$C9)
        ),
        5,
        FALSE
    )
)</f>
        <v>Atrasado</v>
      </c>
      <c r="O9" s="113" t="str">
        <f t="array" aca="1" ref="O9" ca="1">IF(
    VLOOKUP(
        $A9,
        _xlfn._xlws.FILTER(
            INDIRECT("'"&amp;O$1&amp;"'!A2:E1000"), (INDIRECT("'"&amp;O$1&amp;"'!B2:B1000")=$B9) * (INDIRECT("'"&amp;O$1&amp;"'!C2:C1000")=$C9)
        ),
        5,
        FALSE
    )=0,
    "",
    VLOOKUP(
        $A9,
        _xlfn._xlws.FILTER(
            INDIRECT("'"&amp;O$1&amp;"'!A2:E1000"), (INDIRECT("'"&amp;O$1&amp;"'!B2:B1000")=$B9) * (INDIRECT("'"&amp;O$1&amp;"'!C2:C1000")=$C9)
        ),
        5,
        FALSE
    )
)</f>
        <v/>
      </c>
    </row>
    <row r="10" spans="1:15" ht="15.75" customHeight="1">
      <c r="B10" s="35"/>
    </row>
    <row r="11" spans="1:15" ht="15.75" customHeight="1">
      <c r="A11" s="34" t="s">
        <v>25</v>
      </c>
      <c r="B11" s="34" t="s">
        <v>48</v>
      </c>
      <c r="C11" s="34" t="s">
        <v>49</v>
      </c>
      <c r="D11" s="110" t="s">
        <v>1</v>
      </c>
      <c r="E11" s="110" t="s">
        <v>2</v>
      </c>
      <c r="F11" s="110" t="s">
        <v>3</v>
      </c>
      <c r="G11" s="110" t="s">
        <v>4</v>
      </c>
      <c r="H11" s="110" t="s">
        <v>5</v>
      </c>
      <c r="I11" s="110" t="s">
        <v>6</v>
      </c>
      <c r="J11" s="111" t="s">
        <v>7</v>
      </c>
      <c r="K11" s="111" t="s">
        <v>8</v>
      </c>
      <c r="L11" s="111" t="s">
        <v>9</v>
      </c>
      <c r="M11" s="111" t="s">
        <v>10</v>
      </c>
      <c r="N11" s="111" t="s">
        <v>11</v>
      </c>
      <c r="O11" s="111" t="s">
        <v>12</v>
      </c>
    </row>
    <row r="12" spans="1:15" ht="15.75" customHeight="1">
      <c r="A12" s="89" t="s">
        <v>35</v>
      </c>
      <c r="B12" s="112" t="s">
        <v>58</v>
      </c>
      <c r="C12" s="39">
        <v>1</v>
      </c>
      <c r="D12" s="113" t="str">
        <f t="array" aca="1" ref="D12" ca="1">IF(
    VLOOKUP(
        $A12,
        _xlfn._xlws.FILTER(
            INDIRECT("'"&amp;D$1&amp;"'!A2:E1000"), (INDIRECT("'"&amp;D$1&amp;"'!B2:B1000")=$B12) * (INDIRECT("'"&amp;D$1&amp;"'!C2:C1000")=$C12)
        ),
        5,
        FALSE
    )=0,
    "",
    VLOOKUP(
        $A12,
        _xlfn._xlws.FILTER(
            INDIRECT("'"&amp;D$1&amp;"'!A2:E1000"), (INDIRECT("'"&amp;D$1&amp;"'!B2:B1000")=$B12) * (INDIRECT("'"&amp;D$1&amp;"'!C2:C1000")=$C12)
        ),
        5,
        FALSE
    )
)</f>
        <v>Sem Técnico</v>
      </c>
      <c r="E12" s="113" t="str">
        <f t="array" aca="1" ref="E12" ca="1">IF(
    VLOOKUP(
        $A12,
        _xlfn._xlws.FILTER(
            INDIRECT("'"&amp;E$1&amp;"'!A2:E1000"), (INDIRECT("'"&amp;E$1&amp;"'!B2:B1000")=$B12) * (INDIRECT("'"&amp;E$1&amp;"'!C2:C1000")=$C12)
        ),
        5,
        FALSE
    )=0,
    "",
    VLOOKUP(
        $A12,
        _xlfn._xlws.FILTER(
            INDIRECT("'"&amp;E$1&amp;"'!A2:E1000"), (INDIRECT("'"&amp;E$1&amp;"'!B2:B1000")=$B12) * (INDIRECT("'"&amp;E$1&amp;"'!C2:C1000")=$C12)
        ),
        5,
        FALSE
    )
)</f>
        <v>Sem Técnico</v>
      </c>
      <c r="F12" s="113" t="str">
        <f t="array" aca="1" ref="F12" ca="1">IF(
    VLOOKUP(
        $A12,
        _xlfn._xlws.FILTER(
            INDIRECT("'"&amp;F$1&amp;"'!A2:E1000"), (INDIRECT("'"&amp;F$1&amp;"'!B2:B1000")=$B12) * (INDIRECT("'"&amp;F$1&amp;"'!C2:C1000")=$C12)
        ),
        5,
        FALSE
    )=0,
    "",
    VLOOKUP(
        $A12,
        _xlfn._xlws.FILTER(
            INDIRECT("'"&amp;F$1&amp;"'!A2:E1000"), (INDIRECT("'"&amp;F$1&amp;"'!B2:B1000")=$B12) * (INDIRECT("'"&amp;F$1&amp;"'!C2:C1000")=$C12)
        ),
        5,
        FALSE
    )
)</f>
        <v>Sem Técnico</v>
      </c>
      <c r="G12" s="113" t="str">
        <f t="array" aca="1" ref="G12" ca="1">IF(
    VLOOKUP(
        $A12,
        _xlfn._xlws.FILTER(
            INDIRECT("'"&amp;G$1&amp;"'!A2:E1000"), (INDIRECT("'"&amp;G$1&amp;"'!B2:B1000")=$B12) * (INDIRECT("'"&amp;G$1&amp;"'!C2:C1000")=$C12)
        ),
        5,
        FALSE
    )=0,
    "",
    VLOOKUP(
        $A12,
        _xlfn._xlws.FILTER(
            INDIRECT("'"&amp;G$1&amp;"'!A2:E1000"), (INDIRECT("'"&amp;G$1&amp;"'!B2:B1000")=$B12) * (INDIRECT("'"&amp;G$1&amp;"'!C2:C1000")=$C12)
        ),
        5,
        FALSE
    )
)</f>
        <v>Sem Técnico</v>
      </c>
      <c r="H12" s="113" t="str">
        <f t="array" aca="1" ref="H12" ca="1">IF(
    VLOOKUP(
        $A12,
        _xlfn._xlws.FILTER(
            INDIRECT("'"&amp;H$1&amp;"'!A2:E1000"), (INDIRECT("'"&amp;H$1&amp;"'!B2:B1000")=$B12) * (INDIRECT("'"&amp;H$1&amp;"'!C2:C1000")=$C12)
        ),
        5,
        FALSE
    )=0,
    "",
    VLOOKUP(
        $A12,
        _xlfn._xlws.FILTER(
            INDIRECT("'"&amp;H$1&amp;"'!A2:E1000"), (INDIRECT("'"&amp;H$1&amp;"'!B2:B1000")=$B12) * (INDIRECT("'"&amp;H$1&amp;"'!C2:C1000")=$C12)
        ),
        5,
        FALSE
    )
)</f>
        <v>Sem Técnico</v>
      </c>
      <c r="I12" s="113" t="str">
        <f t="array" aca="1" ref="I12" ca="1">IF(
    VLOOKUP(
        $A12,
        _xlfn._xlws.FILTER(
            INDIRECT("'"&amp;I$1&amp;"'!A2:E1000"), (INDIRECT("'"&amp;I$1&amp;"'!B2:B1000")=$B12) * (INDIRECT("'"&amp;I$1&amp;"'!C2:C1000")=$C12)
        ),
        5,
        FALSE
    )=0,
    "",
    VLOOKUP(
        $A12,
        _xlfn._xlws.FILTER(
            INDIRECT("'"&amp;I$1&amp;"'!A2:E1000"), (INDIRECT("'"&amp;I$1&amp;"'!B2:B1000")=$B12) * (INDIRECT("'"&amp;I$1&amp;"'!C2:C1000")=$C12)
        ),
        5,
        FALSE
    )
)</f>
        <v>Sem Técnico</v>
      </c>
      <c r="J12" s="113" t="str">
        <f t="array" aca="1" ref="J12" ca="1">IF(
    VLOOKUP(
        $A12,
        _xlfn._xlws.FILTER(
            INDIRECT("'"&amp;J$1&amp;"'!A2:E1000"), (INDIRECT("'"&amp;J$1&amp;"'!B2:B1000")=$B12) * (INDIRECT("'"&amp;J$1&amp;"'!C2:C1000")=$C12)
        ),
        5,
        FALSE
    )=0,
    "",
    VLOOKUP(
        $A12,
        _xlfn._xlws.FILTER(
            INDIRECT("'"&amp;J$1&amp;"'!A2:E1000"), (INDIRECT("'"&amp;J$1&amp;"'!B2:B1000")=$B12) * (INDIRECT("'"&amp;J$1&amp;"'!C2:C1000")=$C12)
        ),
        5,
        FALSE
    )
)</f>
        <v>Sem Técnico</v>
      </c>
      <c r="K12" s="113" t="str">
        <f t="array" aca="1" ref="K12" ca="1">IF(
    VLOOKUP(
        $A12,
        _xlfn._xlws.FILTER(
            INDIRECT("'"&amp;K$1&amp;"'!A2:E1000"), (INDIRECT("'"&amp;K$1&amp;"'!B2:B1000")=$B12) * (INDIRECT("'"&amp;K$1&amp;"'!C2:C1000")=$C12)
        ),
        5,
        FALSE
    )=0,
    "",
    VLOOKUP(
        $A12,
        _xlfn._xlws.FILTER(
            INDIRECT("'"&amp;K$1&amp;"'!A2:E1000"), (INDIRECT("'"&amp;K$1&amp;"'!B2:B1000")=$B12) * (INDIRECT("'"&amp;K$1&amp;"'!C2:C1000")=$C12)
        ),
        5,
        FALSE
    )
)</f>
        <v>Atrasado &gt;= 2</v>
      </c>
      <c r="L12" s="113" t="str">
        <f t="array" aca="1" ref="L12" ca="1">IF(
    VLOOKUP(
        $A12,
        _xlfn._xlws.FILTER(
            INDIRECT("'"&amp;L$1&amp;"'!A2:E1000"), (INDIRECT("'"&amp;L$1&amp;"'!B2:B1000")=$B12) * (INDIRECT("'"&amp;L$1&amp;"'!C2:C1000")=$C12)
        ),
        5,
        FALSE
    )=0,
    "",
    VLOOKUP(
        $A12,
        _xlfn._xlws.FILTER(
            INDIRECT("'"&amp;L$1&amp;"'!A2:E1000"), (INDIRECT("'"&amp;L$1&amp;"'!B2:B1000")=$B12) * (INDIRECT("'"&amp;L$1&amp;"'!C2:C1000")=$C12)
        ),
        5,
        FALSE
    )
)</f>
        <v>Atrasado &gt;= 2</v>
      </c>
      <c r="M12" s="113" t="str">
        <f t="array" aca="1" ref="M12" ca="1">IF(
    VLOOKUP(
        $A12,
        _xlfn._xlws.FILTER(
            INDIRECT("'"&amp;M$1&amp;"'!A2:E1000"), (INDIRECT("'"&amp;M$1&amp;"'!B2:B1000")=$B12) * (INDIRECT("'"&amp;M$1&amp;"'!C2:C1000")=$C12)
        ),
        5,
        FALSE
    )=0,
    "",
    VLOOKUP(
        $A12,
        _xlfn._xlws.FILTER(
            INDIRECT("'"&amp;M$1&amp;"'!A2:E1000"), (INDIRECT("'"&amp;M$1&amp;"'!B2:B1000")=$B12) * (INDIRECT("'"&amp;M$1&amp;"'!C2:C1000")=$C12)
        ),
        5,
        FALSE
    )
)</f>
        <v>Enviado</v>
      </c>
      <c r="N12" s="113" t="str">
        <f t="array" aca="1" ref="N12" ca="1">IF(
    VLOOKUP(
        $A12,
        _xlfn._xlws.FILTER(
            INDIRECT("'"&amp;N$1&amp;"'!A2:E1000"), (INDIRECT("'"&amp;N$1&amp;"'!B2:B1000")=$B12) * (INDIRECT("'"&amp;N$1&amp;"'!C2:C1000")=$C12)
        ),
        5,
        FALSE
    )=0,
    "",
    VLOOKUP(
        $A12,
        _xlfn._xlws.FILTER(
            INDIRECT("'"&amp;N$1&amp;"'!A2:E1000"), (INDIRECT("'"&amp;N$1&amp;"'!B2:B1000")=$B12) * (INDIRECT("'"&amp;N$1&amp;"'!C2:C1000")=$C12)
        ),
        5,
        FALSE
    )
)</f>
        <v>Atrasado</v>
      </c>
      <c r="O12" s="113" t="str">
        <f t="array" aca="1" ref="O12" ca="1">IF(
    VLOOKUP(
        $A12,
        _xlfn._xlws.FILTER(
            INDIRECT("'"&amp;O$1&amp;"'!A2:E1000"), (INDIRECT("'"&amp;O$1&amp;"'!B2:B1000")=$B12) * (INDIRECT("'"&amp;O$1&amp;"'!C2:C1000")=$C12)
        ),
        5,
        FALSE
    )=0,
    "",
    VLOOKUP(
        $A12,
        _xlfn._xlws.FILTER(
            INDIRECT("'"&amp;O$1&amp;"'!A2:E1000"), (INDIRECT("'"&amp;O$1&amp;"'!B2:B1000")=$B12) * (INDIRECT("'"&amp;O$1&amp;"'!C2:C1000")=$C12)
        ),
        5,
        FALSE
    )
)</f>
        <v/>
      </c>
    </row>
    <row r="13" spans="1:15" ht="15.75" customHeight="1">
      <c r="A13" s="89" t="s">
        <v>35</v>
      </c>
      <c r="B13" s="112" t="s">
        <v>59</v>
      </c>
      <c r="C13" s="39">
        <v>1</v>
      </c>
      <c r="D13" s="113" t="str">
        <f t="array" aca="1" ref="D13" ca="1">IF(
    VLOOKUP(
        $A13,
        _xlfn._xlws.FILTER(
            INDIRECT("'"&amp;D$1&amp;"'!A2:E1000"), (INDIRECT("'"&amp;D$1&amp;"'!B2:B1000")=$B13) * (INDIRECT("'"&amp;D$1&amp;"'!C2:C1000")=$C13)
        ),
        5,
        FALSE
    )=0,
    "",
    VLOOKUP(
        $A13,
        _xlfn._xlws.FILTER(
            INDIRECT("'"&amp;D$1&amp;"'!A2:E1000"), (INDIRECT("'"&amp;D$1&amp;"'!B2:B1000")=$B13) * (INDIRECT("'"&amp;D$1&amp;"'!C2:C1000")=$C13)
        ),
        5,
        FALSE
    )
)</f>
        <v>Sem Técnico</v>
      </c>
      <c r="E13" s="113" t="str">
        <f t="array" aca="1" ref="E13" ca="1">IF(
    VLOOKUP(
        $A13,
        _xlfn._xlws.FILTER(
            INDIRECT("'"&amp;E$1&amp;"'!A2:E1000"), (INDIRECT("'"&amp;E$1&amp;"'!B2:B1000")=$B13) * (INDIRECT("'"&amp;E$1&amp;"'!C2:C1000")=$C13)
        ),
        5,
        FALSE
    )=0,
    "",
    VLOOKUP(
        $A13,
        _xlfn._xlws.FILTER(
            INDIRECT("'"&amp;E$1&amp;"'!A2:E1000"), (INDIRECT("'"&amp;E$1&amp;"'!B2:B1000")=$B13) * (INDIRECT("'"&amp;E$1&amp;"'!C2:C1000")=$C13)
        ),
        5,
        FALSE
    )
)</f>
        <v>Sem Técnico</v>
      </c>
      <c r="F13" s="113" t="str">
        <f t="array" aca="1" ref="F13" ca="1">IF(
    VLOOKUP(
        $A13,
        _xlfn._xlws.FILTER(
            INDIRECT("'"&amp;F$1&amp;"'!A2:E1000"), (INDIRECT("'"&amp;F$1&amp;"'!B2:B1000")=$B13) * (INDIRECT("'"&amp;F$1&amp;"'!C2:C1000")=$C13)
        ),
        5,
        FALSE
    )=0,
    "",
    VLOOKUP(
        $A13,
        _xlfn._xlws.FILTER(
            INDIRECT("'"&amp;F$1&amp;"'!A2:E1000"), (INDIRECT("'"&amp;F$1&amp;"'!B2:B1000")=$B13) * (INDIRECT("'"&amp;F$1&amp;"'!C2:C1000")=$C13)
        ),
        5,
        FALSE
    )
)</f>
        <v>Sem Técnico</v>
      </c>
      <c r="G13" s="113" t="str">
        <f t="array" aca="1" ref="G13" ca="1">IF(
    VLOOKUP(
        $A13,
        _xlfn._xlws.FILTER(
            INDIRECT("'"&amp;G$1&amp;"'!A2:E1000"), (INDIRECT("'"&amp;G$1&amp;"'!B2:B1000")=$B13) * (INDIRECT("'"&amp;G$1&amp;"'!C2:C1000")=$C13)
        ),
        5,
        FALSE
    )=0,
    "",
    VLOOKUP(
        $A13,
        _xlfn._xlws.FILTER(
            INDIRECT("'"&amp;G$1&amp;"'!A2:E1000"), (INDIRECT("'"&amp;G$1&amp;"'!B2:B1000")=$B13) * (INDIRECT("'"&amp;G$1&amp;"'!C2:C1000")=$C13)
        ),
        5,
        FALSE
    )
)</f>
        <v>Sem Técnico</v>
      </c>
      <c r="H13" s="113" t="str">
        <f t="array" aca="1" ref="H13" ca="1">IF(
    VLOOKUP(
        $A13,
        _xlfn._xlws.FILTER(
            INDIRECT("'"&amp;H$1&amp;"'!A2:E1000"), (INDIRECT("'"&amp;H$1&amp;"'!B2:B1000")=$B13) * (INDIRECT("'"&amp;H$1&amp;"'!C2:C1000")=$C13)
        ),
        5,
        FALSE
    )=0,
    "",
    VLOOKUP(
        $A13,
        _xlfn._xlws.FILTER(
            INDIRECT("'"&amp;H$1&amp;"'!A2:E1000"), (INDIRECT("'"&amp;H$1&amp;"'!B2:B1000")=$B13) * (INDIRECT("'"&amp;H$1&amp;"'!C2:C1000")=$C13)
        ),
        5,
        FALSE
    )
)</f>
        <v>Sem Técnico</v>
      </c>
      <c r="I13" s="113" t="str">
        <f t="array" aca="1" ref="I13" ca="1">IF(
    VLOOKUP(
        $A13,
        _xlfn._xlws.FILTER(
            INDIRECT("'"&amp;I$1&amp;"'!A2:E1000"), (INDIRECT("'"&amp;I$1&amp;"'!B2:B1000")=$B13) * (INDIRECT("'"&amp;I$1&amp;"'!C2:C1000")=$C13)
        ),
        5,
        FALSE
    )=0,
    "",
    VLOOKUP(
        $A13,
        _xlfn._xlws.FILTER(
            INDIRECT("'"&amp;I$1&amp;"'!A2:E1000"), (INDIRECT("'"&amp;I$1&amp;"'!B2:B1000")=$B13) * (INDIRECT("'"&amp;I$1&amp;"'!C2:C1000")=$C13)
        ),
        5,
        FALSE
    )
)</f>
        <v>Sem Técnico</v>
      </c>
      <c r="J13" s="113" t="str">
        <f t="array" aca="1" ref="J13" ca="1">IF(
    VLOOKUP(
        $A13,
        _xlfn._xlws.FILTER(
            INDIRECT("'"&amp;J$1&amp;"'!A2:E1000"), (INDIRECT("'"&amp;J$1&amp;"'!B2:B1000")=$B13) * (INDIRECT("'"&amp;J$1&amp;"'!C2:C1000")=$C13)
        ),
        5,
        FALSE
    )=0,
    "",
    VLOOKUP(
        $A13,
        _xlfn._xlws.FILTER(
            INDIRECT("'"&amp;J$1&amp;"'!A2:E1000"), (INDIRECT("'"&amp;J$1&amp;"'!B2:B1000")=$B13) * (INDIRECT("'"&amp;J$1&amp;"'!C2:C1000")=$C13)
        ),
        5,
        FALSE
    )
)</f>
        <v>Sem Técnico</v>
      </c>
      <c r="K13" s="113" t="str">
        <f t="array" aca="1" ref="K13" ca="1">IF(
    VLOOKUP(
        $A13,
        _xlfn._xlws.FILTER(
            INDIRECT("'"&amp;K$1&amp;"'!A2:E1000"), (INDIRECT("'"&amp;K$1&amp;"'!B2:B1000")=$B13) * (INDIRECT("'"&amp;K$1&amp;"'!C2:C1000")=$C13)
        ),
        5,
        FALSE
    )=0,
    "",
    VLOOKUP(
        $A13,
        _xlfn._xlws.FILTER(
            INDIRECT("'"&amp;K$1&amp;"'!A2:E1000"), (INDIRECT("'"&amp;K$1&amp;"'!B2:B1000")=$B13) * (INDIRECT("'"&amp;K$1&amp;"'!C2:C1000")=$C13)
        ),
        5,
        FALSE
    )
)</f>
        <v>Atrasado &gt;= 2</v>
      </c>
      <c r="L13" s="113" t="str">
        <f t="array" aca="1" ref="L13" ca="1">IF(
    VLOOKUP(
        $A13,
        _xlfn._xlws.FILTER(
            INDIRECT("'"&amp;L$1&amp;"'!A2:E1000"), (INDIRECT("'"&amp;L$1&amp;"'!B2:B1000")=$B13) * (INDIRECT("'"&amp;L$1&amp;"'!C2:C1000")=$C13)
        ),
        5,
        FALSE
    )=0,
    "",
    VLOOKUP(
        $A13,
        _xlfn._xlws.FILTER(
            INDIRECT("'"&amp;L$1&amp;"'!A2:E1000"), (INDIRECT("'"&amp;L$1&amp;"'!B2:B1000")=$B13) * (INDIRECT("'"&amp;L$1&amp;"'!C2:C1000")=$C13)
        ),
        5,
        FALSE
    )
)</f>
        <v>Atrasado &gt;= 2</v>
      </c>
      <c r="M13" s="113" t="str">
        <f t="array" aca="1" ref="M13" ca="1">IF(
    VLOOKUP(
        $A13,
        _xlfn._xlws.FILTER(
            INDIRECT("'"&amp;M$1&amp;"'!A2:E1000"), (INDIRECT("'"&amp;M$1&amp;"'!B2:B1000")=$B13) * (INDIRECT("'"&amp;M$1&amp;"'!C2:C1000")=$C13)
        ),
        5,
        FALSE
    )=0,
    "",
    VLOOKUP(
        $A13,
        _xlfn._xlws.FILTER(
            INDIRECT("'"&amp;M$1&amp;"'!A2:E1000"), (INDIRECT("'"&amp;M$1&amp;"'!B2:B1000")=$B13) * (INDIRECT("'"&amp;M$1&amp;"'!C2:C1000")=$C13)
        ),
        5,
        FALSE
    )
)</f>
        <v>Atrasado &gt;= 2</v>
      </c>
      <c r="N13" s="113" t="str">
        <f t="array" aca="1" ref="N13" ca="1">IF(
    VLOOKUP(
        $A13,
        _xlfn._xlws.FILTER(
            INDIRECT("'"&amp;N$1&amp;"'!A2:E1000"), (INDIRECT("'"&amp;N$1&amp;"'!B2:B1000")=$B13) * (INDIRECT("'"&amp;N$1&amp;"'!C2:C1000")=$C13)
        ),
        5,
        FALSE
    )=0,
    "",
    VLOOKUP(
        $A13,
        _xlfn._xlws.FILTER(
            INDIRECT("'"&amp;N$1&amp;"'!A2:E1000"), (INDIRECT("'"&amp;N$1&amp;"'!B2:B1000")=$B13) * (INDIRECT("'"&amp;N$1&amp;"'!C2:C1000")=$C13)
        ),
        5,
        FALSE
    )
)</f>
        <v>Atrasado</v>
      </c>
      <c r="O13" s="113" t="str">
        <f t="array" aca="1" ref="O13" ca="1">IF(
    VLOOKUP(
        $A13,
        _xlfn._xlws.FILTER(
            INDIRECT("'"&amp;O$1&amp;"'!A2:E1000"), (INDIRECT("'"&amp;O$1&amp;"'!B2:B1000")=$B13) * (INDIRECT("'"&amp;O$1&amp;"'!C2:C1000")=$C13)
        ),
        5,
        FALSE
    )=0,
    "",
    VLOOKUP(
        $A13,
        _xlfn._xlws.FILTER(
            INDIRECT("'"&amp;O$1&amp;"'!A2:E1000"), (INDIRECT("'"&amp;O$1&amp;"'!B2:B1000")=$B13) * (INDIRECT("'"&amp;O$1&amp;"'!C2:C1000")=$C13)
        ),
        5,
        FALSE
    )
)</f>
        <v/>
      </c>
    </row>
    <row r="14" spans="1:15" ht="15.75" customHeight="1">
      <c r="A14" s="89" t="s">
        <v>35</v>
      </c>
      <c r="B14" s="112" t="s">
        <v>60</v>
      </c>
      <c r="C14" s="39">
        <v>1</v>
      </c>
      <c r="D14" s="113" t="str">
        <f t="array" aca="1" ref="D14" ca="1">IF(
    VLOOKUP(
        $A14,
        _xlfn._xlws.FILTER(
            INDIRECT("'"&amp;D$1&amp;"'!A2:E1000"), (INDIRECT("'"&amp;D$1&amp;"'!B2:B1000")=$B14) * (INDIRECT("'"&amp;D$1&amp;"'!C2:C1000")=$C14)
        ),
        5,
        FALSE
    )=0,
    "",
    VLOOKUP(
        $A14,
        _xlfn._xlws.FILTER(
            INDIRECT("'"&amp;D$1&amp;"'!A2:E1000"), (INDIRECT("'"&amp;D$1&amp;"'!B2:B1000")=$B14) * (INDIRECT("'"&amp;D$1&amp;"'!C2:C1000")=$C14)
        ),
        5,
        FALSE
    )
)</f>
        <v>Sem Técnico</v>
      </c>
      <c r="E14" s="113" t="str">
        <f t="array" aca="1" ref="E14" ca="1">IF(
    VLOOKUP(
        $A14,
        _xlfn._xlws.FILTER(
            INDIRECT("'"&amp;E$1&amp;"'!A2:E1000"), (INDIRECT("'"&amp;E$1&amp;"'!B2:B1000")=$B14) * (INDIRECT("'"&amp;E$1&amp;"'!C2:C1000")=$C14)
        ),
        5,
        FALSE
    )=0,
    "",
    VLOOKUP(
        $A14,
        _xlfn._xlws.FILTER(
            INDIRECT("'"&amp;E$1&amp;"'!A2:E1000"), (INDIRECT("'"&amp;E$1&amp;"'!B2:B1000")=$B14) * (INDIRECT("'"&amp;E$1&amp;"'!C2:C1000")=$C14)
        ),
        5,
        FALSE
    )
)</f>
        <v>Sem Técnico</v>
      </c>
      <c r="F14" s="113" t="str">
        <f t="array" aca="1" ref="F14" ca="1">IF(
    VLOOKUP(
        $A14,
        _xlfn._xlws.FILTER(
            INDIRECT("'"&amp;F$1&amp;"'!A2:E1000"), (INDIRECT("'"&amp;F$1&amp;"'!B2:B1000")=$B14) * (INDIRECT("'"&amp;F$1&amp;"'!C2:C1000")=$C14)
        ),
        5,
        FALSE
    )=0,
    "",
    VLOOKUP(
        $A14,
        _xlfn._xlws.FILTER(
            INDIRECT("'"&amp;F$1&amp;"'!A2:E1000"), (INDIRECT("'"&amp;F$1&amp;"'!B2:B1000")=$B14) * (INDIRECT("'"&amp;F$1&amp;"'!C2:C1000")=$C14)
        ),
        5,
        FALSE
    )
)</f>
        <v>Sem Técnico</v>
      </c>
      <c r="G14" s="113" t="str">
        <f t="array" aca="1" ref="G14" ca="1">IF(
    VLOOKUP(
        $A14,
        _xlfn._xlws.FILTER(
            INDIRECT("'"&amp;G$1&amp;"'!A2:E1000"), (INDIRECT("'"&amp;G$1&amp;"'!B2:B1000")=$B14) * (INDIRECT("'"&amp;G$1&amp;"'!C2:C1000")=$C14)
        ),
        5,
        FALSE
    )=0,
    "",
    VLOOKUP(
        $A14,
        _xlfn._xlws.FILTER(
            INDIRECT("'"&amp;G$1&amp;"'!A2:E1000"), (INDIRECT("'"&amp;G$1&amp;"'!B2:B1000")=$B14) * (INDIRECT("'"&amp;G$1&amp;"'!C2:C1000")=$C14)
        ),
        5,
        FALSE
    )
)</f>
        <v>Sem Técnico</v>
      </c>
      <c r="H14" s="113" t="str">
        <f t="array" aca="1" ref="H14" ca="1">IF(
    VLOOKUP(
        $A14,
        _xlfn._xlws.FILTER(
            INDIRECT("'"&amp;H$1&amp;"'!A2:E1000"), (INDIRECT("'"&amp;H$1&amp;"'!B2:B1000")=$B14) * (INDIRECT("'"&amp;H$1&amp;"'!C2:C1000")=$C14)
        ),
        5,
        FALSE
    )=0,
    "",
    VLOOKUP(
        $A14,
        _xlfn._xlws.FILTER(
            INDIRECT("'"&amp;H$1&amp;"'!A2:E1000"), (INDIRECT("'"&amp;H$1&amp;"'!B2:B1000")=$B14) * (INDIRECT("'"&amp;H$1&amp;"'!C2:C1000")=$C14)
        ),
        5,
        FALSE
    )
)</f>
        <v>Sem Técnico</v>
      </c>
      <c r="I14" s="113" t="str">
        <f t="array" aca="1" ref="I14" ca="1">IF(
    VLOOKUP(
        $A14,
        _xlfn._xlws.FILTER(
            INDIRECT("'"&amp;I$1&amp;"'!A2:E1000"), (INDIRECT("'"&amp;I$1&amp;"'!B2:B1000")=$B14) * (INDIRECT("'"&amp;I$1&amp;"'!C2:C1000")=$C14)
        ),
        5,
        FALSE
    )=0,
    "",
    VLOOKUP(
        $A14,
        _xlfn._xlws.FILTER(
            INDIRECT("'"&amp;I$1&amp;"'!A2:E1000"), (INDIRECT("'"&amp;I$1&amp;"'!B2:B1000")=$B14) * (INDIRECT("'"&amp;I$1&amp;"'!C2:C1000")=$C14)
        ),
        5,
        FALSE
    )
)</f>
        <v>Sem Técnico</v>
      </c>
      <c r="J14" s="113" t="str">
        <f t="array" aca="1" ref="J14" ca="1">IF(
    VLOOKUP(
        $A14,
        _xlfn._xlws.FILTER(
            INDIRECT("'"&amp;J$1&amp;"'!A2:E1000"), (INDIRECT("'"&amp;J$1&amp;"'!B2:B1000")=$B14) * (INDIRECT("'"&amp;J$1&amp;"'!C2:C1000")=$C14)
        ),
        5,
        FALSE
    )=0,
    "",
    VLOOKUP(
        $A14,
        _xlfn._xlws.FILTER(
            INDIRECT("'"&amp;J$1&amp;"'!A2:E1000"), (INDIRECT("'"&amp;J$1&amp;"'!B2:B1000")=$B14) * (INDIRECT("'"&amp;J$1&amp;"'!C2:C1000")=$C14)
        ),
        5,
        FALSE
    )
)</f>
        <v>Sem Técnico</v>
      </c>
      <c r="K14" s="113" t="str">
        <f t="array" aca="1" ref="K14" ca="1">IF(
    VLOOKUP(
        $A14,
        _xlfn._xlws.FILTER(
            INDIRECT("'"&amp;K$1&amp;"'!A2:E1000"), (INDIRECT("'"&amp;K$1&amp;"'!B2:B1000")=$B14) * (INDIRECT("'"&amp;K$1&amp;"'!C2:C1000")=$C14)
        ),
        5,
        FALSE
    )=0,
    "",
    VLOOKUP(
        $A14,
        _xlfn._xlws.FILTER(
            INDIRECT("'"&amp;K$1&amp;"'!A2:E1000"), (INDIRECT("'"&amp;K$1&amp;"'!B2:B1000")=$B14) * (INDIRECT("'"&amp;K$1&amp;"'!C2:C1000")=$C14)
        ),
        5,
        FALSE
    )
)</f>
        <v>Atrasado &gt;= 2</v>
      </c>
      <c r="L14" s="113" t="str">
        <f t="array" aca="1" ref="L14" ca="1">IF(
    VLOOKUP(
        $A14,
        _xlfn._xlws.FILTER(
            INDIRECT("'"&amp;L$1&amp;"'!A2:E1000"), (INDIRECT("'"&amp;L$1&amp;"'!B2:B1000")=$B14) * (INDIRECT("'"&amp;L$1&amp;"'!C2:C1000")=$C14)
        ),
        5,
        FALSE
    )=0,
    "",
    VLOOKUP(
        $A14,
        _xlfn._xlws.FILTER(
            INDIRECT("'"&amp;L$1&amp;"'!A2:E1000"), (INDIRECT("'"&amp;L$1&amp;"'!B2:B1000")=$B14) * (INDIRECT("'"&amp;L$1&amp;"'!C2:C1000")=$C14)
        ),
        5,
        FALSE
    )
)</f>
        <v>Enviado</v>
      </c>
      <c r="M14" s="113" t="str">
        <f t="array" aca="1" ref="M14" ca="1">IF(
    VLOOKUP(
        $A14,
        _xlfn._xlws.FILTER(
            INDIRECT("'"&amp;M$1&amp;"'!A2:E1000"), (INDIRECT("'"&amp;M$1&amp;"'!B2:B1000")=$B14) * (INDIRECT("'"&amp;M$1&amp;"'!C2:C1000")=$C14)
        ),
        5,
        FALSE
    )=0,
    "",
    VLOOKUP(
        $A14,
        _xlfn._xlws.FILTER(
            INDIRECT("'"&amp;M$1&amp;"'!A2:E1000"), (INDIRECT("'"&amp;M$1&amp;"'!B2:B1000")=$B14) * (INDIRECT("'"&amp;M$1&amp;"'!C2:C1000")=$C14)
        ),
        5,
        FALSE
    )
)</f>
        <v>Enviado</v>
      </c>
      <c r="N14" s="113" t="str">
        <f t="array" aca="1" ref="N14" ca="1">IF(
    VLOOKUP(
        $A14,
        _xlfn._xlws.FILTER(
            INDIRECT("'"&amp;N$1&amp;"'!A2:E1000"), (INDIRECT("'"&amp;N$1&amp;"'!B2:B1000")=$B14) * (INDIRECT("'"&amp;N$1&amp;"'!C2:C1000")=$C14)
        ),
        5,
        FALSE
    )=0,
    "",
    VLOOKUP(
        $A14,
        _xlfn._xlws.FILTER(
            INDIRECT("'"&amp;N$1&amp;"'!A2:E1000"), (INDIRECT("'"&amp;N$1&amp;"'!B2:B1000")=$B14) * (INDIRECT("'"&amp;N$1&amp;"'!C2:C1000")=$C14)
        ),
        5,
        FALSE
    )
)</f>
        <v>Atrasado</v>
      </c>
      <c r="O14" s="113" t="str">
        <f t="array" aca="1" ref="O14" ca="1">IF(
    VLOOKUP(
        $A14,
        _xlfn._xlws.FILTER(
            INDIRECT("'"&amp;O$1&amp;"'!A2:E1000"), (INDIRECT("'"&amp;O$1&amp;"'!B2:B1000")=$B14) * (INDIRECT("'"&amp;O$1&amp;"'!C2:C1000")=$C14)
        ),
        5,
        FALSE
    )=0,
    "",
    VLOOKUP(
        $A14,
        _xlfn._xlws.FILTER(
            INDIRECT("'"&amp;O$1&amp;"'!A2:E1000"), (INDIRECT("'"&amp;O$1&amp;"'!B2:B1000")=$B14) * (INDIRECT("'"&amp;O$1&amp;"'!C2:C1000")=$C14)
        ),
        5,
        FALSE
    )
)</f>
        <v/>
      </c>
    </row>
    <row r="15" spans="1:15" ht="15.75" customHeight="1">
      <c r="A15" s="89" t="s">
        <v>35</v>
      </c>
      <c r="B15" s="112" t="s">
        <v>61</v>
      </c>
      <c r="C15" s="39">
        <v>1</v>
      </c>
      <c r="D15" s="113" t="str">
        <f t="array" aca="1" ref="D15" ca="1">IF(
    VLOOKUP(
        $A15,
        _xlfn._xlws.FILTER(
            INDIRECT("'"&amp;D$1&amp;"'!A2:E1000"), (INDIRECT("'"&amp;D$1&amp;"'!B2:B1000")=$B15) * (INDIRECT("'"&amp;D$1&amp;"'!C2:C1000")=$C15)
        ),
        5,
        FALSE
    )=0,
    "",
    VLOOKUP(
        $A15,
        _xlfn._xlws.FILTER(
            INDIRECT("'"&amp;D$1&amp;"'!A2:E1000"), (INDIRECT("'"&amp;D$1&amp;"'!B2:B1000")=$B15) * (INDIRECT("'"&amp;D$1&amp;"'!C2:C1000")=$C15)
        ),
        5,
        FALSE
    )
)</f>
        <v>Sem Técnico</v>
      </c>
      <c r="E15" s="113" t="str">
        <f t="array" aca="1" ref="E15" ca="1">IF(
    VLOOKUP(
        $A15,
        _xlfn._xlws.FILTER(
            INDIRECT("'"&amp;E$1&amp;"'!A2:E1000"), (INDIRECT("'"&amp;E$1&amp;"'!B2:B1000")=$B15) * (INDIRECT("'"&amp;E$1&amp;"'!C2:C1000")=$C15)
        ),
        5,
        FALSE
    )=0,
    "",
    VLOOKUP(
        $A15,
        _xlfn._xlws.FILTER(
            INDIRECT("'"&amp;E$1&amp;"'!A2:E1000"), (INDIRECT("'"&amp;E$1&amp;"'!B2:B1000")=$B15) * (INDIRECT("'"&amp;E$1&amp;"'!C2:C1000")=$C15)
        ),
        5,
        FALSE
    )
)</f>
        <v>Sem Técnico</v>
      </c>
      <c r="F15" s="113" t="str">
        <f t="array" aca="1" ref="F15" ca="1">IF(
    VLOOKUP(
        $A15,
        _xlfn._xlws.FILTER(
            INDIRECT("'"&amp;F$1&amp;"'!A2:E1000"), (INDIRECT("'"&amp;F$1&amp;"'!B2:B1000")=$B15) * (INDIRECT("'"&amp;F$1&amp;"'!C2:C1000")=$C15)
        ),
        5,
        FALSE
    )=0,
    "",
    VLOOKUP(
        $A15,
        _xlfn._xlws.FILTER(
            INDIRECT("'"&amp;F$1&amp;"'!A2:E1000"), (INDIRECT("'"&amp;F$1&amp;"'!B2:B1000")=$B15) * (INDIRECT("'"&amp;F$1&amp;"'!C2:C1000")=$C15)
        ),
        5,
        FALSE
    )
)</f>
        <v>Sem Técnico</v>
      </c>
      <c r="G15" s="113" t="str">
        <f t="array" aca="1" ref="G15" ca="1">IF(
    VLOOKUP(
        $A15,
        _xlfn._xlws.FILTER(
            INDIRECT("'"&amp;G$1&amp;"'!A2:E1000"), (INDIRECT("'"&amp;G$1&amp;"'!B2:B1000")=$B15) * (INDIRECT("'"&amp;G$1&amp;"'!C2:C1000")=$C15)
        ),
        5,
        FALSE
    )=0,
    "",
    VLOOKUP(
        $A15,
        _xlfn._xlws.FILTER(
            INDIRECT("'"&amp;G$1&amp;"'!A2:E1000"), (INDIRECT("'"&amp;G$1&amp;"'!B2:B1000")=$B15) * (INDIRECT("'"&amp;G$1&amp;"'!C2:C1000")=$C15)
        ),
        5,
        FALSE
    )
)</f>
        <v>Sem Técnico</v>
      </c>
      <c r="H15" s="113" t="str">
        <f t="array" aca="1" ref="H15" ca="1">IF(
    VLOOKUP(
        $A15,
        _xlfn._xlws.FILTER(
            INDIRECT("'"&amp;H$1&amp;"'!A2:E1000"), (INDIRECT("'"&amp;H$1&amp;"'!B2:B1000")=$B15) * (INDIRECT("'"&amp;H$1&amp;"'!C2:C1000")=$C15)
        ),
        5,
        FALSE
    )=0,
    "",
    VLOOKUP(
        $A15,
        _xlfn._xlws.FILTER(
            INDIRECT("'"&amp;H$1&amp;"'!A2:E1000"), (INDIRECT("'"&amp;H$1&amp;"'!B2:B1000")=$B15) * (INDIRECT("'"&amp;H$1&amp;"'!C2:C1000")=$C15)
        ),
        5,
        FALSE
    )
)</f>
        <v>Sem Técnico</v>
      </c>
      <c r="I15" s="113" t="str">
        <f t="array" aca="1" ref="I15" ca="1">IF(
    VLOOKUP(
        $A15,
        _xlfn._xlws.FILTER(
            INDIRECT("'"&amp;I$1&amp;"'!A2:E1000"), (INDIRECT("'"&amp;I$1&amp;"'!B2:B1000")=$B15) * (INDIRECT("'"&amp;I$1&amp;"'!C2:C1000")=$C15)
        ),
        5,
        FALSE
    )=0,
    "",
    VLOOKUP(
        $A15,
        _xlfn._xlws.FILTER(
            INDIRECT("'"&amp;I$1&amp;"'!A2:E1000"), (INDIRECT("'"&amp;I$1&amp;"'!B2:B1000")=$B15) * (INDIRECT("'"&amp;I$1&amp;"'!C2:C1000")=$C15)
        ),
        5,
        FALSE
    )
)</f>
        <v>Sem Técnico</v>
      </c>
      <c r="J15" s="113" t="str">
        <f t="array" aca="1" ref="J15" ca="1">IF(
    VLOOKUP(
        $A15,
        _xlfn._xlws.FILTER(
            INDIRECT("'"&amp;J$1&amp;"'!A2:E1000"), (INDIRECT("'"&amp;J$1&amp;"'!B2:B1000")=$B15) * (INDIRECT("'"&amp;J$1&amp;"'!C2:C1000")=$C15)
        ),
        5,
        FALSE
    )=0,
    "",
    VLOOKUP(
        $A15,
        _xlfn._xlws.FILTER(
            INDIRECT("'"&amp;J$1&amp;"'!A2:E1000"), (INDIRECT("'"&amp;J$1&amp;"'!B2:B1000")=$B15) * (INDIRECT("'"&amp;J$1&amp;"'!C2:C1000")=$C15)
        ),
        5,
        FALSE
    )
)</f>
        <v>Sem Técnico</v>
      </c>
      <c r="K15" s="113" t="str">
        <f t="array" aca="1" ref="K15" ca="1">IF(
    VLOOKUP(
        $A15,
        _xlfn._xlws.FILTER(
            INDIRECT("'"&amp;K$1&amp;"'!A2:E1000"), (INDIRECT("'"&amp;K$1&amp;"'!B2:B1000")=$B15) * (INDIRECT("'"&amp;K$1&amp;"'!C2:C1000")=$C15)
        ),
        5,
        FALSE
    )=0,
    "",
    VLOOKUP(
        $A15,
        _xlfn._xlws.FILTER(
            INDIRECT("'"&amp;K$1&amp;"'!A2:E1000"), (INDIRECT("'"&amp;K$1&amp;"'!B2:B1000")=$B15) * (INDIRECT("'"&amp;K$1&amp;"'!C2:C1000")=$C15)
        ),
        5,
        FALSE
    )
)</f>
        <v>Atrasado &gt;= 2</v>
      </c>
      <c r="L15" s="113" t="str">
        <f t="array" aca="1" ref="L15" ca="1">IF(
    VLOOKUP(
        $A15,
        _xlfn._xlws.FILTER(
            INDIRECT("'"&amp;L$1&amp;"'!A2:E1000"), (INDIRECT("'"&amp;L$1&amp;"'!B2:B1000")=$B15) * (INDIRECT("'"&amp;L$1&amp;"'!C2:C1000")=$C15)
        ),
        5,
        FALSE
    )=0,
    "",
    VLOOKUP(
        $A15,
        _xlfn._xlws.FILTER(
            INDIRECT("'"&amp;L$1&amp;"'!A2:E1000"), (INDIRECT("'"&amp;L$1&amp;"'!B2:B1000")=$B15) * (INDIRECT("'"&amp;L$1&amp;"'!C2:C1000")=$C15)
        ),
        5,
        FALSE
    )
)</f>
        <v>Atrasado &gt;= 2</v>
      </c>
      <c r="M15" s="113" t="str">
        <f t="array" aca="1" ref="M15" ca="1">IF(
    VLOOKUP(
        $A15,
        _xlfn._xlws.FILTER(
            INDIRECT("'"&amp;M$1&amp;"'!A2:E1000"), (INDIRECT("'"&amp;M$1&amp;"'!B2:B1000")=$B15) * (INDIRECT("'"&amp;M$1&amp;"'!C2:C1000")=$C15)
        ),
        5,
        FALSE
    )=0,
    "",
    VLOOKUP(
        $A15,
        _xlfn._xlws.FILTER(
            INDIRECT("'"&amp;M$1&amp;"'!A2:E1000"), (INDIRECT("'"&amp;M$1&amp;"'!B2:B1000")=$B15) * (INDIRECT("'"&amp;M$1&amp;"'!C2:C1000")=$C15)
        ),
        5,
        FALSE
    )
)</f>
        <v>Atrasado &gt;= 2</v>
      </c>
      <c r="N15" s="113" t="str">
        <f t="array" aca="1" ref="N15" ca="1">IF(
    VLOOKUP(
        $A15,
        _xlfn._xlws.FILTER(
            INDIRECT("'"&amp;N$1&amp;"'!A2:E1000"), (INDIRECT("'"&amp;N$1&amp;"'!B2:B1000")=$B15) * (INDIRECT("'"&amp;N$1&amp;"'!C2:C1000")=$C15)
        ),
        5,
        FALSE
    )=0,
    "",
    VLOOKUP(
        $A15,
        _xlfn._xlws.FILTER(
            INDIRECT("'"&amp;N$1&amp;"'!A2:E1000"), (INDIRECT("'"&amp;N$1&amp;"'!B2:B1000")=$B15) * (INDIRECT("'"&amp;N$1&amp;"'!C2:C1000")=$C15)
        ),
        5,
        FALSE
    )
)</f>
        <v>Atrasado</v>
      </c>
      <c r="O15" s="113" t="str">
        <f t="array" aca="1" ref="O15" ca="1">IF(
    VLOOKUP(
        $A15,
        _xlfn._xlws.FILTER(
            INDIRECT("'"&amp;O$1&amp;"'!A2:E1000"), (INDIRECT("'"&amp;O$1&amp;"'!B2:B1000")=$B15) * (INDIRECT("'"&amp;O$1&amp;"'!C2:C1000")=$C15)
        ),
        5,
        FALSE
    )=0,
    "",
    VLOOKUP(
        $A15,
        _xlfn._xlws.FILTER(
            INDIRECT("'"&amp;O$1&amp;"'!A2:E1000"), (INDIRECT("'"&amp;O$1&amp;"'!B2:B1000")=$B15) * (INDIRECT("'"&amp;O$1&amp;"'!C2:C1000")=$C15)
        ),
        5,
        FALSE
    )
)</f>
        <v/>
      </c>
    </row>
    <row r="16" spans="1:15">
      <c r="A16" s="89" t="s">
        <v>35</v>
      </c>
      <c r="B16" s="112" t="s">
        <v>62</v>
      </c>
      <c r="C16" s="39">
        <v>1</v>
      </c>
      <c r="D16" s="113" t="str">
        <f t="array" aca="1" ref="D16" ca="1">IF(
    VLOOKUP(
        $A16,
        _xlfn._xlws.FILTER(
            INDIRECT("'"&amp;D$1&amp;"'!A2:E1000"), (INDIRECT("'"&amp;D$1&amp;"'!B2:B1000")=$B16) * (INDIRECT("'"&amp;D$1&amp;"'!C2:C1000")=$C16)
        ),
        5,
        FALSE
    )=0,
    "",
    VLOOKUP(
        $A16,
        _xlfn._xlws.FILTER(
            INDIRECT("'"&amp;D$1&amp;"'!A2:E1000"), (INDIRECT("'"&amp;D$1&amp;"'!B2:B1000")=$B16) * (INDIRECT("'"&amp;D$1&amp;"'!C2:C1000")=$C16)
        ),
        5,
        FALSE
    )
)</f>
        <v>Sem Técnico</v>
      </c>
      <c r="E16" s="113" t="str">
        <f t="array" aca="1" ref="E16" ca="1">IF(
    VLOOKUP(
        $A16,
        _xlfn._xlws.FILTER(
            INDIRECT("'"&amp;E$1&amp;"'!A2:E1000"), (INDIRECT("'"&amp;E$1&amp;"'!B2:B1000")=$B16) * (INDIRECT("'"&amp;E$1&amp;"'!C2:C1000")=$C16)
        ),
        5,
        FALSE
    )=0,
    "",
    VLOOKUP(
        $A16,
        _xlfn._xlws.FILTER(
            INDIRECT("'"&amp;E$1&amp;"'!A2:E1000"), (INDIRECT("'"&amp;E$1&amp;"'!B2:B1000")=$B16) * (INDIRECT("'"&amp;E$1&amp;"'!C2:C1000")=$C16)
        ),
        5,
        FALSE
    )
)</f>
        <v>Sem Técnico</v>
      </c>
      <c r="F16" s="113" t="str">
        <f t="array" aca="1" ref="F16" ca="1">IF(
    VLOOKUP(
        $A16,
        _xlfn._xlws.FILTER(
            INDIRECT("'"&amp;F$1&amp;"'!A2:E1000"), (INDIRECT("'"&amp;F$1&amp;"'!B2:B1000")=$B16) * (INDIRECT("'"&amp;F$1&amp;"'!C2:C1000")=$C16)
        ),
        5,
        FALSE
    )=0,
    "",
    VLOOKUP(
        $A16,
        _xlfn._xlws.FILTER(
            INDIRECT("'"&amp;F$1&amp;"'!A2:E1000"), (INDIRECT("'"&amp;F$1&amp;"'!B2:B1000")=$B16) * (INDIRECT("'"&amp;F$1&amp;"'!C2:C1000")=$C16)
        ),
        5,
        FALSE
    )
)</f>
        <v>Sem Técnico</v>
      </c>
      <c r="G16" s="113" t="str">
        <f t="array" aca="1" ref="G16" ca="1">IF(
    VLOOKUP(
        $A16,
        _xlfn._xlws.FILTER(
            INDIRECT("'"&amp;G$1&amp;"'!A2:E1000"), (INDIRECT("'"&amp;G$1&amp;"'!B2:B1000")=$B16) * (INDIRECT("'"&amp;G$1&amp;"'!C2:C1000")=$C16)
        ),
        5,
        FALSE
    )=0,
    "",
    VLOOKUP(
        $A16,
        _xlfn._xlws.FILTER(
            INDIRECT("'"&amp;G$1&amp;"'!A2:E1000"), (INDIRECT("'"&amp;G$1&amp;"'!B2:B1000")=$B16) * (INDIRECT("'"&amp;G$1&amp;"'!C2:C1000")=$C16)
        ),
        5,
        FALSE
    )
)</f>
        <v>Sem Técnico</v>
      </c>
      <c r="H16" s="113" t="str">
        <f t="array" aca="1" ref="H16" ca="1">IF(
    VLOOKUP(
        $A16,
        _xlfn._xlws.FILTER(
            INDIRECT("'"&amp;H$1&amp;"'!A2:E1000"), (INDIRECT("'"&amp;H$1&amp;"'!B2:B1000")=$B16) * (INDIRECT("'"&amp;H$1&amp;"'!C2:C1000")=$C16)
        ),
        5,
        FALSE
    )=0,
    "",
    VLOOKUP(
        $A16,
        _xlfn._xlws.FILTER(
            INDIRECT("'"&amp;H$1&amp;"'!A2:E1000"), (INDIRECT("'"&amp;H$1&amp;"'!B2:B1000")=$B16) * (INDIRECT("'"&amp;H$1&amp;"'!C2:C1000")=$C16)
        ),
        5,
        FALSE
    )
)</f>
        <v>Sem Técnico</v>
      </c>
      <c r="I16" s="113" t="str">
        <f t="array" aca="1" ref="I16" ca="1">IF(
    VLOOKUP(
        $A16,
        _xlfn._xlws.FILTER(
            INDIRECT("'"&amp;I$1&amp;"'!A2:E1000"), (INDIRECT("'"&amp;I$1&amp;"'!B2:B1000")=$B16) * (INDIRECT("'"&amp;I$1&amp;"'!C2:C1000")=$C16)
        ),
        5,
        FALSE
    )=0,
    "",
    VLOOKUP(
        $A16,
        _xlfn._xlws.FILTER(
            INDIRECT("'"&amp;I$1&amp;"'!A2:E1000"), (INDIRECT("'"&amp;I$1&amp;"'!B2:B1000")=$B16) * (INDIRECT("'"&amp;I$1&amp;"'!C2:C1000")=$C16)
        ),
        5,
        FALSE
    )
)</f>
        <v>Sem Técnico</v>
      </c>
      <c r="J16" s="113" t="str">
        <f t="array" aca="1" ref="J16" ca="1">IF(
    VLOOKUP(
        $A16,
        _xlfn._xlws.FILTER(
            INDIRECT("'"&amp;J$1&amp;"'!A2:E1000"), (INDIRECT("'"&amp;J$1&amp;"'!B2:B1000")=$B16) * (INDIRECT("'"&amp;J$1&amp;"'!C2:C1000")=$C16)
        ),
        5,
        FALSE
    )=0,
    "",
    VLOOKUP(
        $A16,
        _xlfn._xlws.FILTER(
            INDIRECT("'"&amp;J$1&amp;"'!A2:E1000"), (INDIRECT("'"&amp;J$1&amp;"'!B2:B1000")=$B16) * (INDIRECT("'"&amp;J$1&amp;"'!C2:C1000")=$C16)
        ),
        5,
        FALSE
    )
)</f>
        <v>Sem Técnico</v>
      </c>
      <c r="K16" s="113" t="str">
        <f t="array" aca="1" ref="K16" ca="1">IF(
    VLOOKUP(
        $A16,
        _xlfn._xlws.FILTER(
            INDIRECT("'"&amp;K$1&amp;"'!A2:E1000"), (INDIRECT("'"&amp;K$1&amp;"'!B2:B1000")=$B16) * (INDIRECT("'"&amp;K$1&amp;"'!C2:C1000")=$C16)
        ),
        5,
        FALSE
    )=0,
    "",
    VLOOKUP(
        $A16,
        _xlfn._xlws.FILTER(
            INDIRECT("'"&amp;K$1&amp;"'!A2:E1000"), (INDIRECT("'"&amp;K$1&amp;"'!B2:B1000")=$B16) * (INDIRECT("'"&amp;K$1&amp;"'!C2:C1000")=$C16)
        ),
        5,
        FALSE
    )
)</f>
        <v>Atrasado &gt;= 2</v>
      </c>
      <c r="L16" s="113" t="str">
        <f t="array" aca="1" ref="L16" ca="1">IF(
    VLOOKUP(
        $A16,
        _xlfn._xlws.FILTER(
            INDIRECT("'"&amp;L$1&amp;"'!A2:E1000"), (INDIRECT("'"&amp;L$1&amp;"'!B2:B1000")=$B16) * (INDIRECT("'"&amp;L$1&amp;"'!C2:C1000")=$C16)
        ),
        5,
        FALSE
    )=0,
    "",
    VLOOKUP(
        $A16,
        _xlfn._xlws.FILTER(
            INDIRECT("'"&amp;L$1&amp;"'!A2:E1000"), (INDIRECT("'"&amp;L$1&amp;"'!B2:B1000")=$B16) * (INDIRECT("'"&amp;L$1&amp;"'!C2:C1000")=$C16)
        ),
        5,
        FALSE
    )
)</f>
        <v>Atrasado &gt;= 2</v>
      </c>
      <c r="M16" s="113" t="str">
        <f t="array" aca="1" ref="M16" ca="1">IF(
    VLOOKUP(
        $A16,
        _xlfn._xlws.FILTER(
            INDIRECT("'"&amp;M$1&amp;"'!A2:E1000"), (INDIRECT("'"&amp;M$1&amp;"'!B2:B1000")=$B16) * (INDIRECT("'"&amp;M$1&amp;"'!C2:C1000")=$C16)
        ),
        5,
        FALSE
    )=0,
    "",
    VLOOKUP(
        $A16,
        _xlfn._xlws.FILTER(
            INDIRECT("'"&amp;M$1&amp;"'!A2:E1000"), (INDIRECT("'"&amp;M$1&amp;"'!B2:B1000")=$B16) * (INDIRECT("'"&amp;M$1&amp;"'!C2:C1000")=$C16)
        ),
        5,
        FALSE
    )
)</f>
        <v>Enviado</v>
      </c>
      <c r="N16" s="113" t="str">
        <f t="array" aca="1" ref="N16" ca="1">IF(
    VLOOKUP(
        $A16,
        _xlfn._xlws.FILTER(
            INDIRECT("'"&amp;N$1&amp;"'!A2:E1000"), (INDIRECT("'"&amp;N$1&amp;"'!B2:B1000")=$B16) * (INDIRECT("'"&amp;N$1&amp;"'!C2:C1000")=$C16)
        ),
        5,
        FALSE
    )=0,
    "",
    VLOOKUP(
        $A16,
        _xlfn._xlws.FILTER(
            INDIRECT("'"&amp;N$1&amp;"'!A2:E1000"), (INDIRECT("'"&amp;N$1&amp;"'!B2:B1000")=$B16) * (INDIRECT("'"&amp;N$1&amp;"'!C2:C1000")=$C16)
        ),
        5,
        FALSE
    )
)</f>
        <v>Atrasado</v>
      </c>
      <c r="O16" s="113" t="str">
        <f t="array" aca="1" ref="O16" ca="1">IF(
    VLOOKUP(
        $A16,
        _xlfn._xlws.FILTER(
            INDIRECT("'"&amp;O$1&amp;"'!A2:E1000"), (INDIRECT("'"&amp;O$1&amp;"'!B2:B1000")=$B16) * (INDIRECT("'"&amp;O$1&amp;"'!C2:C1000")=$C16)
        ),
        5,
        FALSE
    )=0,
    "",
    VLOOKUP(
        $A16,
        _xlfn._xlws.FILTER(
            INDIRECT("'"&amp;O$1&amp;"'!A2:E1000"), (INDIRECT("'"&amp;O$1&amp;"'!B2:B1000")=$B16) * (INDIRECT("'"&amp;O$1&amp;"'!C2:C1000")=$C16)
        ),
        5,
        FALSE
    )
)</f>
        <v/>
      </c>
    </row>
    <row r="17" spans="1:15" ht="15.75" customHeight="1">
      <c r="A17" s="89" t="s">
        <v>35</v>
      </c>
      <c r="B17" s="112" t="s">
        <v>63</v>
      </c>
      <c r="C17" s="39">
        <v>1</v>
      </c>
      <c r="D17" s="113" t="str">
        <f t="array" aca="1" ref="D17" ca="1">IF(
    VLOOKUP(
        $A17,
        _xlfn._xlws.FILTER(
            INDIRECT("'"&amp;D$1&amp;"'!A2:E1000"), (INDIRECT("'"&amp;D$1&amp;"'!B2:B1000")=$B17) * (INDIRECT("'"&amp;D$1&amp;"'!C2:C1000")=$C17)
        ),
        5,
        FALSE
    )=0,
    "",
    VLOOKUP(
        $A17,
        _xlfn._xlws.FILTER(
            INDIRECT("'"&amp;D$1&amp;"'!A2:E1000"), (INDIRECT("'"&amp;D$1&amp;"'!B2:B1000")=$B17) * (INDIRECT("'"&amp;D$1&amp;"'!C2:C1000")=$C17)
        ),
        5,
        FALSE
    )
)</f>
        <v>Sem Técnico</v>
      </c>
      <c r="E17" s="113" t="str">
        <f t="array" aca="1" ref="E17" ca="1">IF(
    VLOOKUP(
        $A17,
        _xlfn._xlws.FILTER(
            INDIRECT("'"&amp;E$1&amp;"'!A2:E1000"), (INDIRECT("'"&amp;E$1&amp;"'!B2:B1000")=$B17) * (INDIRECT("'"&amp;E$1&amp;"'!C2:C1000")=$C17)
        ),
        5,
        FALSE
    )=0,
    "",
    VLOOKUP(
        $A17,
        _xlfn._xlws.FILTER(
            INDIRECT("'"&amp;E$1&amp;"'!A2:E1000"), (INDIRECT("'"&amp;E$1&amp;"'!B2:B1000")=$B17) * (INDIRECT("'"&amp;E$1&amp;"'!C2:C1000")=$C17)
        ),
        5,
        FALSE
    )
)</f>
        <v>Sem Técnico</v>
      </c>
      <c r="F17" s="113" t="str">
        <f t="array" aca="1" ref="F17" ca="1">IF(
    VLOOKUP(
        $A17,
        _xlfn._xlws.FILTER(
            INDIRECT("'"&amp;F$1&amp;"'!A2:E1000"), (INDIRECT("'"&amp;F$1&amp;"'!B2:B1000")=$B17) * (INDIRECT("'"&amp;F$1&amp;"'!C2:C1000")=$C17)
        ),
        5,
        FALSE
    )=0,
    "",
    VLOOKUP(
        $A17,
        _xlfn._xlws.FILTER(
            INDIRECT("'"&amp;F$1&amp;"'!A2:E1000"), (INDIRECT("'"&amp;F$1&amp;"'!B2:B1000")=$B17) * (INDIRECT("'"&amp;F$1&amp;"'!C2:C1000")=$C17)
        ),
        5,
        FALSE
    )
)</f>
        <v>Sem Técnico</v>
      </c>
      <c r="G17" s="113" t="str">
        <f t="array" aca="1" ref="G17" ca="1">IF(
    VLOOKUP(
        $A17,
        _xlfn._xlws.FILTER(
            INDIRECT("'"&amp;G$1&amp;"'!A2:E1000"), (INDIRECT("'"&amp;G$1&amp;"'!B2:B1000")=$B17) * (INDIRECT("'"&amp;G$1&amp;"'!C2:C1000")=$C17)
        ),
        5,
        FALSE
    )=0,
    "",
    VLOOKUP(
        $A17,
        _xlfn._xlws.FILTER(
            INDIRECT("'"&amp;G$1&amp;"'!A2:E1000"), (INDIRECT("'"&amp;G$1&amp;"'!B2:B1000")=$B17) * (INDIRECT("'"&amp;G$1&amp;"'!C2:C1000")=$C17)
        ),
        5,
        FALSE
    )
)</f>
        <v>Sem Técnico</v>
      </c>
      <c r="H17" s="113" t="str">
        <f t="array" aca="1" ref="H17" ca="1">IF(
    VLOOKUP(
        $A17,
        _xlfn._xlws.FILTER(
            INDIRECT("'"&amp;H$1&amp;"'!A2:E1000"), (INDIRECT("'"&amp;H$1&amp;"'!B2:B1000")=$B17) * (INDIRECT("'"&amp;H$1&amp;"'!C2:C1000")=$C17)
        ),
        5,
        FALSE
    )=0,
    "",
    VLOOKUP(
        $A17,
        _xlfn._xlws.FILTER(
            INDIRECT("'"&amp;H$1&amp;"'!A2:E1000"), (INDIRECT("'"&amp;H$1&amp;"'!B2:B1000")=$B17) * (INDIRECT("'"&amp;H$1&amp;"'!C2:C1000")=$C17)
        ),
        5,
        FALSE
    )
)</f>
        <v>Sem Técnico</v>
      </c>
      <c r="I17" s="113" t="str">
        <f t="array" aca="1" ref="I17" ca="1">IF(
    VLOOKUP(
        $A17,
        _xlfn._xlws.FILTER(
            INDIRECT("'"&amp;I$1&amp;"'!A2:E1000"), (INDIRECT("'"&amp;I$1&amp;"'!B2:B1000")=$B17) * (INDIRECT("'"&amp;I$1&amp;"'!C2:C1000")=$C17)
        ),
        5,
        FALSE
    )=0,
    "",
    VLOOKUP(
        $A17,
        _xlfn._xlws.FILTER(
            INDIRECT("'"&amp;I$1&amp;"'!A2:E1000"), (INDIRECT("'"&amp;I$1&amp;"'!B2:B1000")=$B17) * (INDIRECT("'"&amp;I$1&amp;"'!C2:C1000")=$C17)
        ),
        5,
        FALSE
    )
)</f>
        <v>Sem Técnico</v>
      </c>
      <c r="J17" s="113" t="str">
        <f t="array" aca="1" ref="J17" ca="1">IF(
    VLOOKUP(
        $A17,
        _xlfn._xlws.FILTER(
            INDIRECT("'"&amp;J$1&amp;"'!A2:E1000"), (INDIRECT("'"&amp;J$1&amp;"'!B2:B1000")=$B17) * (INDIRECT("'"&amp;J$1&amp;"'!C2:C1000")=$C17)
        ),
        5,
        FALSE
    )=0,
    "",
    VLOOKUP(
        $A17,
        _xlfn._xlws.FILTER(
            INDIRECT("'"&amp;J$1&amp;"'!A2:E1000"), (INDIRECT("'"&amp;J$1&amp;"'!B2:B1000")=$B17) * (INDIRECT("'"&amp;J$1&amp;"'!C2:C1000")=$C17)
        ),
        5,
        FALSE
    )
)</f>
        <v>Sem Técnico</v>
      </c>
      <c r="K17" s="113" t="str">
        <f t="array" aca="1" ref="K17" ca="1">IF(
    VLOOKUP(
        $A17,
        _xlfn._xlws.FILTER(
            INDIRECT("'"&amp;K$1&amp;"'!A2:E1000"), (INDIRECT("'"&amp;K$1&amp;"'!B2:B1000")=$B17) * (INDIRECT("'"&amp;K$1&amp;"'!C2:C1000")=$C17)
        ),
        5,
        FALSE
    )=0,
    "",
    VLOOKUP(
        $A17,
        _xlfn._xlws.FILTER(
            INDIRECT("'"&amp;K$1&amp;"'!A2:E1000"), (INDIRECT("'"&amp;K$1&amp;"'!B2:B1000")=$B17) * (INDIRECT("'"&amp;K$1&amp;"'!C2:C1000")=$C17)
        ),
        5,
        FALSE
    )
)</f>
        <v>Atrasado &gt;= 2</v>
      </c>
      <c r="L17" s="113" t="str">
        <f t="array" aca="1" ref="L17" ca="1">IF(
    VLOOKUP(
        $A17,
        _xlfn._xlws.FILTER(
            INDIRECT("'"&amp;L$1&amp;"'!A2:E1000"), (INDIRECT("'"&amp;L$1&amp;"'!B2:B1000")=$B17) * (INDIRECT("'"&amp;L$1&amp;"'!C2:C1000")=$C17)
        ),
        5,
        FALSE
    )=0,
    "",
    VLOOKUP(
        $A17,
        _xlfn._xlws.FILTER(
            INDIRECT("'"&amp;L$1&amp;"'!A2:E1000"), (INDIRECT("'"&amp;L$1&amp;"'!B2:B1000")=$B17) * (INDIRECT("'"&amp;L$1&amp;"'!C2:C1000")=$C17)
        ),
        5,
        FALSE
    )
)</f>
        <v>Atrasado &gt;= 2</v>
      </c>
      <c r="M17" s="113" t="str">
        <f t="array" aca="1" ref="M17" ca="1">IF(
    VLOOKUP(
        $A17,
        _xlfn._xlws.FILTER(
            INDIRECT("'"&amp;M$1&amp;"'!A2:E1000"), (INDIRECT("'"&amp;M$1&amp;"'!B2:B1000")=$B17) * (INDIRECT("'"&amp;M$1&amp;"'!C2:C1000")=$C17)
        ),
        5,
        FALSE
    )=0,
    "",
    VLOOKUP(
        $A17,
        _xlfn._xlws.FILTER(
            INDIRECT("'"&amp;M$1&amp;"'!A2:E1000"), (INDIRECT("'"&amp;M$1&amp;"'!B2:B1000")=$B17) * (INDIRECT("'"&amp;M$1&amp;"'!C2:C1000")=$C17)
        ),
        5,
        FALSE
    )
)</f>
        <v>Atrasado &gt;= 2</v>
      </c>
      <c r="N17" s="113" t="str">
        <f t="array" aca="1" ref="N17" ca="1">IF(
    VLOOKUP(
        $A17,
        _xlfn._xlws.FILTER(
            INDIRECT("'"&amp;N$1&amp;"'!A2:E1000"), (INDIRECT("'"&amp;N$1&amp;"'!B2:B1000")=$B17) * (INDIRECT("'"&amp;N$1&amp;"'!C2:C1000")=$C17)
        ),
        5,
        FALSE
    )=0,
    "",
    VLOOKUP(
        $A17,
        _xlfn._xlws.FILTER(
            INDIRECT("'"&amp;N$1&amp;"'!A2:E1000"), (INDIRECT("'"&amp;N$1&amp;"'!B2:B1000")=$B17) * (INDIRECT("'"&amp;N$1&amp;"'!C2:C1000")=$C17)
        ),
        5,
        FALSE
    )
)</f>
        <v>Atrasado</v>
      </c>
      <c r="O17" s="113" t="str">
        <f t="array" aca="1" ref="O17" ca="1">IF(
    VLOOKUP(
        $A17,
        _xlfn._xlws.FILTER(
            INDIRECT("'"&amp;O$1&amp;"'!A2:E1000"), (INDIRECT("'"&amp;O$1&amp;"'!B2:B1000")=$B17) * (INDIRECT("'"&amp;O$1&amp;"'!C2:C1000")=$C17)
        ),
        5,
        FALSE
    )=0,
    "",
    VLOOKUP(
        $A17,
        _xlfn._xlws.FILTER(
            INDIRECT("'"&amp;O$1&amp;"'!A2:E1000"), (INDIRECT("'"&amp;O$1&amp;"'!B2:B1000")=$B17) * (INDIRECT("'"&amp;O$1&amp;"'!C2:C1000")=$C17)
        ),
        5,
        FALSE
    )
)</f>
        <v/>
      </c>
    </row>
    <row r="18" spans="1:15">
      <c r="A18" s="89" t="s">
        <v>35</v>
      </c>
      <c r="B18" s="112" t="s">
        <v>64</v>
      </c>
      <c r="C18" s="39">
        <v>1</v>
      </c>
      <c r="D18" s="113" t="str">
        <f t="array" aca="1" ref="D18" ca="1">IF(
    VLOOKUP(
        $A18,
        _xlfn._xlws.FILTER(
            INDIRECT("'"&amp;D$1&amp;"'!A2:E1000"), (INDIRECT("'"&amp;D$1&amp;"'!B2:B1000")=$B18) * (INDIRECT("'"&amp;D$1&amp;"'!C2:C1000")=$C18)
        ),
        5,
        FALSE
    )=0,
    "",
    VLOOKUP(
        $A18,
        _xlfn._xlws.FILTER(
            INDIRECT("'"&amp;D$1&amp;"'!A2:E1000"), (INDIRECT("'"&amp;D$1&amp;"'!B2:B1000")=$B18) * (INDIRECT("'"&amp;D$1&amp;"'!C2:C1000")=$C18)
        ),
        5,
        FALSE
    )
)</f>
        <v>Sem Técnico</v>
      </c>
      <c r="E18" s="113" t="str">
        <f t="array" aca="1" ref="E18" ca="1">IF(
    VLOOKUP(
        $A18,
        _xlfn._xlws.FILTER(
            INDIRECT("'"&amp;E$1&amp;"'!A2:E1000"), (INDIRECT("'"&amp;E$1&amp;"'!B2:B1000")=$B18) * (INDIRECT("'"&amp;E$1&amp;"'!C2:C1000")=$C18)
        ),
        5,
        FALSE
    )=0,
    "",
    VLOOKUP(
        $A18,
        _xlfn._xlws.FILTER(
            INDIRECT("'"&amp;E$1&amp;"'!A2:E1000"), (INDIRECT("'"&amp;E$1&amp;"'!B2:B1000")=$B18) * (INDIRECT("'"&amp;E$1&amp;"'!C2:C1000")=$C18)
        ),
        5,
        FALSE
    )
)</f>
        <v>Sem Técnico</v>
      </c>
      <c r="F18" s="113" t="str">
        <f t="array" aca="1" ref="F18" ca="1">IF(
    VLOOKUP(
        $A18,
        _xlfn._xlws.FILTER(
            INDIRECT("'"&amp;F$1&amp;"'!A2:E1000"), (INDIRECT("'"&amp;F$1&amp;"'!B2:B1000")=$B18) * (INDIRECT("'"&amp;F$1&amp;"'!C2:C1000")=$C18)
        ),
        5,
        FALSE
    )=0,
    "",
    VLOOKUP(
        $A18,
        _xlfn._xlws.FILTER(
            INDIRECT("'"&amp;F$1&amp;"'!A2:E1000"), (INDIRECT("'"&amp;F$1&amp;"'!B2:B1000")=$B18) * (INDIRECT("'"&amp;F$1&amp;"'!C2:C1000")=$C18)
        ),
        5,
        FALSE
    )
)</f>
        <v>Sem Técnico</v>
      </c>
      <c r="G18" s="113" t="str">
        <f t="array" aca="1" ref="G18" ca="1">IF(
    VLOOKUP(
        $A18,
        _xlfn._xlws.FILTER(
            INDIRECT("'"&amp;G$1&amp;"'!A2:E1000"), (INDIRECT("'"&amp;G$1&amp;"'!B2:B1000")=$B18) * (INDIRECT("'"&amp;G$1&amp;"'!C2:C1000")=$C18)
        ),
        5,
        FALSE
    )=0,
    "",
    VLOOKUP(
        $A18,
        _xlfn._xlws.FILTER(
            INDIRECT("'"&amp;G$1&amp;"'!A2:E1000"), (INDIRECT("'"&amp;G$1&amp;"'!B2:B1000")=$B18) * (INDIRECT("'"&amp;G$1&amp;"'!C2:C1000")=$C18)
        ),
        5,
        FALSE
    )
)</f>
        <v>Sem Técnico</v>
      </c>
      <c r="H18" s="113" t="str">
        <f t="array" aca="1" ref="H18" ca="1">IF(
    VLOOKUP(
        $A18,
        _xlfn._xlws.FILTER(
            INDIRECT("'"&amp;H$1&amp;"'!A2:E1000"), (INDIRECT("'"&amp;H$1&amp;"'!B2:B1000")=$B18) * (INDIRECT("'"&amp;H$1&amp;"'!C2:C1000")=$C18)
        ),
        5,
        FALSE
    )=0,
    "",
    VLOOKUP(
        $A18,
        _xlfn._xlws.FILTER(
            INDIRECT("'"&amp;H$1&amp;"'!A2:E1000"), (INDIRECT("'"&amp;H$1&amp;"'!B2:B1000")=$B18) * (INDIRECT("'"&amp;H$1&amp;"'!C2:C1000")=$C18)
        ),
        5,
        FALSE
    )
)</f>
        <v>Sem Técnico</v>
      </c>
      <c r="I18" s="113" t="str">
        <f t="array" aca="1" ref="I18" ca="1">IF(
    VLOOKUP(
        $A18,
        _xlfn._xlws.FILTER(
            INDIRECT("'"&amp;I$1&amp;"'!A2:E1000"), (INDIRECT("'"&amp;I$1&amp;"'!B2:B1000")=$B18) * (INDIRECT("'"&amp;I$1&amp;"'!C2:C1000")=$C18)
        ),
        5,
        FALSE
    )=0,
    "",
    VLOOKUP(
        $A18,
        _xlfn._xlws.FILTER(
            INDIRECT("'"&amp;I$1&amp;"'!A2:E1000"), (INDIRECT("'"&amp;I$1&amp;"'!B2:B1000")=$B18) * (INDIRECT("'"&amp;I$1&amp;"'!C2:C1000")=$C18)
        ),
        5,
        FALSE
    )
)</f>
        <v>Sem Técnico</v>
      </c>
      <c r="J18" s="113" t="str">
        <f t="array" aca="1" ref="J18" ca="1">IF(
    VLOOKUP(
        $A18,
        _xlfn._xlws.FILTER(
            INDIRECT("'"&amp;J$1&amp;"'!A2:E1000"), (INDIRECT("'"&amp;J$1&amp;"'!B2:B1000")=$B18) * (INDIRECT("'"&amp;J$1&amp;"'!C2:C1000")=$C18)
        ),
        5,
        FALSE
    )=0,
    "",
    VLOOKUP(
        $A18,
        _xlfn._xlws.FILTER(
            INDIRECT("'"&amp;J$1&amp;"'!A2:E1000"), (INDIRECT("'"&amp;J$1&amp;"'!B2:B1000")=$B18) * (INDIRECT("'"&amp;J$1&amp;"'!C2:C1000")=$C18)
        ),
        5,
        FALSE
    )
)</f>
        <v>Sem Técnico</v>
      </c>
      <c r="K18" s="113" t="str">
        <f t="array" aca="1" ref="K18" ca="1">IF(
    VLOOKUP(
        $A18,
        _xlfn._xlws.FILTER(
            INDIRECT("'"&amp;K$1&amp;"'!A2:E1000"), (INDIRECT("'"&amp;K$1&amp;"'!B2:B1000")=$B18) * (INDIRECT("'"&amp;K$1&amp;"'!C2:C1000")=$C18)
        ),
        5,
        FALSE
    )=0,
    "",
    VLOOKUP(
        $A18,
        _xlfn._xlws.FILTER(
            INDIRECT("'"&amp;K$1&amp;"'!A2:E1000"), (INDIRECT("'"&amp;K$1&amp;"'!B2:B1000")=$B18) * (INDIRECT("'"&amp;K$1&amp;"'!C2:C1000")=$C18)
        ),
        5,
        FALSE
    )
)</f>
        <v>Atrasado &gt;= 2</v>
      </c>
      <c r="L18" s="113" t="str">
        <f t="array" aca="1" ref="L18" ca="1">IF(
    VLOOKUP(
        $A18,
        _xlfn._xlws.FILTER(
            INDIRECT("'"&amp;L$1&amp;"'!A2:E1000"), (INDIRECT("'"&amp;L$1&amp;"'!B2:B1000")=$B18) * (INDIRECT("'"&amp;L$1&amp;"'!C2:C1000")=$C18)
        ),
        5,
        FALSE
    )=0,
    "",
    VLOOKUP(
        $A18,
        _xlfn._xlws.FILTER(
            INDIRECT("'"&amp;L$1&amp;"'!A2:E1000"), (INDIRECT("'"&amp;L$1&amp;"'!B2:B1000")=$B18) * (INDIRECT("'"&amp;L$1&amp;"'!C2:C1000")=$C18)
        ),
        5,
        FALSE
    )
)</f>
        <v>Enviado</v>
      </c>
      <c r="M18" s="113" t="str">
        <f t="array" aca="1" ref="M18" ca="1">IF(
    VLOOKUP(
        $A18,
        _xlfn._xlws.FILTER(
            INDIRECT("'"&amp;M$1&amp;"'!A2:E1000"), (INDIRECT("'"&amp;M$1&amp;"'!B2:B1000")=$B18) * (INDIRECT("'"&amp;M$1&amp;"'!C2:C1000")=$C18)
        ),
        5,
        FALSE
    )=0,
    "",
    VLOOKUP(
        $A18,
        _xlfn._xlws.FILTER(
            INDIRECT("'"&amp;M$1&amp;"'!A2:E1000"), (INDIRECT("'"&amp;M$1&amp;"'!B2:B1000")=$B18) * (INDIRECT("'"&amp;M$1&amp;"'!C2:C1000")=$C18)
        ),
        5,
        FALSE
    )
)</f>
        <v>Atrasado &gt;= 2</v>
      </c>
      <c r="N18" s="113" t="str">
        <f t="array" aca="1" ref="N18" ca="1">IF(
    VLOOKUP(
        $A18,
        _xlfn._xlws.FILTER(
            INDIRECT("'"&amp;N$1&amp;"'!A2:E1000"), (INDIRECT("'"&amp;N$1&amp;"'!B2:B1000")=$B18) * (INDIRECT("'"&amp;N$1&amp;"'!C2:C1000")=$C18)
        ),
        5,
        FALSE
    )=0,
    "",
    VLOOKUP(
        $A18,
        _xlfn._xlws.FILTER(
            INDIRECT("'"&amp;N$1&amp;"'!A2:E1000"), (INDIRECT("'"&amp;N$1&amp;"'!B2:B1000")=$B18) * (INDIRECT("'"&amp;N$1&amp;"'!C2:C1000")=$C18)
        ),
        5,
        FALSE
    )
)</f>
        <v>Atrasado</v>
      </c>
      <c r="O18" s="113" t="str">
        <f t="array" aca="1" ref="O18" ca="1">IF(
    VLOOKUP(
        $A18,
        _xlfn._xlws.FILTER(
            INDIRECT("'"&amp;O$1&amp;"'!A2:E1000"), (INDIRECT("'"&amp;O$1&amp;"'!B2:B1000")=$B18) * (INDIRECT("'"&amp;O$1&amp;"'!C2:C1000")=$C18)
        ),
        5,
        FALSE
    )=0,
    "",
    VLOOKUP(
        $A18,
        _xlfn._xlws.FILTER(
            INDIRECT("'"&amp;O$1&amp;"'!A2:E1000"), (INDIRECT("'"&amp;O$1&amp;"'!B2:B1000")=$B18) * (INDIRECT("'"&amp;O$1&amp;"'!C2:C1000")=$C18)
        ),
        5,
        FALSE
    )
)</f>
        <v/>
      </c>
    </row>
    <row r="19" spans="1:15">
      <c r="A19" s="89" t="s">
        <v>35</v>
      </c>
      <c r="B19" s="112" t="s">
        <v>65</v>
      </c>
      <c r="C19" s="39">
        <v>1</v>
      </c>
      <c r="D19" s="113" t="str">
        <f t="array" aca="1" ref="D19" ca="1">IF(
    VLOOKUP(
        $A19,
        _xlfn._xlws.FILTER(
            INDIRECT("'"&amp;D$1&amp;"'!A2:E1000"), (INDIRECT("'"&amp;D$1&amp;"'!B2:B1000")=$B19) * (INDIRECT("'"&amp;D$1&amp;"'!C2:C1000")=$C19)
        ),
        5,
        FALSE
    )=0,
    "",
    VLOOKUP(
        $A19,
        _xlfn._xlws.FILTER(
            INDIRECT("'"&amp;D$1&amp;"'!A2:E1000"), (INDIRECT("'"&amp;D$1&amp;"'!B2:B1000")=$B19) * (INDIRECT("'"&amp;D$1&amp;"'!C2:C1000")=$C19)
        ),
        5,
        FALSE
    )
)</f>
        <v>Sem Técnico</v>
      </c>
      <c r="E19" s="113" t="str">
        <f t="array" aca="1" ref="E19" ca="1">IF(
    VLOOKUP(
        $A19,
        _xlfn._xlws.FILTER(
            INDIRECT("'"&amp;E$1&amp;"'!A2:E1000"), (INDIRECT("'"&amp;E$1&amp;"'!B2:B1000")=$B19) * (INDIRECT("'"&amp;E$1&amp;"'!C2:C1000")=$C19)
        ),
        5,
        FALSE
    )=0,
    "",
    VLOOKUP(
        $A19,
        _xlfn._xlws.FILTER(
            INDIRECT("'"&amp;E$1&amp;"'!A2:E1000"), (INDIRECT("'"&amp;E$1&amp;"'!B2:B1000")=$B19) * (INDIRECT("'"&amp;E$1&amp;"'!C2:C1000")=$C19)
        ),
        5,
        FALSE
    )
)</f>
        <v>Sem Técnico</v>
      </c>
      <c r="F19" s="113" t="str">
        <f t="array" aca="1" ref="F19" ca="1">IF(
    VLOOKUP(
        $A19,
        _xlfn._xlws.FILTER(
            INDIRECT("'"&amp;F$1&amp;"'!A2:E1000"), (INDIRECT("'"&amp;F$1&amp;"'!B2:B1000")=$B19) * (INDIRECT("'"&amp;F$1&amp;"'!C2:C1000")=$C19)
        ),
        5,
        FALSE
    )=0,
    "",
    VLOOKUP(
        $A19,
        _xlfn._xlws.FILTER(
            INDIRECT("'"&amp;F$1&amp;"'!A2:E1000"), (INDIRECT("'"&amp;F$1&amp;"'!B2:B1000")=$B19) * (INDIRECT("'"&amp;F$1&amp;"'!C2:C1000")=$C19)
        ),
        5,
        FALSE
    )
)</f>
        <v>Sem Técnico</v>
      </c>
      <c r="G19" s="113" t="str">
        <f t="array" aca="1" ref="G19" ca="1">IF(
    VLOOKUP(
        $A19,
        _xlfn._xlws.FILTER(
            INDIRECT("'"&amp;G$1&amp;"'!A2:E1000"), (INDIRECT("'"&amp;G$1&amp;"'!B2:B1000")=$B19) * (INDIRECT("'"&amp;G$1&amp;"'!C2:C1000")=$C19)
        ),
        5,
        FALSE
    )=0,
    "",
    VLOOKUP(
        $A19,
        _xlfn._xlws.FILTER(
            INDIRECT("'"&amp;G$1&amp;"'!A2:E1000"), (INDIRECT("'"&amp;G$1&amp;"'!B2:B1000")=$B19) * (INDIRECT("'"&amp;G$1&amp;"'!C2:C1000")=$C19)
        ),
        5,
        FALSE
    )
)</f>
        <v>Sem Técnico</v>
      </c>
      <c r="H19" s="113" t="str">
        <f t="array" aca="1" ref="H19" ca="1">IF(
    VLOOKUP(
        $A19,
        _xlfn._xlws.FILTER(
            INDIRECT("'"&amp;H$1&amp;"'!A2:E1000"), (INDIRECT("'"&amp;H$1&amp;"'!B2:B1000")=$B19) * (INDIRECT("'"&amp;H$1&amp;"'!C2:C1000")=$C19)
        ),
        5,
        FALSE
    )=0,
    "",
    VLOOKUP(
        $A19,
        _xlfn._xlws.FILTER(
            INDIRECT("'"&amp;H$1&amp;"'!A2:E1000"), (INDIRECT("'"&amp;H$1&amp;"'!B2:B1000")=$B19) * (INDIRECT("'"&amp;H$1&amp;"'!C2:C1000")=$C19)
        ),
        5,
        FALSE
    )
)</f>
        <v>Sem Técnico</v>
      </c>
      <c r="I19" s="113" t="str">
        <f t="array" aca="1" ref="I19" ca="1">IF(
    VLOOKUP(
        $A19,
        _xlfn._xlws.FILTER(
            INDIRECT("'"&amp;I$1&amp;"'!A2:E1000"), (INDIRECT("'"&amp;I$1&amp;"'!B2:B1000")=$B19) * (INDIRECT("'"&amp;I$1&amp;"'!C2:C1000")=$C19)
        ),
        5,
        FALSE
    )=0,
    "",
    VLOOKUP(
        $A19,
        _xlfn._xlws.FILTER(
            INDIRECT("'"&amp;I$1&amp;"'!A2:E1000"), (INDIRECT("'"&amp;I$1&amp;"'!B2:B1000")=$B19) * (INDIRECT("'"&amp;I$1&amp;"'!C2:C1000")=$C19)
        ),
        5,
        FALSE
    )
)</f>
        <v>Sem Técnico</v>
      </c>
      <c r="J19" s="113" t="str">
        <f t="array" aca="1" ref="J19" ca="1">IF(
    VLOOKUP(
        $A19,
        _xlfn._xlws.FILTER(
            INDIRECT("'"&amp;J$1&amp;"'!A2:E1000"), (INDIRECT("'"&amp;J$1&amp;"'!B2:B1000")=$B19) * (INDIRECT("'"&amp;J$1&amp;"'!C2:C1000")=$C19)
        ),
        5,
        FALSE
    )=0,
    "",
    VLOOKUP(
        $A19,
        _xlfn._xlws.FILTER(
            INDIRECT("'"&amp;J$1&amp;"'!A2:E1000"), (INDIRECT("'"&amp;J$1&amp;"'!B2:B1000")=$B19) * (INDIRECT("'"&amp;J$1&amp;"'!C2:C1000")=$C19)
        ),
        5,
        FALSE
    )
)</f>
        <v>Sem Técnico</v>
      </c>
      <c r="K19" s="113" t="str">
        <f t="array" aca="1" ref="K19" ca="1">IF(
    VLOOKUP(
        $A19,
        _xlfn._xlws.FILTER(
            INDIRECT("'"&amp;K$1&amp;"'!A2:E1000"), (INDIRECT("'"&amp;K$1&amp;"'!B2:B1000")=$B19) * (INDIRECT("'"&amp;K$1&amp;"'!C2:C1000")=$C19)
        ),
        5,
        FALSE
    )=0,
    "",
    VLOOKUP(
        $A19,
        _xlfn._xlws.FILTER(
            INDIRECT("'"&amp;K$1&amp;"'!A2:E1000"), (INDIRECT("'"&amp;K$1&amp;"'!B2:B1000")=$B19) * (INDIRECT("'"&amp;K$1&amp;"'!C2:C1000")=$C19)
        ),
        5,
        FALSE
    )
)</f>
        <v>Atrasado &gt;= 2</v>
      </c>
      <c r="L19" s="113" t="str">
        <f t="array" aca="1" ref="L19" ca="1">IF(
    VLOOKUP(
        $A19,
        _xlfn._xlws.FILTER(
            INDIRECT("'"&amp;L$1&amp;"'!A2:E1000"), (INDIRECT("'"&amp;L$1&amp;"'!B2:B1000")=$B19) * (INDIRECT("'"&amp;L$1&amp;"'!C2:C1000")=$C19)
        ),
        5,
        FALSE
    )=0,
    "",
    VLOOKUP(
        $A19,
        _xlfn._xlws.FILTER(
            INDIRECT("'"&amp;L$1&amp;"'!A2:E1000"), (INDIRECT("'"&amp;L$1&amp;"'!B2:B1000")=$B19) * (INDIRECT("'"&amp;L$1&amp;"'!C2:C1000")=$C19)
        ),
        5,
        FALSE
    )
)</f>
        <v>Atrasado &gt;= 2</v>
      </c>
      <c r="M19" s="113" t="str">
        <f t="array" aca="1" ref="M19" ca="1">IF(
    VLOOKUP(
        $A19,
        _xlfn._xlws.FILTER(
            INDIRECT("'"&amp;M$1&amp;"'!A2:E1000"), (INDIRECT("'"&amp;M$1&amp;"'!B2:B1000")=$B19) * (INDIRECT("'"&amp;M$1&amp;"'!C2:C1000")=$C19)
        ),
        5,
        FALSE
    )=0,
    "",
    VLOOKUP(
        $A19,
        _xlfn._xlws.FILTER(
            INDIRECT("'"&amp;M$1&amp;"'!A2:E1000"), (INDIRECT("'"&amp;M$1&amp;"'!B2:B1000")=$B19) * (INDIRECT("'"&amp;M$1&amp;"'!C2:C1000")=$C19)
        ),
        5,
        FALSE
    )
)</f>
        <v>Atrasado &gt;= 2</v>
      </c>
      <c r="N19" s="113" t="str">
        <f t="array" aca="1" ref="N19" ca="1">IF(
    VLOOKUP(
        $A19,
        _xlfn._xlws.FILTER(
            INDIRECT("'"&amp;N$1&amp;"'!A2:E1000"), (INDIRECT("'"&amp;N$1&amp;"'!B2:B1000")=$B19) * (INDIRECT("'"&amp;N$1&amp;"'!C2:C1000")=$C19)
        ),
        5,
        FALSE
    )=0,
    "",
    VLOOKUP(
        $A19,
        _xlfn._xlws.FILTER(
            INDIRECT("'"&amp;N$1&amp;"'!A2:E1000"), (INDIRECT("'"&amp;N$1&amp;"'!B2:B1000")=$B19) * (INDIRECT("'"&amp;N$1&amp;"'!C2:C1000")=$C19)
        ),
        5,
        FALSE
    )
)</f>
        <v>Atrasado</v>
      </c>
      <c r="O19" s="113" t="str">
        <f t="array" aca="1" ref="O19" ca="1">IF(
    VLOOKUP(
        $A19,
        _xlfn._xlws.FILTER(
            INDIRECT("'"&amp;O$1&amp;"'!A2:E1000"), (INDIRECT("'"&amp;O$1&amp;"'!B2:B1000")=$B19) * (INDIRECT("'"&amp;O$1&amp;"'!C2:C1000")=$C19)
        ),
        5,
        FALSE
    )=0,
    "",
    VLOOKUP(
        $A19,
        _xlfn._xlws.FILTER(
            INDIRECT("'"&amp;O$1&amp;"'!A2:E1000"), (INDIRECT("'"&amp;O$1&amp;"'!B2:B1000")=$B19) * (INDIRECT("'"&amp;O$1&amp;"'!C2:C1000")=$C19)
        ),
        5,
        FALSE
    )
)</f>
        <v/>
      </c>
    </row>
    <row r="20" spans="1:15">
      <c r="A20" s="89" t="s">
        <v>35</v>
      </c>
      <c r="B20" s="112" t="s">
        <v>66</v>
      </c>
      <c r="C20" s="39">
        <v>1</v>
      </c>
      <c r="D20" s="113" t="str">
        <f t="array" aca="1" ref="D20" ca="1">IF(
    VLOOKUP(
        $A20,
        _xlfn._xlws.FILTER(
            INDIRECT("'"&amp;D$1&amp;"'!A2:E1000"), (INDIRECT("'"&amp;D$1&amp;"'!B2:B1000")=$B20) * (INDIRECT("'"&amp;D$1&amp;"'!C2:C1000")=$C20)
        ),
        5,
        FALSE
    )=0,
    "",
    VLOOKUP(
        $A20,
        _xlfn._xlws.FILTER(
            INDIRECT("'"&amp;D$1&amp;"'!A2:E1000"), (INDIRECT("'"&amp;D$1&amp;"'!B2:B1000")=$B20) * (INDIRECT("'"&amp;D$1&amp;"'!C2:C1000")=$C20)
        ),
        5,
        FALSE
    )
)</f>
        <v>Sem Técnico</v>
      </c>
      <c r="E20" s="113" t="str">
        <f t="array" aca="1" ref="E20" ca="1">IF(
    VLOOKUP(
        $A20,
        _xlfn._xlws.FILTER(
            INDIRECT("'"&amp;E$1&amp;"'!A2:E1000"), (INDIRECT("'"&amp;E$1&amp;"'!B2:B1000")=$B20) * (INDIRECT("'"&amp;E$1&amp;"'!C2:C1000")=$C20)
        ),
        5,
        FALSE
    )=0,
    "",
    VLOOKUP(
        $A20,
        _xlfn._xlws.FILTER(
            INDIRECT("'"&amp;E$1&amp;"'!A2:E1000"), (INDIRECT("'"&amp;E$1&amp;"'!B2:B1000")=$B20) * (INDIRECT("'"&amp;E$1&amp;"'!C2:C1000")=$C20)
        ),
        5,
        FALSE
    )
)</f>
        <v>Sem Técnico</v>
      </c>
      <c r="F20" s="113" t="str">
        <f t="array" aca="1" ref="F20" ca="1">IF(
    VLOOKUP(
        $A20,
        _xlfn._xlws.FILTER(
            INDIRECT("'"&amp;F$1&amp;"'!A2:E1000"), (INDIRECT("'"&amp;F$1&amp;"'!B2:B1000")=$B20) * (INDIRECT("'"&amp;F$1&amp;"'!C2:C1000")=$C20)
        ),
        5,
        FALSE
    )=0,
    "",
    VLOOKUP(
        $A20,
        _xlfn._xlws.FILTER(
            INDIRECT("'"&amp;F$1&amp;"'!A2:E1000"), (INDIRECT("'"&amp;F$1&amp;"'!B2:B1000")=$B20) * (INDIRECT("'"&amp;F$1&amp;"'!C2:C1000")=$C20)
        ),
        5,
        FALSE
    )
)</f>
        <v>Sem Técnico</v>
      </c>
      <c r="G20" s="113" t="str">
        <f t="array" aca="1" ref="G20" ca="1">IF(
    VLOOKUP(
        $A20,
        _xlfn._xlws.FILTER(
            INDIRECT("'"&amp;G$1&amp;"'!A2:E1000"), (INDIRECT("'"&amp;G$1&amp;"'!B2:B1000")=$B20) * (INDIRECT("'"&amp;G$1&amp;"'!C2:C1000")=$C20)
        ),
        5,
        FALSE
    )=0,
    "",
    VLOOKUP(
        $A20,
        _xlfn._xlws.FILTER(
            INDIRECT("'"&amp;G$1&amp;"'!A2:E1000"), (INDIRECT("'"&amp;G$1&amp;"'!B2:B1000")=$B20) * (INDIRECT("'"&amp;G$1&amp;"'!C2:C1000")=$C20)
        ),
        5,
        FALSE
    )
)</f>
        <v>Sem Técnico</v>
      </c>
      <c r="H20" s="113" t="str">
        <f t="array" aca="1" ref="H20" ca="1">IF(
    VLOOKUP(
        $A20,
        _xlfn._xlws.FILTER(
            INDIRECT("'"&amp;H$1&amp;"'!A2:E1000"), (INDIRECT("'"&amp;H$1&amp;"'!B2:B1000")=$B20) * (INDIRECT("'"&amp;H$1&amp;"'!C2:C1000")=$C20)
        ),
        5,
        FALSE
    )=0,
    "",
    VLOOKUP(
        $A20,
        _xlfn._xlws.FILTER(
            INDIRECT("'"&amp;H$1&amp;"'!A2:E1000"), (INDIRECT("'"&amp;H$1&amp;"'!B2:B1000")=$B20) * (INDIRECT("'"&amp;H$1&amp;"'!C2:C1000")=$C20)
        ),
        5,
        FALSE
    )
)</f>
        <v>Sem Técnico</v>
      </c>
      <c r="I20" s="113" t="str">
        <f t="array" aca="1" ref="I20" ca="1">IF(
    VLOOKUP(
        $A20,
        _xlfn._xlws.FILTER(
            INDIRECT("'"&amp;I$1&amp;"'!A2:E1000"), (INDIRECT("'"&amp;I$1&amp;"'!B2:B1000")=$B20) * (INDIRECT("'"&amp;I$1&amp;"'!C2:C1000")=$C20)
        ),
        5,
        FALSE
    )=0,
    "",
    VLOOKUP(
        $A20,
        _xlfn._xlws.FILTER(
            INDIRECT("'"&amp;I$1&amp;"'!A2:E1000"), (INDIRECT("'"&amp;I$1&amp;"'!B2:B1000")=$B20) * (INDIRECT("'"&amp;I$1&amp;"'!C2:C1000")=$C20)
        ),
        5,
        FALSE
    )
)</f>
        <v>Sem Técnico</v>
      </c>
      <c r="J20" s="113" t="str">
        <f t="array" aca="1" ref="J20" ca="1">IF(
    VLOOKUP(
        $A20,
        _xlfn._xlws.FILTER(
            INDIRECT("'"&amp;J$1&amp;"'!A2:E1000"), (INDIRECT("'"&amp;J$1&amp;"'!B2:B1000")=$B20) * (INDIRECT("'"&amp;J$1&amp;"'!C2:C1000")=$C20)
        ),
        5,
        FALSE
    )=0,
    "",
    VLOOKUP(
        $A20,
        _xlfn._xlws.FILTER(
            INDIRECT("'"&amp;J$1&amp;"'!A2:E1000"), (INDIRECT("'"&amp;J$1&amp;"'!B2:B1000")=$B20) * (INDIRECT("'"&amp;J$1&amp;"'!C2:C1000")=$C20)
        ),
        5,
        FALSE
    )
)</f>
        <v>Sem Técnico</v>
      </c>
      <c r="K20" s="113" t="str">
        <f t="array" aca="1" ref="K20" ca="1">IF(
    VLOOKUP(
        $A20,
        _xlfn._xlws.FILTER(
            INDIRECT("'"&amp;K$1&amp;"'!A2:E1000"), (INDIRECT("'"&amp;K$1&amp;"'!B2:B1000")=$B20) * (INDIRECT("'"&amp;K$1&amp;"'!C2:C1000")=$C20)
        ),
        5,
        FALSE
    )=0,
    "",
    VLOOKUP(
        $A20,
        _xlfn._xlws.FILTER(
            INDIRECT("'"&amp;K$1&amp;"'!A2:E1000"), (INDIRECT("'"&amp;K$1&amp;"'!B2:B1000")=$B20) * (INDIRECT("'"&amp;K$1&amp;"'!C2:C1000")=$C20)
        ),
        5,
        FALSE
    )
)</f>
        <v>Enviado</v>
      </c>
      <c r="L20" s="113" t="str">
        <f t="array" aca="1" ref="L20" ca="1">IF(
    VLOOKUP(
        $A20,
        _xlfn._xlws.FILTER(
            INDIRECT("'"&amp;L$1&amp;"'!A2:E1000"), (INDIRECT("'"&amp;L$1&amp;"'!B2:B1000")=$B20) * (INDIRECT("'"&amp;L$1&amp;"'!C2:C1000")=$C20)
        ),
        5,
        FALSE
    )=0,
    "",
    VLOOKUP(
        $A20,
        _xlfn._xlws.FILTER(
            INDIRECT("'"&amp;L$1&amp;"'!A2:E1000"), (INDIRECT("'"&amp;L$1&amp;"'!B2:B1000")=$B20) * (INDIRECT("'"&amp;L$1&amp;"'!C2:C1000")=$C20)
        ),
        5,
        FALSE
    )
)</f>
        <v>Enviado</v>
      </c>
      <c r="M20" s="113" t="str">
        <f t="array" aca="1" ref="M20" ca="1">IF(
    VLOOKUP(
        $A20,
        _xlfn._xlws.FILTER(
            INDIRECT("'"&amp;M$1&amp;"'!A2:E1000"), (INDIRECT("'"&amp;M$1&amp;"'!B2:B1000")=$B20) * (INDIRECT("'"&amp;M$1&amp;"'!C2:C1000")=$C20)
        ),
        5,
        FALSE
    )=0,
    "",
    VLOOKUP(
        $A20,
        _xlfn._xlws.FILTER(
            INDIRECT("'"&amp;M$1&amp;"'!A2:E1000"), (INDIRECT("'"&amp;M$1&amp;"'!B2:B1000")=$B20) * (INDIRECT("'"&amp;M$1&amp;"'!C2:C1000")=$C20)
        ),
        5,
        FALSE
    )
)</f>
        <v>Atrasado &gt;= 2</v>
      </c>
      <c r="N20" s="113" t="str">
        <f t="array" aca="1" ref="N20" ca="1">IF(
    VLOOKUP(
        $A20,
        _xlfn._xlws.FILTER(
            INDIRECT("'"&amp;N$1&amp;"'!A2:E1000"), (INDIRECT("'"&amp;N$1&amp;"'!B2:B1000")=$B20) * (INDIRECT("'"&amp;N$1&amp;"'!C2:C1000")=$C20)
        ),
        5,
        FALSE
    )=0,
    "",
    VLOOKUP(
        $A20,
        _xlfn._xlws.FILTER(
            INDIRECT("'"&amp;N$1&amp;"'!A2:E1000"), (INDIRECT("'"&amp;N$1&amp;"'!B2:B1000")=$B20) * (INDIRECT("'"&amp;N$1&amp;"'!C2:C1000")=$C20)
        ),
        5,
        FALSE
    )
)</f>
        <v>Atrasado</v>
      </c>
      <c r="O20" s="113" t="str">
        <f t="array" aca="1" ref="O20" ca="1">IF(
    VLOOKUP(
        $A20,
        _xlfn._xlws.FILTER(
            INDIRECT("'"&amp;O$1&amp;"'!A2:E1000"), (INDIRECT("'"&amp;O$1&amp;"'!B2:B1000")=$B20) * (INDIRECT("'"&amp;O$1&amp;"'!C2:C1000")=$C20)
        ),
        5,
        FALSE
    )=0,
    "",
    VLOOKUP(
        $A20,
        _xlfn._xlws.FILTER(
            INDIRECT("'"&amp;O$1&amp;"'!A2:E1000"), (INDIRECT("'"&amp;O$1&amp;"'!B2:B1000")=$B20) * (INDIRECT("'"&amp;O$1&amp;"'!C2:C1000")=$C20)
        ),
        5,
        FALSE
    )
)</f>
        <v/>
      </c>
    </row>
    <row r="21" spans="1:15">
      <c r="A21" s="89" t="s">
        <v>35</v>
      </c>
      <c r="B21" s="112" t="s">
        <v>67</v>
      </c>
      <c r="C21" s="39">
        <v>1</v>
      </c>
      <c r="D21" s="113" t="str">
        <f t="array" aca="1" ref="D21" ca="1">IF(
    VLOOKUP(
        $A21,
        _xlfn._xlws.FILTER(
            INDIRECT("'"&amp;D$1&amp;"'!A2:E1000"), (INDIRECT("'"&amp;D$1&amp;"'!B2:B1000")=$B21) * (INDIRECT("'"&amp;D$1&amp;"'!C2:C1000")=$C21)
        ),
        5,
        FALSE
    )=0,
    "",
    VLOOKUP(
        $A21,
        _xlfn._xlws.FILTER(
            INDIRECT("'"&amp;D$1&amp;"'!A2:E1000"), (INDIRECT("'"&amp;D$1&amp;"'!B2:B1000")=$B21) * (INDIRECT("'"&amp;D$1&amp;"'!C2:C1000")=$C21)
        ),
        5,
        FALSE
    )
)</f>
        <v>Sem Técnico</v>
      </c>
      <c r="E21" s="113" t="str">
        <f t="array" aca="1" ref="E21" ca="1">IF(
    VLOOKUP(
        $A21,
        _xlfn._xlws.FILTER(
            INDIRECT("'"&amp;E$1&amp;"'!A2:E1000"), (INDIRECT("'"&amp;E$1&amp;"'!B2:B1000")=$B21) * (INDIRECT("'"&amp;E$1&amp;"'!C2:C1000")=$C21)
        ),
        5,
        FALSE
    )=0,
    "",
    VLOOKUP(
        $A21,
        _xlfn._xlws.FILTER(
            INDIRECT("'"&amp;E$1&amp;"'!A2:E1000"), (INDIRECT("'"&amp;E$1&amp;"'!B2:B1000")=$B21) * (INDIRECT("'"&amp;E$1&amp;"'!C2:C1000")=$C21)
        ),
        5,
        FALSE
    )
)</f>
        <v>Sem Técnico</v>
      </c>
      <c r="F21" s="113" t="str">
        <f t="array" aca="1" ref="F21" ca="1">IF(
    VLOOKUP(
        $A21,
        _xlfn._xlws.FILTER(
            INDIRECT("'"&amp;F$1&amp;"'!A2:E1000"), (INDIRECT("'"&amp;F$1&amp;"'!B2:B1000")=$B21) * (INDIRECT("'"&amp;F$1&amp;"'!C2:C1000")=$C21)
        ),
        5,
        FALSE
    )=0,
    "",
    VLOOKUP(
        $A21,
        _xlfn._xlws.FILTER(
            INDIRECT("'"&amp;F$1&amp;"'!A2:E1000"), (INDIRECT("'"&amp;F$1&amp;"'!B2:B1000")=$B21) * (INDIRECT("'"&amp;F$1&amp;"'!C2:C1000")=$C21)
        ),
        5,
        FALSE
    )
)</f>
        <v>Sem Técnico</v>
      </c>
      <c r="G21" s="113" t="str">
        <f t="array" aca="1" ref="G21" ca="1">IF(
    VLOOKUP(
        $A21,
        _xlfn._xlws.FILTER(
            INDIRECT("'"&amp;G$1&amp;"'!A2:E1000"), (INDIRECT("'"&amp;G$1&amp;"'!B2:B1000")=$B21) * (INDIRECT("'"&amp;G$1&amp;"'!C2:C1000")=$C21)
        ),
        5,
        FALSE
    )=0,
    "",
    VLOOKUP(
        $A21,
        _xlfn._xlws.FILTER(
            INDIRECT("'"&amp;G$1&amp;"'!A2:E1000"), (INDIRECT("'"&amp;G$1&amp;"'!B2:B1000")=$B21) * (INDIRECT("'"&amp;G$1&amp;"'!C2:C1000")=$C21)
        ),
        5,
        FALSE
    )
)</f>
        <v>Sem Técnico</v>
      </c>
      <c r="H21" s="113" t="str">
        <f t="array" aca="1" ref="H21" ca="1">IF(
    VLOOKUP(
        $A21,
        _xlfn._xlws.FILTER(
            INDIRECT("'"&amp;H$1&amp;"'!A2:E1000"), (INDIRECT("'"&amp;H$1&amp;"'!B2:B1000")=$B21) * (INDIRECT("'"&amp;H$1&amp;"'!C2:C1000")=$C21)
        ),
        5,
        FALSE
    )=0,
    "",
    VLOOKUP(
        $A21,
        _xlfn._xlws.FILTER(
            INDIRECT("'"&amp;H$1&amp;"'!A2:E1000"), (INDIRECT("'"&amp;H$1&amp;"'!B2:B1000")=$B21) * (INDIRECT("'"&amp;H$1&amp;"'!C2:C1000")=$C21)
        ),
        5,
        FALSE
    )
)</f>
        <v>Sem Técnico</v>
      </c>
      <c r="I21" s="113" t="str">
        <f t="array" aca="1" ref="I21" ca="1">IF(
    VLOOKUP(
        $A21,
        _xlfn._xlws.FILTER(
            INDIRECT("'"&amp;I$1&amp;"'!A2:E1000"), (INDIRECT("'"&amp;I$1&amp;"'!B2:B1000")=$B21) * (INDIRECT("'"&amp;I$1&amp;"'!C2:C1000")=$C21)
        ),
        5,
        FALSE
    )=0,
    "",
    VLOOKUP(
        $A21,
        _xlfn._xlws.FILTER(
            INDIRECT("'"&amp;I$1&amp;"'!A2:E1000"), (INDIRECT("'"&amp;I$1&amp;"'!B2:B1000")=$B21) * (INDIRECT("'"&amp;I$1&amp;"'!C2:C1000")=$C21)
        ),
        5,
        FALSE
    )
)</f>
        <v>Sem Técnico</v>
      </c>
      <c r="J21" s="113" t="str">
        <f t="array" aca="1" ref="J21" ca="1">IF(
    VLOOKUP(
        $A21,
        _xlfn._xlws.FILTER(
            INDIRECT("'"&amp;J$1&amp;"'!A2:E1000"), (INDIRECT("'"&amp;J$1&amp;"'!B2:B1000")=$B21) * (INDIRECT("'"&amp;J$1&amp;"'!C2:C1000")=$C21)
        ),
        5,
        FALSE
    )=0,
    "",
    VLOOKUP(
        $A21,
        _xlfn._xlws.FILTER(
            INDIRECT("'"&amp;J$1&amp;"'!A2:E1000"), (INDIRECT("'"&amp;J$1&amp;"'!B2:B1000")=$B21) * (INDIRECT("'"&amp;J$1&amp;"'!C2:C1000")=$C21)
        ),
        5,
        FALSE
    )
)</f>
        <v>Sem Técnico</v>
      </c>
      <c r="K21" s="113" t="str">
        <f t="array" aca="1" ref="K21" ca="1">IF(
    VLOOKUP(
        $A21,
        _xlfn._xlws.FILTER(
            INDIRECT("'"&amp;K$1&amp;"'!A2:E1000"), (INDIRECT("'"&amp;K$1&amp;"'!B2:B1000")=$B21) * (INDIRECT("'"&amp;K$1&amp;"'!C2:C1000")=$C21)
        ),
        5,
        FALSE
    )=0,
    "",
    VLOOKUP(
        $A21,
        _xlfn._xlws.FILTER(
            INDIRECT("'"&amp;K$1&amp;"'!A2:E1000"), (INDIRECT("'"&amp;K$1&amp;"'!B2:B1000")=$B21) * (INDIRECT("'"&amp;K$1&amp;"'!C2:C1000")=$C21)
        ),
        5,
        FALSE
    )
)</f>
        <v>Enviado</v>
      </c>
      <c r="L21" s="113" t="str">
        <f t="array" aca="1" ref="L21" ca="1">IF(
    VLOOKUP(
        $A21,
        _xlfn._xlws.FILTER(
            INDIRECT("'"&amp;L$1&amp;"'!A2:E1000"), (INDIRECT("'"&amp;L$1&amp;"'!B2:B1000")=$B21) * (INDIRECT("'"&amp;L$1&amp;"'!C2:C1000")=$C21)
        ),
        5,
        FALSE
    )=0,
    "",
    VLOOKUP(
        $A21,
        _xlfn._xlws.FILTER(
            INDIRECT("'"&amp;L$1&amp;"'!A2:E1000"), (INDIRECT("'"&amp;L$1&amp;"'!B2:B1000")=$B21) * (INDIRECT("'"&amp;L$1&amp;"'!C2:C1000")=$C21)
        ),
        5,
        FALSE
    )
)</f>
        <v>Atrasado &gt;= 2</v>
      </c>
      <c r="M21" s="113" t="str">
        <f t="array" aca="1" ref="M21" ca="1">IF(
    VLOOKUP(
        $A21,
        _xlfn._xlws.FILTER(
            INDIRECT("'"&amp;M$1&amp;"'!A2:E1000"), (INDIRECT("'"&amp;M$1&amp;"'!B2:B1000")=$B21) * (INDIRECT("'"&amp;M$1&amp;"'!C2:C1000")=$C21)
        ),
        5,
        FALSE
    )=0,
    "",
    VLOOKUP(
        $A21,
        _xlfn._xlws.FILTER(
            INDIRECT("'"&amp;M$1&amp;"'!A2:E1000"), (INDIRECT("'"&amp;M$1&amp;"'!B2:B1000")=$B21) * (INDIRECT("'"&amp;M$1&amp;"'!C2:C1000")=$C21)
        ),
        5,
        FALSE
    )
)</f>
        <v>Atrasado &gt;= 2</v>
      </c>
      <c r="N21" s="113" t="str">
        <f t="array" aca="1" ref="N21" ca="1">IF(
    VLOOKUP(
        $A21,
        _xlfn._xlws.FILTER(
            INDIRECT("'"&amp;N$1&amp;"'!A2:E1000"), (INDIRECT("'"&amp;N$1&amp;"'!B2:B1000")=$B21) * (INDIRECT("'"&amp;N$1&amp;"'!C2:C1000")=$C21)
        ),
        5,
        FALSE
    )=0,
    "",
    VLOOKUP(
        $A21,
        _xlfn._xlws.FILTER(
            INDIRECT("'"&amp;N$1&amp;"'!A2:E1000"), (INDIRECT("'"&amp;N$1&amp;"'!B2:B1000")=$B21) * (INDIRECT("'"&amp;N$1&amp;"'!C2:C1000")=$C21)
        ),
        5,
        FALSE
    )
)</f>
        <v>Atrasado</v>
      </c>
      <c r="O21" s="113" t="str">
        <f t="array" aca="1" ref="O21" ca="1">IF(
    VLOOKUP(
        $A21,
        _xlfn._xlws.FILTER(
            INDIRECT("'"&amp;O$1&amp;"'!A2:E1000"), (INDIRECT("'"&amp;O$1&amp;"'!B2:B1000")=$B21) * (INDIRECT("'"&amp;O$1&amp;"'!C2:C1000")=$C21)
        ),
        5,
        FALSE
    )=0,
    "",
    VLOOKUP(
        $A21,
        _xlfn._xlws.FILTER(
            INDIRECT("'"&amp;O$1&amp;"'!A2:E1000"), (INDIRECT("'"&amp;O$1&amp;"'!B2:B1000")=$B21) * (INDIRECT("'"&amp;O$1&amp;"'!C2:C1000")=$C21)
        ),
        5,
        FALSE
    )
)</f>
        <v/>
      </c>
    </row>
    <row r="22" spans="1:15">
      <c r="A22" s="89" t="s">
        <v>35</v>
      </c>
      <c r="B22" s="112" t="s">
        <v>68</v>
      </c>
      <c r="C22" s="39">
        <v>1</v>
      </c>
      <c r="D22" s="113" t="str">
        <f t="array" aca="1" ref="D22" ca="1">IF(
    VLOOKUP(
        $A22,
        _xlfn._xlws.FILTER(
            INDIRECT("'"&amp;D$1&amp;"'!A2:E1000"), (INDIRECT("'"&amp;D$1&amp;"'!B2:B1000")=$B22) * (INDIRECT("'"&amp;D$1&amp;"'!C2:C1000")=$C22)
        ),
        5,
        FALSE
    )=0,
    "",
    VLOOKUP(
        $A22,
        _xlfn._xlws.FILTER(
            INDIRECT("'"&amp;D$1&amp;"'!A2:E1000"), (INDIRECT("'"&amp;D$1&amp;"'!B2:B1000")=$B22) * (INDIRECT("'"&amp;D$1&amp;"'!C2:C1000")=$C22)
        ),
        5,
        FALSE
    )
)</f>
        <v>Sem Técnico</v>
      </c>
      <c r="E22" s="113" t="str">
        <f t="array" aca="1" ref="E22" ca="1">IF(
    VLOOKUP(
        $A22,
        _xlfn._xlws.FILTER(
            INDIRECT("'"&amp;E$1&amp;"'!A2:E1000"), (INDIRECT("'"&amp;E$1&amp;"'!B2:B1000")=$B22) * (INDIRECT("'"&amp;E$1&amp;"'!C2:C1000")=$C22)
        ),
        5,
        FALSE
    )=0,
    "",
    VLOOKUP(
        $A22,
        _xlfn._xlws.FILTER(
            INDIRECT("'"&amp;E$1&amp;"'!A2:E1000"), (INDIRECT("'"&amp;E$1&amp;"'!B2:B1000")=$B22) * (INDIRECT("'"&amp;E$1&amp;"'!C2:C1000")=$C22)
        ),
        5,
        FALSE
    )
)</f>
        <v>Sem Técnico</v>
      </c>
      <c r="F22" s="113" t="str">
        <f t="array" aca="1" ref="F22" ca="1">IF(
    VLOOKUP(
        $A22,
        _xlfn._xlws.FILTER(
            INDIRECT("'"&amp;F$1&amp;"'!A2:E1000"), (INDIRECT("'"&amp;F$1&amp;"'!B2:B1000")=$B22) * (INDIRECT("'"&amp;F$1&amp;"'!C2:C1000")=$C22)
        ),
        5,
        FALSE
    )=0,
    "",
    VLOOKUP(
        $A22,
        _xlfn._xlws.FILTER(
            INDIRECT("'"&amp;F$1&amp;"'!A2:E1000"), (INDIRECT("'"&amp;F$1&amp;"'!B2:B1000")=$B22) * (INDIRECT("'"&amp;F$1&amp;"'!C2:C1000")=$C22)
        ),
        5,
        FALSE
    )
)</f>
        <v>Sem Técnico</v>
      </c>
      <c r="G22" s="113" t="str">
        <f t="array" aca="1" ref="G22" ca="1">IF(
    VLOOKUP(
        $A22,
        _xlfn._xlws.FILTER(
            INDIRECT("'"&amp;G$1&amp;"'!A2:E1000"), (INDIRECT("'"&amp;G$1&amp;"'!B2:B1000")=$B22) * (INDIRECT("'"&amp;G$1&amp;"'!C2:C1000")=$C22)
        ),
        5,
        FALSE
    )=0,
    "",
    VLOOKUP(
        $A22,
        _xlfn._xlws.FILTER(
            INDIRECT("'"&amp;G$1&amp;"'!A2:E1000"), (INDIRECT("'"&amp;G$1&amp;"'!B2:B1000")=$B22) * (INDIRECT("'"&amp;G$1&amp;"'!C2:C1000")=$C22)
        ),
        5,
        FALSE
    )
)</f>
        <v>Sem Técnico</v>
      </c>
      <c r="H22" s="113" t="str">
        <f t="array" aca="1" ref="H22" ca="1">IF(
    VLOOKUP(
        $A22,
        _xlfn._xlws.FILTER(
            INDIRECT("'"&amp;H$1&amp;"'!A2:E1000"), (INDIRECT("'"&amp;H$1&amp;"'!B2:B1000")=$B22) * (INDIRECT("'"&amp;H$1&amp;"'!C2:C1000")=$C22)
        ),
        5,
        FALSE
    )=0,
    "",
    VLOOKUP(
        $A22,
        _xlfn._xlws.FILTER(
            INDIRECT("'"&amp;H$1&amp;"'!A2:E1000"), (INDIRECT("'"&amp;H$1&amp;"'!B2:B1000")=$B22) * (INDIRECT("'"&amp;H$1&amp;"'!C2:C1000")=$C22)
        ),
        5,
        FALSE
    )
)</f>
        <v>Sem Técnico</v>
      </c>
      <c r="I22" s="113" t="str">
        <f t="array" aca="1" ref="I22" ca="1">IF(
    VLOOKUP(
        $A22,
        _xlfn._xlws.FILTER(
            INDIRECT("'"&amp;I$1&amp;"'!A2:E1000"), (INDIRECT("'"&amp;I$1&amp;"'!B2:B1000")=$B22) * (INDIRECT("'"&amp;I$1&amp;"'!C2:C1000")=$C22)
        ),
        5,
        FALSE
    )=0,
    "",
    VLOOKUP(
        $A22,
        _xlfn._xlws.FILTER(
            INDIRECT("'"&amp;I$1&amp;"'!A2:E1000"), (INDIRECT("'"&amp;I$1&amp;"'!B2:B1000")=$B22) * (INDIRECT("'"&amp;I$1&amp;"'!C2:C1000")=$C22)
        ),
        5,
        FALSE
    )
)</f>
        <v>Sem Técnico</v>
      </c>
      <c r="J22" s="113" t="str">
        <f t="array" aca="1" ref="J22" ca="1">IF(
    VLOOKUP(
        $A22,
        _xlfn._xlws.FILTER(
            INDIRECT("'"&amp;J$1&amp;"'!A2:E1000"), (INDIRECT("'"&amp;J$1&amp;"'!B2:B1000")=$B22) * (INDIRECT("'"&amp;J$1&amp;"'!C2:C1000")=$C22)
        ),
        5,
        FALSE
    )=0,
    "",
    VLOOKUP(
        $A22,
        _xlfn._xlws.FILTER(
            INDIRECT("'"&amp;J$1&amp;"'!A2:E1000"), (INDIRECT("'"&amp;J$1&amp;"'!B2:B1000")=$B22) * (INDIRECT("'"&amp;J$1&amp;"'!C2:C1000")=$C22)
        ),
        5,
        FALSE
    )
)</f>
        <v>Sem Técnico</v>
      </c>
      <c r="K22" s="113" t="str">
        <f t="array" aca="1" ref="K22" ca="1">IF(
    VLOOKUP(
        $A22,
        _xlfn._xlws.FILTER(
            INDIRECT("'"&amp;K$1&amp;"'!A2:E1000"), (INDIRECT("'"&amp;K$1&amp;"'!B2:B1000")=$B22) * (INDIRECT("'"&amp;K$1&amp;"'!C2:C1000")=$C22)
        ),
        5,
        FALSE
    )=0,
    "",
    VLOOKUP(
        $A22,
        _xlfn._xlws.FILTER(
            INDIRECT("'"&amp;K$1&amp;"'!A2:E1000"), (INDIRECT("'"&amp;K$1&amp;"'!B2:B1000")=$B22) * (INDIRECT("'"&amp;K$1&amp;"'!C2:C1000")=$C22)
        ),
        5,
        FALSE
    )
)</f>
        <v>Atrasado &gt;= 2</v>
      </c>
      <c r="L22" s="113" t="str">
        <f t="array" aca="1" ref="L22" ca="1">IF(
    VLOOKUP(
        $A22,
        _xlfn._xlws.FILTER(
            INDIRECT("'"&amp;L$1&amp;"'!A2:E1000"), (INDIRECT("'"&amp;L$1&amp;"'!B2:B1000")=$B22) * (INDIRECT("'"&amp;L$1&amp;"'!C2:C1000")=$C22)
        ),
        5,
        FALSE
    )=0,
    "",
    VLOOKUP(
        $A22,
        _xlfn._xlws.FILTER(
            INDIRECT("'"&amp;L$1&amp;"'!A2:E1000"), (INDIRECT("'"&amp;L$1&amp;"'!B2:B1000")=$B22) * (INDIRECT("'"&amp;L$1&amp;"'!C2:C1000")=$C22)
        ),
        5,
        FALSE
    )
)</f>
        <v>Atrasado &gt;= 2</v>
      </c>
      <c r="M22" s="113" t="str">
        <f t="array" aca="1" ref="M22" ca="1">IF(
    VLOOKUP(
        $A22,
        _xlfn._xlws.FILTER(
            INDIRECT("'"&amp;M$1&amp;"'!A2:E1000"), (INDIRECT("'"&amp;M$1&amp;"'!B2:B1000")=$B22) * (INDIRECT("'"&amp;M$1&amp;"'!C2:C1000")=$C22)
        ),
        5,
        FALSE
    )=0,
    "",
    VLOOKUP(
        $A22,
        _xlfn._xlws.FILTER(
            INDIRECT("'"&amp;M$1&amp;"'!A2:E1000"), (INDIRECT("'"&amp;M$1&amp;"'!B2:B1000")=$B22) * (INDIRECT("'"&amp;M$1&amp;"'!C2:C1000")=$C22)
        ),
        5,
        FALSE
    )
)</f>
        <v>Atrasado &gt;= 2</v>
      </c>
      <c r="N22" s="113" t="str">
        <f t="array" aca="1" ref="N22" ca="1">IF(
    VLOOKUP(
        $A22,
        _xlfn._xlws.FILTER(
            INDIRECT("'"&amp;N$1&amp;"'!A2:E1000"), (INDIRECT("'"&amp;N$1&amp;"'!B2:B1000")=$B22) * (INDIRECT("'"&amp;N$1&amp;"'!C2:C1000")=$C22)
        ),
        5,
        FALSE
    )=0,
    "",
    VLOOKUP(
        $A22,
        _xlfn._xlws.FILTER(
            INDIRECT("'"&amp;N$1&amp;"'!A2:E1000"), (INDIRECT("'"&amp;N$1&amp;"'!B2:B1000")=$B22) * (INDIRECT("'"&amp;N$1&amp;"'!C2:C1000")=$C22)
        ),
        5,
        FALSE
    )
)</f>
        <v>Atrasado</v>
      </c>
      <c r="O22" s="113" t="str">
        <f t="array" aca="1" ref="O22" ca="1">IF(
    VLOOKUP(
        $A22,
        _xlfn._xlws.FILTER(
            INDIRECT("'"&amp;O$1&amp;"'!A2:E1000"), (INDIRECT("'"&amp;O$1&amp;"'!B2:B1000")=$B22) * (INDIRECT("'"&amp;O$1&amp;"'!C2:C1000")=$C22)
        ),
        5,
        FALSE
    )=0,
    "",
    VLOOKUP(
        $A22,
        _xlfn._xlws.FILTER(
            INDIRECT("'"&amp;O$1&amp;"'!A2:E1000"), (INDIRECT("'"&amp;O$1&amp;"'!B2:B1000")=$B22) * (INDIRECT("'"&amp;O$1&amp;"'!C2:C1000")=$C22)
        ),
        5,
        FALSE
    )
)</f>
        <v/>
      </c>
    </row>
    <row r="23" spans="1:15">
      <c r="B23" s="35"/>
    </row>
    <row r="24" spans="1:15" ht="15.75" customHeight="1">
      <c r="A24" s="34" t="s">
        <v>25</v>
      </c>
      <c r="B24" s="34" t="s">
        <v>48</v>
      </c>
      <c r="C24" s="34" t="s">
        <v>49</v>
      </c>
      <c r="D24" s="110" t="s">
        <v>1</v>
      </c>
      <c r="E24" s="110" t="s">
        <v>2</v>
      </c>
      <c r="F24" s="110" t="s">
        <v>3</v>
      </c>
      <c r="G24" s="110" t="s">
        <v>4</v>
      </c>
      <c r="H24" s="110" t="s">
        <v>5</v>
      </c>
      <c r="I24" s="110" t="s">
        <v>6</v>
      </c>
      <c r="J24" s="111" t="s">
        <v>7</v>
      </c>
      <c r="K24" s="111" t="s">
        <v>8</v>
      </c>
      <c r="L24" s="111" t="s">
        <v>9</v>
      </c>
      <c r="M24" s="111" t="s">
        <v>10</v>
      </c>
      <c r="N24" s="111" t="s">
        <v>11</v>
      </c>
      <c r="O24" s="111" t="s">
        <v>12</v>
      </c>
    </row>
    <row r="25" spans="1:15">
      <c r="A25" s="92" t="s">
        <v>37</v>
      </c>
      <c r="B25" s="112" t="s">
        <v>69</v>
      </c>
      <c r="C25" s="39">
        <v>1</v>
      </c>
      <c r="D25" s="113" t="str">
        <f t="array" aca="1" ref="D25" ca="1">IF(
    VLOOKUP(
        $A25,
        _xlfn._xlws.FILTER(
            INDIRECT("'"&amp;D$1&amp;"'!A2:E1000"), (INDIRECT("'"&amp;D$1&amp;"'!B2:B1000")=$B25) * (INDIRECT("'"&amp;D$1&amp;"'!C2:C1000")=$C25)
        ),
        5,
        FALSE
    )=0,
    "",
    VLOOKUP(
        $A25,
        _xlfn._xlws.FILTER(
            INDIRECT("'"&amp;D$1&amp;"'!A2:E1000"), (INDIRECT("'"&amp;D$1&amp;"'!B2:B1000")=$B25) * (INDIRECT("'"&amp;D$1&amp;"'!C2:C1000")=$C25)
        ),
        5,
        FALSE
    )
)</f>
        <v>Sem Técnico</v>
      </c>
      <c r="E25" s="113" t="str">
        <f t="array" aca="1" ref="E25" ca="1">IF(
    VLOOKUP(
        $A25,
        _xlfn._xlws.FILTER(
            INDIRECT("'"&amp;E$1&amp;"'!A2:E1000"), (INDIRECT("'"&amp;E$1&amp;"'!B2:B1000")=$B25) * (INDIRECT("'"&amp;E$1&amp;"'!C2:C1000")=$C25)
        ),
        5,
        FALSE
    )=0,
    "",
    VLOOKUP(
        $A25,
        _xlfn._xlws.FILTER(
            INDIRECT("'"&amp;E$1&amp;"'!A2:E1000"), (INDIRECT("'"&amp;E$1&amp;"'!B2:B1000")=$B25) * (INDIRECT("'"&amp;E$1&amp;"'!C2:C1000")=$C25)
        ),
        5,
        FALSE
    )
)</f>
        <v>Sem Técnico</v>
      </c>
      <c r="F25" s="113" t="str">
        <f t="array" aca="1" ref="F25" ca="1">IF(
    VLOOKUP(
        $A25,
        _xlfn._xlws.FILTER(
            INDIRECT("'"&amp;F$1&amp;"'!A2:E1000"), (INDIRECT("'"&amp;F$1&amp;"'!B2:B1000")=$B25) * (INDIRECT("'"&amp;F$1&amp;"'!C2:C1000")=$C25)
        ),
        5,
        FALSE
    )=0,
    "",
    VLOOKUP(
        $A25,
        _xlfn._xlws.FILTER(
            INDIRECT("'"&amp;F$1&amp;"'!A2:E1000"), (INDIRECT("'"&amp;F$1&amp;"'!B2:B1000")=$B25) * (INDIRECT("'"&amp;F$1&amp;"'!C2:C1000")=$C25)
        ),
        5,
        FALSE
    )
)</f>
        <v>Sem Técnico</v>
      </c>
      <c r="G25" s="113" t="str">
        <f t="array" aca="1" ref="G25" ca="1">IF(
    VLOOKUP(
        $A25,
        _xlfn._xlws.FILTER(
            INDIRECT("'"&amp;G$1&amp;"'!A2:E1000"), (INDIRECT("'"&amp;G$1&amp;"'!B2:B1000")=$B25) * (INDIRECT("'"&amp;G$1&amp;"'!C2:C1000")=$C25)
        ),
        5,
        FALSE
    )=0,
    "",
    VLOOKUP(
        $A25,
        _xlfn._xlws.FILTER(
            INDIRECT("'"&amp;G$1&amp;"'!A2:E1000"), (INDIRECT("'"&amp;G$1&amp;"'!B2:B1000")=$B25) * (INDIRECT("'"&amp;G$1&amp;"'!C2:C1000")=$C25)
        ),
        5,
        FALSE
    )
)</f>
        <v>Sem Técnico</v>
      </c>
      <c r="H25" s="113" t="str">
        <f t="array" aca="1" ref="H25" ca="1">IF(
    VLOOKUP(
        $A25,
        _xlfn._xlws.FILTER(
            INDIRECT("'"&amp;H$1&amp;"'!A2:E1000"), (INDIRECT("'"&amp;H$1&amp;"'!B2:B1000")=$B25) * (INDIRECT("'"&amp;H$1&amp;"'!C2:C1000")=$C25)
        ),
        5,
        FALSE
    )=0,
    "",
    VLOOKUP(
        $A25,
        _xlfn._xlws.FILTER(
            INDIRECT("'"&amp;H$1&amp;"'!A2:E1000"), (INDIRECT("'"&amp;H$1&amp;"'!B2:B1000")=$B25) * (INDIRECT("'"&amp;H$1&amp;"'!C2:C1000")=$C25)
        ),
        5,
        FALSE
    )
)</f>
        <v>Sem Técnico</v>
      </c>
      <c r="I25" s="113" t="str">
        <f t="array" aca="1" ref="I25" ca="1">IF(
    VLOOKUP(
        $A25,
        _xlfn._xlws.FILTER(
            INDIRECT("'"&amp;I$1&amp;"'!A2:E1000"), (INDIRECT("'"&amp;I$1&amp;"'!B2:B1000")=$B25) * (INDIRECT("'"&amp;I$1&amp;"'!C2:C1000")=$C25)
        ),
        5,
        FALSE
    )=0,
    "",
    VLOOKUP(
        $A25,
        _xlfn._xlws.FILTER(
            INDIRECT("'"&amp;I$1&amp;"'!A2:E1000"), (INDIRECT("'"&amp;I$1&amp;"'!B2:B1000")=$B25) * (INDIRECT("'"&amp;I$1&amp;"'!C2:C1000")=$C25)
        ),
        5,
        FALSE
    )
)</f>
        <v>Sem Técnico</v>
      </c>
      <c r="J25" s="113" t="str">
        <f t="array" aca="1" ref="J25" ca="1">IF(
    VLOOKUP(
        $A25,
        _xlfn._xlws.FILTER(
            INDIRECT("'"&amp;J$1&amp;"'!A2:E1000"), (INDIRECT("'"&amp;J$1&amp;"'!B2:B1000")=$B25) * (INDIRECT("'"&amp;J$1&amp;"'!C2:C1000")=$C25)
        ),
        5,
        FALSE
    )=0,
    "",
    VLOOKUP(
        $A25,
        _xlfn._xlws.FILTER(
            INDIRECT("'"&amp;J$1&amp;"'!A2:E1000"), (INDIRECT("'"&amp;J$1&amp;"'!B2:B1000")=$B25) * (INDIRECT("'"&amp;J$1&amp;"'!C2:C1000")=$C25)
        ),
        5,
        FALSE
    )
)</f>
        <v>Sem Técnico</v>
      </c>
      <c r="K25" s="113" t="str">
        <f t="array" aca="1" ref="K25" ca="1">IF(
    VLOOKUP(
        $A25,
        _xlfn._xlws.FILTER(
            INDIRECT("'"&amp;K$1&amp;"'!A2:E1000"), (INDIRECT("'"&amp;K$1&amp;"'!B2:B1000")=$B25) * (INDIRECT("'"&amp;K$1&amp;"'!C2:C1000")=$C25)
        ),
        5,
        FALSE
    )=0,
    "",
    VLOOKUP(
        $A25,
        _xlfn._xlws.FILTER(
            INDIRECT("'"&amp;K$1&amp;"'!A2:E1000"), (INDIRECT("'"&amp;K$1&amp;"'!B2:B1000")=$B25) * (INDIRECT("'"&amp;K$1&amp;"'!C2:C1000")=$C25)
        ),
        5,
        FALSE
    )
)</f>
        <v>Enviado</v>
      </c>
      <c r="L25" s="113" t="str">
        <f t="array" aca="1" ref="L25" ca="1">IF(
    VLOOKUP(
        $A25,
        _xlfn._xlws.FILTER(
            INDIRECT("'"&amp;L$1&amp;"'!A2:E1000"), (INDIRECT("'"&amp;L$1&amp;"'!B2:B1000")=$B25) * (INDIRECT("'"&amp;L$1&amp;"'!C2:C1000")=$C25)
        ),
        5,
        FALSE
    )=0,
    "",
    VLOOKUP(
        $A25,
        _xlfn._xlws.FILTER(
            INDIRECT("'"&amp;L$1&amp;"'!A2:E1000"), (INDIRECT("'"&amp;L$1&amp;"'!B2:B1000")=$B25) * (INDIRECT("'"&amp;L$1&amp;"'!C2:C1000")=$C25)
        ),
        5,
        FALSE
    )
)</f>
        <v>Enviado</v>
      </c>
      <c r="M25" s="113" t="str">
        <f t="array" aca="1" ref="M25" ca="1">IF(
    VLOOKUP(
        $A25,
        _xlfn._xlws.FILTER(
            INDIRECT("'"&amp;M$1&amp;"'!A2:E1000"), (INDIRECT("'"&amp;M$1&amp;"'!B2:B1000")=$B25) * (INDIRECT("'"&amp;M$1&amp;"'!C2:C1000")=$C25)
        ),
        5,
        FALSE
    )=0,
    "",
    VLOOKUP(
        $A25,
        _xlfn._xlws.FILTER(
            INDIRECT("'"&amp;M$1&amp;"'!A2:E1000"), (INDIRECT("'"&amp;M$1&amp;"'!B2:B1000")=$B25) * (INDIRECT("'"&amp;M$1&amp;"'!C2:C1000")=$C25)
        ),
        5,
        FALSE
    )
)</f>
        <v>Enviado</v>
      </c>
      <c r="N25" s="113" t="str">
        <f t="array" aca="1" ref="N25" ca="1">IF(
    VLOOKUP(
        $A25,
        _xlfn._xlws.FILTER(
            INDIRECT("'"&amp;N$1&amp;"'!A2:E1000"), (INDIRECT("'"&amp;N$1&amp;"'!B2:B1000")=$B25) * (INDIRECT("'"&amp;N$1&amp;"'!C2:C1000")=$C25)
        ),
        5,
        FALSE
    )=0,
    "",
    VLOOKUP(
        $A25,
        _xlfn._xlws.FILTER(
            INDIRECT("'"&amp;N$1&amp;"'!A2:E1000"), (INDIRECT("'"&amp;N$1&amp;"'!B2:B1000")=$B25) * (INDIRECT("'"&amp;N$1&amp;"'!C2:C1000")=$C25)
        ),
        5,
        FALSE
    )
)</f>
        <v>Atrasado</v>
      </c>
      <c r="O25" s="113" t="str">
        <f t="array" aca="1" ref="O25" ca="1">IF(
    VLOOKUP(
        $A25,
        _xlfn._xlws.FILTER(
            INDIRECT("'"&amp;O$1&amp;"'!A2:E1000"), (INDIRECT("'"&amp;O$1&amp;"'!B2:B1000")=$B25) * (INDIRECT("'"&amp;O$1&amp;"'!C2:C1000")=$C25)
        ),
        5,
        FALSE
    )=0,
    "",
    VLOOKUP(
        $A25,
        _xlfn._xlws.FILTER(
            INDIRECT("'"&amp;O$1&amp;"'!A2:E1000"), (INDIRECT("'"&amp;O$1&amp;"'!B2:B1000")=$B25) * (INDIRECT("'"&amp;O$1&amp;"'!C2:C1000")=$C25)
        ),
        5,
        FALSE
    )
)</f>
        <v/>
      </c>
    </row>
    <row r="26" spans="1:15">
      <c r="A26" s="92" t="s">
        <v>37</v>
      </c>
      <c r="B26" s="112" t="s">
        <v>70</v>
      </c>
      <c r="C26" s="39">
        <v>1</v>
      </c>
      <c r="D26" s="113" t="str">
        <f t="array" aca="1" ref="D26" ca="1">IF(
    VLOOKUP(
        $A26,
        _xlfn._xlws.FILTER(
            INDIRECT("'"&amp;D$1&amp;"'!A2:E1000"), (INDIRECT("'"&amp;D$1&amp;"'!B2:B1000")=$B26) * (INDIRECT("'"&amp;D$1&amp;"'!C2:C1000")=$C26)
        ),
        5,
        FALSE
    )=0,
    "",
    VLOOKUP(
        $A26,
        _xlfn._xlws.FILTER(
            INDIRECT("'"&amp;D$1&amp;"'!A2:E1000"), (INDIRECT("'"&amp;D$1&amp;"'!B2:B1000")=$B26) * (INDIRECT("'"&amp;D$1&amp;"'!C2:C1000")=$C26)
        ),
        5,
        FALSE
    )
)</f>
        <v>Sem Técnico</v>
      </c>
      <c r="E26" s="113" t="str">
        <f t="array" aca="1" ref="E26" ca="1">IF(
    VLOOKUP(
        $A26,
        _xlfn._xlws.FILTER(
            INDIRECT("'"&amp;E$1&amp;"'!A2:E1000"), (INDIRECT("'"&amp;E$1&amp;"'!B2:B1000")=$B26) * (INDIRECT("'"&amp;E$1&amp;"'!C2:C1000")=$C26)
        ),
        5,
        FALSE
    )=0,
    "",
    VLOOKUP(
        $A26,
        _xlfn._xlws.FILTER(
            INDIRECT("'"&amp;E$1&amp;"'!A2:E1000"), (INDIRECT("'"&amp;E$1&amp;"'!B2:B1000")=$B26) * (INDIRECT("'"&amp;E$1&amp;"'!C2:C1000")=$C26)
        ),
        5,
        FALSE
    )
)</f>
        <v>Sem Técnico</v>
      </c>
      <c r="F26" s="113" t="str">
        <f t="array" aca="1" ref="F26" ca="1">IF(
    VLOOKUP(
        $A26,
        _xlfn._xlws.FILTER(
            INDIRECT("'"&amp;F$1&amp;"'!A2:E1000"), (INDIRECT("'"&amp;F$1&amp;"'!B2:B1000")=$B26) * (INDIRECT("'"&amp;F$1&amp;"'!C2:C1000")=$C26)
        ),
        5,
        FALSE
    )=0,
    "",
    VLOOKUP(
        $A26,
        _xlfn._xlws.FILTER(
            INDIRECT("'"&amp;F$1&amp;"'!A2:E1000"), (INDIRECT("'"&amp;F$1&amp;"'!B2:B1000")=$B26) * (INDIRECT("'"&amp;F$1&amp;"'!C2:C1000")=$C26)
        ),
        5,
        FALSE
    )
)</f>
        <v>Sem Técnico</v>
      </c>
      <c r="G26" s="113" t="str">
        <f t="array" aca="1" ref="G26" ca="1">IF(
    VLOOKUP(
        $A26,
        _xlfn._xlws.FILTER(
            INDIRECT("'"&amp;G$1&amp;"'!A2:E1000"), (INDIRECT("'"&amp;G$1&amp;"'!B2:B1000")=$B26) * (INDIRECT("'"&amp;G$1&amp;"'!C2:C1000")=$C26)
        ),
        5,
        FALSE
    )=0,
    "",
    VLOOKUP(
        $A26,
        _xlfn._xlws.FILTER(
            INDIRECT("'"&amp;G$1&amp;"'!A2:E1000"), (INDIRECT("'"&amp;G$1&amp;"'!B2:B1000")=$B26) * (INDIRECT("'"&amp;G$1&amp;"'!C2:C1000")=$C26)
        ),
        5,
        FALSE
    )
)</f>
        <v>Sem Técnico</v>
      </c>
      <c r="H26" s="113" t="str">
        <f t="array" aca="1" ref="H26" ca="1">IF(
    VLOOKUP(
        $A26,
        _xlfn._xlws.FILTER(
            INDIRECT("'"&amp;H$1&amp;"'!A2:E1000"), (INDIRECT("'"&amp;H$1&amp;"'!B2:B1000")=$B26) * (INDIRECT("'"&amp;H$1&amp;"'!C2:C1000")=$C26)
        ),
        5,
        FALSE
    )=0,
    "",
    VLOOKUP(
        $A26,
        _xlfn._xlws.FILTER(
            INDIRECT("'"&amp;H$1&amp;"'!A2:E1000"), (INDIRECT("'"&amp;H$1&amp;"'!B2:B1000")=$B26) * (INDIRECT("'"&amp;H$1&amp;"'!C2:C1000")=$C26)
        ),
        5,
        FALSE
    )
)</f>
        <v>Sem Técnico</v>
      </c>
      <c r="I26" s="113" t="str">
        <f t="array" aca="1" ref="I26" ca="1">IF(
    VLOOKUP(
        $A26,
        _xlfn._xlws.FILTER(
            INDIRECT("'"&amp;I$1&amp;"'!A2:E1000"), (INDIRECT("'"&amp;I$1&amp;"'!B2:B1000")=$B26) * (INDIRECT("'"&amp;I$1&amp;"'!C2:C1000")=$C26)
        ),
        5,
        FALSE
    )=0,
    "",
    VLOOKUP(
        $A26,
        _xlfn._xlws.FILTER(
            INDIRECT("'"&amp;I$1&amp;"'!A2:E1000"), (INDIRECT("'"&amp;I$1&amp;"'!B2:B1000")=$B26) * (INDIRECT("'"&amp;I$1&amp;"'!C2:C1000")=$C26)
        ),
        5,
        FALSE
    )
)</f>
        <v>Sem Técnico</v>
      </c>
      <c r="J26" s="113" t="str">
        <f t="array" aca="1" ref="J26" ca="1">IF(
    VLOOKUP(
        $A26,
        _xlfn._xlws.FILTER(
            INDIRECT("'"&amp;J$1&amp;"'!A2:E1000"), (INDIRECT("'"&amp;J$1&amp;"'!B2:B1000")=$B26) * (INDIRECT("'"&amp;J$1&amp;"'!C2:C1000")=$C26)
        ),
        5,
        FALSE
    )=0,
    "",
    VLOOKUP(
        $A26,
        _xlfn._xlws.FILTER(
            INDIRECT("'"&amp;J$1&amp;"'!A2:E1000"), (INDIRECT("'"&amp;J$1&amp;"'!B2:B1000")=$B26) * (INDIRECT("'"&amp;J$1&amp;"'!C2:C1000")=$C26)
        ),
        5,
        FALSE
    )
)</f>
        <v>Sem Técnico</v>
      </c>
      <c r="K26" s="113" t="str">
        <f t="array" aca="1" ref="K26" ca="1">IF(
    VLOOKUP(
        $A26,
        _xlfn._xlws.FILTER(
            INDIRECT("'"&amp;K$1&amp;"'!A2:E1000"), (INDIRECT("'"&amp;K$1&amp;"'!B2:B1000")=$B26) * (INDIRECT("'"&amp;K$1&amp;"'!C2:C1000")=$C26)
        ),
        5,
        FALSE
    )=0,
    "",
    VLOOKUP(
        $A26,
        _xlfn._xlws.FILTER(
            INDIRECT("'"&amp;K$1&amp;"'!A2:E1000"), (INDIRECT("'"&amp;K$1&amp;"'!B2:B1000")=$B26) * (INDIRECT("'"&amp;K$1&amp;"'!C2:C1000")=$C26)
        ),
        5,
        FALSE
    )
)</f>
        <v>Enviado</v>
      </c>
      <c r="L26" s="113" t="str">
        <f t="array" aca="1" ref="L26" ca="1">IF(
    VLOOKUP(
        $A26,
        _xlfn._xlws.FILTER(
            INDIRECT("'"&amp;L$1&amp;"'!A2:E1000"), (INDIRECT("'"&amp;L$1&amp;"'!B2:B1000")=$B26) * (INDIRECT("'"&amp;L$1&amp;"'!C2:C1000")=$C26)
        ),
        5,
        FALSE
    )=0,
    "",
    VLOOKUP(
        $A26,
        _xlfn._xlws.FILTER(
            INDIRECT("'"&amp;L$1&amp;"'!A2:E1000"), (INDIRECT("'"&amp;L$1&amp;"'!B2:B1000")=$B26) * (INDIRECT("'"&amp;L$1&amp;"'!C2:C1000")=$C26)
        ),
        5,
        FALSE
    )
)</f>
        <v>Enviado</v>
      </c>
      <c r="M26" s="113" t="str">
        <f t="array" aca="1" ref="M26" ca="1">IF(
    VLOOKUP(
        $A26,
        _xlfn._xlws.FILTER(
            INDIRECT("'"&amp;M$1&amp;"'!A2:E1000"), (INDIRECT("'"&amp;M$1&amp;"'!B2:B1000")=$B26) * (INDIRECT("'"&amp;M$1&amp;"'!C2:C1000")=$C26)
        ),
        5,
        FALSE
    )=0,
    "",
    VLOOKUP(
        $A26,
        _xlfn._xlws.FILTER(
            INDIRECT("'"&amp;M$1&amp;"'!A2:E1000"), (INDIRECT("'"&amp;M$1&amp;"'!B2:B1000")=$B26) * (INDIRECT("'"&amp;M$1&amp;"'!C2:C1000")=$C26)
        ),
        5,
        FALSE
    )
)</f>
        <v>Enviado</v>
      </c>
      <c r="N26" s="113" t="str">
        <f t="array" aca="1" ref="N26" ca="1">IF(
    VLOOKUP(
        $A26,
        _xlfn._xlws.FILTER(
            INDIRECT("'"&amp;N$1&amp;"'!A2:E1000"), (INDIRECT("'"&amp;N$1&amp;"'!B2:B1000")=$B26) * (INDIRECT("'"&amp;N$1&amp;"'!C2:C1000")=$C26)
        ),
        5,
        FALSE
    )=0,
    "",
    VLOOKUP(
        $A26,
        _xlfn._xlws.FILTER(
            INDIRECT("'"&amp;N$1&amp;"'!A2:E1000"), (INDIRECT("'"&amp;N$1&amp;"'!B2:B1000")=$B26) * (INDIRECT("'"&amp;N$1&amp;"'!C2:C1000")=$C26)
        ),
        5,
        FALSE
    )
)</f>
        <v>Atrasado</v>
      </c>
      <c r="O26" s="113" t="str">
        <f t="array" aca="1" ref="O26" ca="1">IF(
    VLOOKUP(
        $A26,
        _xlfn._xlws.FILTER(
            INDIRECT("'"&amp;O$1&amp;"'!A2:E1000"), (INDIRECT("'"&amp;O$1&amp;"'!B2:B1000")=$B26) * (INDIRECT("'"&amp;O$1&amp;"'!C2:C1000")=$C26)
        ),
        5,
        FALSE
    )=0,
    "",
    VLOOKUP(
        $A26,
        _xlfn._xlws.FILTER(
            INDIRECT("'"&amp;O$1&amp;"'!A2:E1000"), (INDIRECT("'"&amp;O$1&amp;"'!B2:B1000")=$B26) * (INDIRECT("'"&amp;O$1&amp;"'!C2:C1000")=$C26)
        ),
        5,
        FALSE
    )
)</f>
        <v/>
      </c>
    </row>
    <row r="27" spans="1:15">
      <c r="A27" s="92" t="s">
        <v>37</v>
      </c>
      <c r="B27" s="112" t="s">
        <v>71</v>
      </c>
      <c r="C27" s="39">
        <v>1</v>
      </c>
      <c r="D27" s="113" t="str">
        <f t="array" aca="1" ref="D27" ca="1">IF(
    VLOOKUP(
        $A27,
        _xlfn._xlws.FILTER(
            INDIRECT("'"&amp;D$1&amp;"'!A2:E1000"), (INDIRECT("'"&amp;D$1&amp;"'!B2:B1000")=$B27) * (INDIRECT("'"&amp;D$1&amp;"'!C2:C1000")=$C27)
        ),
        5,
        FALSE
    )=0,
    "",
    VLOOKUP(
        $A27,
        _xlfn._xlws.FILTER(
            INDIRECT("'"&amp;D$1&amp;"'!A2:E1000"), (INDIRECT("'"&amp;D$1&amp;"'!B2:B1000")=$B27) * (INDIRECT("'"&amp;D$1&amp;"'!C2:C1000")=$C27)
        ),
        5,
        FALSE
    )
)</f>
        <v>Sem Técnico</v>
      </c>
      <c r="E27" s="113" t="str">
        <f t="array" aca="1" ref="E27" ca="1">IF(
    VLOOKUP(
        $A27,
        _xlfn._xlws.FILTER(
            INDIRECT("'"&amp;E$1&amp;"'!A2:E1000"), (INDIRECT("'"&amp;E$1&amp;"'!B2:B1000")=$B27) * (INDIRECT("'"&amp;E$1&amp;"'!C2:C1000")=$C27)
        ),
        5,
        FALSE
    )=0,
    "",
    VLOOKUP(
        $A27,
        _xlfn._xlws.FILTER(
            INDIRECT("'"&amp;E$1&amp;"'!A2:E1000"), (INDIRECT("'"&amp;E$1&amp;"'!B2:B1000")=$B27) * (INDIRECT("'"&amp;E$1&amp;"'!C2:C1000")=$C27)
        ),
        5,
        FALSE
    )
)</f>
        <v>Sem Técnico</v>
      </c>
      <c r="F27" s="113" t="str">
        <f t="array" aca="1" ref="F27" ca="1">IF(
    VLOOKUP(
        $A27,
        _xlfn._xlws.FILTER(
            INDIRECT("'"&amp;F$1&amp;"'!A2:E1000"), (INDIRECT("'"&amp;F$1&amp;"'!B2:B1000")=$B27) * (INDIRECT("'"&amp;F$1&amp;"'!C2:C1000")=$C27)
        ),
        5,
        FALSE
    )=0,
    "",
    VLOOKUP(
        $A27,
        _xlfn._xlws.FILTER(
            INDIRECT("'"&amp;F$1&amp;"'!A2:E1000"), (INDIRECT("'"&amp;F$1&amp;"'!B2:B1000")=$B27) * (INDIRECT("'"&amp;F$1&amp;"'!C2:C1000")=$C27)
        ),
        5,
        FALSE
    )
)</f>
        <v>Sem Técnico</v>
      </c>
      <c r="G27" s="113" t="str">
        <f t="array" aca="1" ref="G27" ca="1">IF(
    VLOOKUP(
        $A27,
        _xlfn._xlws.FILTER(
            INDIRECT("'"&amp;G$1&amp;"'!A2:E1000"), (INDIRECT("'"&amp;G$1&amp;"'!B2:B1000")=$B27) * (INDIRECT("'"&amp;G$1&amp;"'!C2:C1000")=$C27)
        ),
        5,
        FALSE
    )=0,
    "",
    VLOOKUP(
        $A27,
        _xlfn._xlws.FILTER(
            INDIRECT("'"&amp;G$1&amp;"'!A2:E1000"), (INDIRECT("'"&amp;G$1&amp;"'!B2:B1000")=$B27) * (INDIRECT("'"&amp;G$1&amp;"'!C2:C1000")=$C27)
        ),
        5,
        FALSE
    )
)</f>
        <v>Sem Técnico</v>
      </c>
      <c r="H27" s="113" t="str">
        <f t="array" aca="1" ref="H27" ca="1">IF(
    VLOOKUP(
        $A27,
        _xlfn._xlws.FILTER(
            INDIRECT("'"&amp;H$1&amp;"'!A2:E1000"), (INDIRECT("'"&amp;H$1&amp;"'!B2:B1000")=$B27) * (INDIRECT("'"&amp;H$1&amp;"'!C2:C1000")=$C27)
        ),
        5,
        FALSE
    )=0,
    "",
    VLOOKUP(
        $A27,
        _xlfn._xlws.FILTER(
            INDIRECT("'"&amp;H$1&amp;"'!A2:E1000"), (INDIRECT("'"&amp;H$1&amp;"'!B2:B1000")=$B27) * (INDIRECT("'"&amp;H$1&amp;"'!C2:C1000")=$C27)
        ),
        5,
        FALSE
    )
)</f>
        <v>Sem Técnico</v>
      </c>
      <c r="I27" s="113" t="str">
        <f t="array" aca="1" ref="I27" ca="1">IF(
    VLOOKUP(
        $A27,
        _xlfn._xlws.FILTER(
            INDIRECT("'"&amp;I$1&amp;"'!A2:E1000"), (INDIRECT("'"&amp;I$1&amp;"'!B2:B1000")=$B27) * (INDIRECT("'"&amp;I$1&amp;"'!C2:C1000")=$C27)
        ),
        5,
        FALSE
    )=0,
    "",
    VLOOKUP(
        $A27,
        _xlfn._xlws.FILTER(
            INDIRECT("'"&amp;I$1&amp;"'!A2:E1000"), (INDIRECT("'"&amp;I$1&amp;"'!B2:B1000")=$B27) * (INDIRECT("'"&amp;I$1&amp;"'!C2:C1000")=$C27)
        ),
        5,
        FALSE
    )
)</f>
        <v>Sem Técnico</v>
      </c>
      <c r="J27" s="113" t="str">
        <f t="array" aca="1" ref="J27" ca="1">IF(
    VLOOKUP(
        $A27,
        _xlfn._xlws.FILTER(
            INDIRECT("'"&amp;J$1&amp;"'!A2:E1000"), (INDIRECT("'"&amp;J$1&amp;"'!B2:B1000")=$B27) * (INDIRECT("'"&amp;J$1&amp;"'!C2:C1000")=$C27)
        ),
        5,
        FALSE
    )=0,
    "",
    VLOOKUP(
        $A27,
        _xlfn._xlws.FILTER(
            INDIRECT("'"&amp;J$1&amp;"'!A2:E1000"), (INDIRECT("'"&amp;J$1&amp;"'!B2:B1000")=$B27) * (INDIRECT("'"&amp;J$1&amp;"'!C2:C1000")=$C27)
        ),
        5,
        FALSE
    )
)</f>
        <v>Sem Técnico</v>
      </c>
      <c r="K27" s="113" t="str">
        <f t="array" aca="1" ref="K27" ca="1">IF(
    VLOOKUP(
        $A27,
        _xlfn._xlws.FILTER(
            INDIRECT("'"&amp;K$1&amp;"'!A2:E1000"), (INDIRECT("'"&amp;K$1&amp;"'!B2:B1000")=$B27) * (INDIRECT("'"&amp;K$1&amp;"'!C2:C1000")=$C27)
        ),
        5,
        FALSE
    )=0,
    "",
    VLOOKUP(
        $A27,
        _xlfn._xlws.FILTER(
            INDIRECT("'"&amp;K$1&amp;"'!A2:E1000"), (INDIRECT("'"&amp;K$1&amp;"'!B2:B1000")=$B27) * (INDIRECT("'"&amp;K$1&amp;"'!C2:C1000")=$C27)
        ),
        5,
        FALSE
    )
)</f>
        <v>Enviado</v>
      </c>
      <c r="L27" s="113" t="str">
        <f t="array" aca="1" ref="L27" ca="1">IF(
    VLOOKUP(
        $A27,
        _xlfn._xlws.FILTER(
            INDIRECT("'"&amp;L$1&amp;"'!A2:E1000"), (INDIRECT("'"&amp;L$1&amp;"'!B2:B1000")=$B27) * (INDIRECT("'"&amp;L$1&amp;"'!C2:C1000")=$C27)
        ),
        5,
        FALSE
    )=0,
    "",
    VLOOKUP(
        $A27,
        _xlfn._xlws.FILTER(
            INDIRECT("'"&amp;L$1&amp;"'!A2:E1000"), (INDIRECT("'"&amp;L$1&amp;"'!B2:B1000")=$B27) * (INDIRECT("'"&amp;L$1&amp;"'!C2:C1000")=$C27)
        ),
        5,
        FALSE
    )
)</f>
        <v>Enviado</v>
      </c>
      <c r="M27" s="113" t="str">
        <f t="array" aca="1" ref="M27" ca="1">IF(
    VLOOKUP(
        $A27,
        _xlfn._xlws.FILTER(
            INDIRECT("'"&amp;M$1&amp;"'!A2:E1000"), (INDIRECT("'"&amp;M$1&amp;"'!B2:B1000")=$B27) * (INDIRECT("'"&amp;M$1&amp;"'!C2:C1000")=$C27)
        ),
        5,
        FALSE
    )=0,
    "",
    VLOOKUP(
        $A27,
        _xlfn._xlws.FILTER(
            INDIRECT("'"&amp;M$1&amp;"'!A2:E1000"), (INDIRECT("'"&amp;M$1&amp;"'!B2:B1000")=$B27) * (INDIRECT("'"&amp;M$1&amp;"'!C2:C1000")=$C27)
        ),
        5,
        FALSE
    )
)</f>
        <v>Enviado</v>
      </c>
      <c r="N27" s="113" t="str">
        <f t="array" aca="1" ref="N27" ca="1">IF(
    VLOOKUP(
        $A27,
        _xlfn._xlws.FILTER(
            INDIRECT("'"&amp;N$1&amp;"'!A2:E1000"), (INDIRECT("'"&amp;N$1&amp;"'!B2:B1000")=$B27) * (INDIRECT("'"&amp;N$1&amp;"'!C2:C1000")=$C27)
        ),
        5,
        FALSE
    )=0,
    "",
    VLOOKUP(
        $A27,
        _xlfn._xlws.FILTER(
            INDIRECT("'"&amp;N$1&amp;"'!A2:E1000"), (INDIRECT("'"&amp;N$1&amp;"'!B2:B1000")=$B27) * (INDIRECT("'"&amp;N$1&amp;"'!C2:C1000")=$C27)
        ),
        5,
        FALSE
    )
)</f>
        <v>Atrasado</v>
      </c>
      <c r="O27" s="113" t="str">
        <f t="array" aca="1" ref="O27" ca="1">IF(
    VLOOKUP(
        $A27,
        _xlfn._xlws.FILTER(
            INDIRECT("'"&amp;O$1&amp;"'!A2:E1000"), (INDIRECT("'"&amp;O$1&amp;"'!B2:B1000")=$B27) * (INDIRECT("'"&amp;O$1&amp;"'!C2:C1000")=$C27)
        ),
        5,
        FALSE
    )=0,
    "",
    VLOOKUP(
        $A27,
        _xlfn._xlws.FILTER(
            INDIRECT("'"&amp;O$1&amp;"'!A2:E1000"), (INDIRECT("'"&amp;O$1&amp;"'!B2:B1000")=$B27) * (INDIRECT("'"&amp;O$1&amp;"'!C2:C1000")=$C27)
        ),
        5,
        FALSE
    )
)</f>
        <v/>
      </c>
    </row>
    <row r="28" spans="1:15">
      <c r="A28" s="92" t="s">
        <v>37</v>
      </c>
      <c r="B28" s="112" t="s">
        <v>72</v>
      </c>
      <c r="C28" s="39">
        <v>1</v>
      </c>
      <c r="D28" s="113" t="str">
        <f t="array" aca="1" ref="D28" ca="1">IF(
    VLOOKUP(
        $A28,
        _xlfn._xlws.FILTER(
            INDIRECT("'"&amp;D$1&amp;"'!A2:E1000"), (INDIRECT("'"&amp;D$1&amp;"'!B2:B1000")=$B28) * (INDIRECT("'"&amp;D$1&amp;"'!C2:C1000")=$C28)
        ),
        5,
        FALSE
    )=0,
    "",
    VLOOKUP(
        $A28,
        _xlfn._xlws.FILTER(
            INDIRECT("'"&amp;D$1&amp;"'!A2:E1000"), (INDIRECT("'"&amp;D$1&amp;"'!B2:B1000")=$B28) * (INDIRECT("'"&amp;D$1&amp;"'!C2:C1000")=$C28)
        ),
        5,
        FALSE
    )
)</f>
        <v>Sem Técnico</v>
      </c>
      <c r="E28" s="113" t="str">
        <f t="array" aca="1" ref="E28" ca="1">IF(
    VLOOKUP(
        $A28,
        _xlfn._xlws.FILTER(
            INDIRECT("'"&amp;E$1&amp;"'!A2:E1000"), (INDIRECT("'"&amp;E$1&amp;"'!B2:B1000")=$B28) * (INDIRECT("'"&amp;E$1&amp;"'!C2:C1000")=$C28)
        ),
        5,
        FALSE
    )=0,
    "",
    VLOOKUP(
        $A28,
        _xlfn._xlws.FILTER(
            INDIRECT("'"&amp;E$1&amp;"'!A2:E1000"), (INDIRECT("'"&amp;E$1&amp;"'!B2:B1000")=$B28) * (INDIRECT("'"&amp;E$1&amp;"'!C2:C1000")=$C28)
        ),
        5,
        FALSE
    )
)</f>
        <v>Sem Técnico</v>
      </c>
      <c r="F28" s="113" t="str">
        <f t="array" aca="1" ref="F28" ca="1">IF(
    VLOOKUP(
        $A28,
        _xlfn._xlws.FILTER(
            INDIRECT("'"&amp;F$1&amp;"'!A2:E1000"), (INDIRECT("'"&amp;F$1&amp;"'!B2:B1000")=$B28) * (INDIRECT("'"&amp;F$1&amp;"'!C2:C1000")=$C28)
        ),
        5,
        FALSE
    )=0,
    "",
    VLOOKUP(
        $A28,
        _xlfn._xlws.FILTER(
            INDIRECT("'"&amp;F$1&amp;"'!A2:E1000"), (INDIRECT("'"&amp;F$1&amp;"'!B2:B1000")=$B28) * (INDIRECT("'"&amp;F$1&amp;"'!C2:C1000")=$C28)
        ),
        5,
        FALSE
    )
)</f>
        <v>Sem Técnico</v>
      </c>
      <c r="G28" s="113" t="str">
        <f t="array" aca="1" ref="G28" ca="1">IF(
    VLOOKUP(
        $A28,
        _xlfn._xlws.FILTER(
            INDIRECT("'"&amp;G$1&amp;"'!A2:E1000"), (INDIRECT("'"&amp;G$1&amp;"'!B2:B1000")=$B28) * (INDIRECT("'"&amp;G$1&amp;"'!C2:C1000")=$C28)
        ),
        5,
        FALSE
    )=0,
    "",
    VLOOKUP(
        $A28,
        _xlfn._xlws.FILTER(
            INDIRECT("'"&amp;G$1&amp;"'!A2:E1000"), (INDIRECT("'"&amp;G$1&amp;"'!B2:B1000")=$B28) * (INDIRECT("'"&amp;G$1&amp;"'!C2:C1000")=$C28)
        ),
        5,
        FALSE
    )
)</f>
        <v>Sem Técnico</v>
      </c>
      <c r="H28" s="113" t="str">
        <f t="array" aca="1" ref="H28" ca="1">IF(
    VLOOKUP(
        $A28,
        _xlfn._xlws.FILTER(
            INDIRECT("'"&amp;H$1&amp;"'!A2:E1000"), (INDIRECT("'"&amp;H$1&amp;"'!B2:B1000")=$B28) * (INDIRECT("'"&amp;H$1&amp;"'!C2:C1000")=$C28)
        ),
        5,
        FALSE
    )=0,
    "",
    VLOOKUP(
        $A28,
        _xlfn._xlws.FILTER(
            INDIRECT("'"&amp;H$1&amp;"'!A2:E1000"), (INDIRECT("'"&amp;H$1&amp;"'!B2:B1000")=$B28) * (INDIRECT("'"&amp;H$1&amp;"'!C2:C1000")=$C28)
        ),
        5,
        FALSE
    )
)</f>
        <v>Sem Técnico</v>
      </c>
      <c r="I28" s="113" t="str">
        <f t="array" aca="1" ref="I28" ca="1">IF(
    VLOOKUP(
        $A28,
        _xlfn._xlws.FILTER(
            INDIRECT("'"&amp;I$1&amp;"'!A2:E1000"), (INDIRECT("'"&amp;I$1&amp;"'!B2:B1000")=$B28) * (INDIRECT("'"&amp;I$1&amp;"'!C2:C1000")=$C28)
        ),
        5,
        FALSE
    )=0,
    "",
    VLOOKUP(
        $A28,
        _xlfn._xlws.FILTER(
            INDIRECT("'"&amp;I$1&amp;"'!A2:E1000"), (INDIRECT("'"&amp;I$1&amp;"'!B2:B1000")=$B28) * (INDIRECT("'"&amp;I$1&amp;"'!C2:C1000")=$C28)
        ),
        5,
        FALSE
    )
)</f>
        <v>Sem Técnico</v>
      </c>
      <c r="J28" s="113" t="str">
        <f t="array" aca="1" ref="J28" ca="1">IF(
    VLOOKUP(
        $A28,
        _xlfn._xlws.FILTER(
            INDIRECT("'"&amp;J$1&amp;"'!A2:E1000"), (INDIRECT("'"&amp;J$1&amp;"'!B2:B1000")=$B28) * (INDIRECT("'"&amp;J$1&amp;"'!C2:C1000")=$C28)
        ),
        5,
        FALSE
    )=0,
    "",
    VLOOKUP(
        $A28,
        _xlfn._xlws.FILTER(
            INDIRECT("'"&amp;J$1&amp;"'!A2:E1000"), (INDIRECT("'"&amp;J$1&amp;"'!B2:B1000")=$B28) * (INDIRECT("'"&amp;J$1&amp;"'!C2:C1000")=$C28)
        ),
        5,
        FALSE
    )
)</f>
        <v>Sem Técnico</v>
      </c>
      <c r="K28" s="113" t="str">
        <f t="array" aca="1" ref="K28" ca="1">IF(
    VLOOKUP(
        $A28,
        _xlfn._xlws.FILTER(
            INDIRECT("'"&amp;K$1&amp;"'!A2:E1000"), (INDIRECT("'"&amp;K$1&amp;"'!B2:B1000")=$B28) * (INDIRECT("'"&amp;K$1&amp;"'!C2:C1000")=$C28)
        ),
        5,
        FALSE
    )=0,
    "",
    VLOOKUP(
        $A28,
        _xlfn._xlws.FILTER(
            INDIRECT("'"&amp;K$1&amp;"'!A2:E1000"), (INDIRECT("'"&amp;K$1&amp;"'!B2:B1000")=$B28) * (INDIRECT("'"&amp;K$1&amp;"'!C2:C1000")=$C28)
        ),
        5,
        FALSE
    )
)</f>
        <v>Enviado</v>
      </c>
      <c r="L28" s="113" t="str">
        <f t="array" aca="1" ref="L28" ca="1">IF(
    VLOOKUP(
        $A28,
        _xlfn._xlws.FILTER(
            INDIRECT("'"&amp;L$1&amp;"'!A2:E1000"), (INDIRECT("'"&amp;L$1&amp;"'!B2:B1000")=$B28) * (INDIRECT("'"&amp;L$1&amp;"'!C2:C1000")=$C28)
        ),
        5,
        FALSE
    )=0,
    "",
    VLOOKUP(
        $A28,
        _xlfn._xlws.FILTER(
            INDIRECT("'"&amp;L$1&amp;"'!A2:E1000"), (INDIRECT("'"&amp;L$1&amp;"'!B2:B1000")=$B28) * (INDIRECT("'"&amp;L$1&amp;"'!C2:C1000")=$C28)
        ),
        5,
        FALSE
    )
)</f>
        <v>Enviado</v>
      </c>
      <c r="M28" s="113" t="str">
        <f t="array" aca="1" ref="M28" ca="1">IF(
    VLOOKUP(
        $A28,
        _xlfn._xlws.FILTER(
            INDIRECT("'"&amp;M$1&amp;"'!A2:E1000"), (INDIRECT("'"&amp;M$1&amp;"'!B2:B1000")=$B28) * (INDIRECT("'"&amp;M$1&amp;"'!C2:C1000")=$C28)
        ),
        5,
        FALSE
    )=0,
    "",
    VLOOKUP(
        $A28,
        _xlfn._xlws.FILTER(
            INDIRECT("'"&amp;M$1&amp;"'!A2:E1000"), (INDIRECT("'"&amp;M$1&amp;"'!B2:B1000")=$B28) * (INDIRECT("'"&amp;M$1&amp;"'!C2:C1000")=$C28)
        ),
        5,
        FALSE
    )
)</f>
        <v>Enviado</v>
      </c>
      <c r="N28" s="113" t="str">
        <f t="array" aca="1" ref="N28" ca="1">IF(
    VLOOKUP(
        $A28,
        _xlfn._xlws.FILTER(
            INDIRECT("'"&amp;N$1&amp;"'!A2:E1000"), (INDIRECT("'"&amp;N$1&amp;"'!B2:B1000")=$B28) * (INDIRECT("'"&amp;N$1&amp;"'!C2:C1000")=$C28)
        ),
        5,
        FALSE
    )=0,
    "",
    VLOOKUP(
        $A28,
        _xlfn._xlws.FILTER(
            INDIRECT("'"&amp;N$1&amp;"'!A2:E1000"), (INDIRECT("'"&amp;N$1&amp;"'!B2:B1000")=$B28) * (INDIRECT("'"&amp;N$1&amp;"'!C2:C1000")=$C28)
        ),
        5,
        FALSE
    )
)</f>
        <v>Atrasado</v>
      </c>
      <c r="O28" s="113" t="str">
        <f t="array" aca="1" ref="O28" ca="1">IF(
    VLOOKUP(
        $A28,
        _xlfn._xlws.FILTER(
            INDIRECT("'"&amp;O$1&amp;"'!A2:E1000"), (INDIRECT("'"&amp;O$1&amp;"'!B2:B1000")=$B28) * (INDIRECT("'"&amp;O$1&amp;"'!C2:C1000")=$C28)
        ),
        5,
        FALSE
    )=0,
    "",
    VLOOKUP(
        $A28,
        _xlfn._xlws.FILTER(
            INDIRECT("'"&amp;O$1&amp;"'!A2:E1000"), (INDIRECT("'"&amp;O$1&amp;"'!B2:B1000")=$B28) * (INDIRECT("'"&amp;O$1&amp;"'!C2:C1000")=$C28)
        ),
        5,
        FALSE
    )
)</f>
        <v/>
      </c>
    </row>
    <row r="29" spans="1:15">
      <c r="A29" s="92" t="s">
        <v>37</v>
      </c>
      <c r="B29" s="114" t="s">
        <v>73</v>
      </c>
      <c r="C29" s="39">
        <v>1</v>
      </c>
      <c r="D29" s="113" t="str">
        <f t="array" aca="1" ref="D29" ca="1">IF(
    VLOOKUP(
        $A29,
        _xlfn._xlws.FILTER(
            INDIRECT("'"&amp;D$1&amp;"'!A2:E1000"), (INDIRECT("'"&amp;D$1&amp;"'!B2:B1000")=$B29) * (INDIRECT("'"&amp;D$1&amp;"'!C2:C1000")=$C29)
        ),
        5,
        FALSE
    )=0,
    "",
    VLOOKUP(
        $A29,
        _xlfn._xlws.FILTER(
            INDIRECT("'"&amp;D$1&amp;"'!A2:E1000"), (INDIRECT("'"&amp;D$1&amp;"'!B2:B1000")=$B29) * (INDIRECT("'"&amp;D$1&amp;"'!C2:C1000")=$C29)
        ),
        5,
        FALSE
    )
)</f>
        <v>Sem Técnico</v>
      </c>
      <c r="E29" s="113" t="str">
        <f t="array" aca="1" ref="E29" ca="1">IF(
    VLOOKUP(
        $A29,
        _xlfn._xlws.FILTER(
            INDIRECT("'"&amp;E$1&amp;"'!A2:E1000"), (INDIRECT("'"&amp;E$1&amp;"'!B2:B1000")=$B29) * (INDIRECT("'"&amp;E$1&amp;"'!C2:C1000")=$C29)
        ),
        5,
        FALSE
    )=0,
    "",
    VLOOKUP(
        $A29,
        _xlfn._xlws.FILTER(
            INDIRECT("'"&amp;E$1&amp;"'!A2:E1000"), (INDIRECT("'"&amp;E$1&amp;"'!B2:B1000")=$B29) * (INDIRECT("'"&amp;E$1&amp;"'!C2:C1000")=$C29)
        ),
        5,
        FALSE
    )
)</f>
        <v>Sem Técnico</v>
      </c>
      <c r="F29" s="113" t="str">
        <f t="array" aca="1" ref="F29" ca="1">IF(
    VLOOKUP(
        $A29,
        _xlfn._xlws.FILTER(
            INDIRECT("'"&amp;F$1&amp;"'!A2:E1000"), (INDIRECT("'"&amp;F$1&amp;"'!B2:B1000")=$B29) * (INDIRECT("'"&amp;F$1&amp;"'!C2:C1000")=$C29)
        ),
        5,
        FALSE
    )=0,
    "",
    VLOOKUP(
        $A29,
        _xlfn._xlws.FILTER(
            INDIRECT("'"&amp;F$1&amp;"'!A2:E1000"), (INDIRECT("'"&amp;F$1&amp;"'!B2:B1000")=$B29) * (INDIRECT("'"&amp;F$1&amp;"'!C2:C1000")=$C29)
        ),
        5,
        FALSE
    )
)</f>
        <v>Sem Técnico</v>
      </c>
      <c r="G29" s="113" t="str">
        <f t="array" aca="1" ref="G29" ca="1">IF(
    VLOOKUP(
        $A29,
        _xlfn._xlws.FILTER(
            INDIRECT("'"&amp;G$1&amp;"'!A2:E1000"), (INDIRECT("'"&amp;G$1&amp;"'!B2:B1000")=$B29) * (INDIRECT("'"&amp;G$1&amp;"'!C2:C1000")=$C29)
        ),
        5,
        FALSE
    )=0,
    "",
    VLOOKUP(
        $A29,
        _xlfn._xlws.FILTER(
            INDIRECT("'"&amp;G$1&amp;"'!A2:E1000"), (INDIRECT("'"&amp;G$1&amp;"'!B2:B1000")=$B29) * (INDIRECT("'"&amp;G$1&amp;"'!C2:C1000")=$C29)
        ),
        5,
        FALSE
    )
)</f>
        <v>Sem Técnico</v>
      </c>
      <c r="H29" s="113" t="str">
        <f t="array" aca="1" ref="H29" ca="1">IF(
    VLOOKUP(
        $A29,
        _xlfn._xlws.FILTER(
            INDIRECT("'"&amp;H$1&amp;"'!A2:E1000"), (INDIRECT("'"&amp;H$1&amp;"'!B2:B1000")=$B29) * (INDIRECT("'"&amp;H$1&amp;"'!C2:C1000")=$C29)
        ),
        5,
        FALSE
    )=0,
    "",
    VLOOKUP(
        $A29,
        _xlfn._xlws.FILTER(
            INDIRECT("'"&amp;H$1&amp;"'!A2:E1000"), (INDIRECT("'"&amp;H$1&amp;"'!B2:B1000")=$B29) * (INDIRECT("'"&amp;H$1&amp;"'!C2:C1000")=$C29)
        ),
        5,
        FALSE
    )
)</f>
        <v>Sem Técnico</v>
      </c>
      <c r="I29" s="113" t="str">
        <f t="array" aca="1" ref="I29" ca="1">IF(
    VLOOKUP(
        $A29,
        _xlfn._xlws.FILTER(
            INDIRECT("'"&amp;I$1&amp;"'!A2:E1000"), (INDIRECT("'"&amp;I$1&amp;"'!B2:B1000")=$B29) * (INDIRECT("'"&amp;I$1&amp;"'!C2:C1000")=$C29)
        ),
        5,
        FALSE
    )=0,
    "",
    VLOOKUP(
        $A29,
        _xlfn._xlws.FILTER(
            INDIRECT("'"&amp;I$1&amp;"'!A2:E1000"), (INDIRECT("'"&amp;I$1&amp;"'!B2:B1000")=$B29) * (INDIRECT("'"&amp;I$1&amp;"'!C2:C1000")=$C29)
        ),
        5,
        FALSE
    )
)</f>
        <v>Sem Técnico</v>
      </c>
      <c r="J29" s="113" t="str">
        <f t="array" aca="1" ref="J29" ca="1">IF(
    VLOOKUP(
        $A29,
        _xlfn._xlws.FILTER(
            INDIRECT("'"&amp;J$1&amp;"'!A2:E1000"), (INDIRECT("'"&amp;J$1&amp;"'!B2:B1000")=$B29) * (INDIRECT("'"&amp;J$1&amp;"'!C2:C1000")=$C29)
        ),
        5,
        FALSE
    )=0,
    "",
    VLOOKUP(
        $A29,
        _xlfn._xlws.FILTER(
            INDIRECT("'"&amp;J$1&amp;"'!A2:E1000"), (INDIRECT("'"&amp;J$1&amp;"'!B2:B1000")=$B29) * (INDIRECT("'"&amp;J$1&amp;"'!C2:C1000")=$C29)
        ),
        5,
        FALSE
    )
)</f>
        <v>Sem Técnico</v>
      </c>
      <c r="K29" s="113" t="str">
        <f t="array" aca="1" ref="K29" ca="1">IF(
    VLOOKUP(
        $A29,
        _xlfn._xlws.FILTER(
            INDIRECT("'"&amp;K$1&amp;"'!A2:E1000"), (INDIRECT("'"&amp;K$1&amp;"'!B2:B1000")=$B29) * (INDIRECT("'"&amp;K$1&amp;"'!C2:C1000")=$C29)
        ),
        5,
        FALSE
    )=0,
    "",
    VLOOKUP(
        $A29,
        _xlfn._xlws.FILTER(
            INDIRECT("'"&amp;K$1&amp;"'!A2:E1000"), (INDIRECT("'"&amp;K$1&amp;"'!B2:B1000")=$B29) * (INDIRECT("'"&amp;K$1&amp;"'!C2:C1000")=$C29)
        ),
        5,
        FALSE
    )
)</f>
        <v>Enviado</v>
      </c>
      <c r="L29" s="113" t="str">
        <f t="array" aca="1" ref="L29" ca="1">IF(
    VLOOKUP(
        $A29,
        _xlfn._xlws.FILTER(
            INDIRECT("'"&amp;L$1&amp;"'!A2:E1000"), (INDIRECT("'"&amp;L$1&amp;"'!B2:B1000")=$B29) * (INDIRECT("'"&amp;L$1&amp;"'!C2:C1000")=$C29)
        ),
        5,
        FALSE
    )=0,
    "",
    VLOOKUP(
        $A29,
        _xlfn._xlws.FILTER(
            INDIRECT("'"&amp;L$1&amp;"'!A2:E1000"), (INDIRECT("'"&amp;L$1&amp;"'!B2:B1000")=$B29) * (INDIRECT("'"&amp;L$1&amp;"'!C2:C1000")=$C29)
        ),
        5,
        FALSE
    )
)</f>
        <v>Enviado</v>
      </c>
      <c r="M29" s="113" t="str">
        <f t="array" aca="1" ref="M29" ca="1">IF(
    VLOOKUP(
        $A29,
        _xlfn._xlws.FILTER(
            INDIRECT("'"&amp;M$1&amp;"'!A2:E1000"), (INDIRECT("'"&amp;M$1&amp;"'!B2:B1000")=$B29) * (INDIRECT("'"&amp;M$1&amp;"'!C2:C1000")=$C29)
        ),
        5,
        FALSE
    )=0,
    "",
    VLOOKUP(
        $A29,
        _xlfn._xlws.FILTER(
            INDIRECT("'"&amp;M$1&amp;"'!A2:E1000"), (INDIRECT("'"&amp;M$1&amp;"'!B2:B1000")=$B29) * (INDIRECT("'"&amp;M$1&amp;"'!C2:C1000")=$C29)
        ),
        5,
        FALSE
    )
)</f>
        <v>Enviado</v>
      </c>
      <c r="N29" s="113" t="str">
        <f t="array" aca="1" ref="N29" ca="1">IF(
    VLOOKUP(
        $A29,
        _xlfn._xlws.FILTER(
            INDIRECT("'"&amp;N$1&amp;"'!A2:E1000"), (INDIRECT("'"&amp;N$1&amp;"'!B2:B1000")=$B29) * (INDIRECT("'"&amp;N$1&amp;"'!C2:C1000")=$C29)
        ),
        5,
        FALSE
    )=0,
    "",
    VLOOKUP(
        $A29,
        _xlfn._xlws.FILTER(
            INDIRECT("'"&amp;N$1&amp;"'!A2:E1000"), (INDIRECT("'"&amp;N$1&amp;"'!B2:B1000")=$B29) * (INDIRECT("'"&amp;N$1&amp;"'!C2:C1000")=$C29)
        ),
        5,
        FALSE
    )
)</f>
        <v>Atrasado</v>
      </c>
      <c r="O29" s="113" t="str">
        <f t="array" aca="1" ref="O29" ca="1">IF(
    VLOOKUP(
        $A29,
        _xlfn._xlws.FILTER(
            INDIRECT("'"&amp;O$1&amp;"'!A2:E1000"), (INDIRECT("'"&amp;O$1&amp;"'!B2:B1000")=$B29) * (INDIRECT("'"&amp;O$1&amp;"'!C2:C1000")=$C29)
        ),
        5,
        FALSE
    )=0,
    "",
    VLOOKUP(
        $A29,
        _xlfn._xlws.FILTER(
            INDIRECT("'"&amp;O$1&amp;"'!A2:E1000"), (INDIRECT("'"&amp;O$1&amp;"'!B2:B1000")=$B29) * (INDIRECT("'"&amp;O$1&amp;"'!C2:C1000")=$C29)
        ),
        5,
        FALSE
    )
)</f>
        <v/>
      </c>
    </row>
    <row r="30" spans="1:15">
      <c r="A30" s="92" t="s">
        <v>37</v>
      </c>
      <c r="B30" s="112" t="s">
        <v>74</v>
      </c>
      <c r="C30" s="39">
        <v>1</v>
      </c>
      <c r="D30" s="113" t="str">
        <f t="array" aca="1" ref="D30" ca="1">IF(
    VLOOKUP(
        $A30,
        _xlfn._xlws.FILTER(
            INDIRECT("'"&amp;D$1&amp;"'!A2:E1000"), (INDIRECT("'"&amp;D$1&amp;"'!B2:B1000")=$B30) * (INDIRECT("'"&amp;D$1&amp;"'!C2:C1000")=$C30)
        ),
        5,
        FALSE
    )=0,
    "",
    VLOOKUP(
        $A30,
        _xlfn._xlws.FILTER(
            INDIRECT("'"&amp;D$1&amp;"'!A2:E1000"), (INDIRECT("'"&amp;D$1&amp;"'!B2:B1000")=$B30) * (INDIRECT("'"&amp;D$1&amp;"'!C2:C1000")=$C30)
        ),
        5,
        FALSE
    )
)</f>
        <v>Sem Técnico</v>
      </c>
      <c r="E30" s="113" t="str">
        <f t="array" aca="1" ref="E30" ca="1">IF(
    VLOOKUP(
        $A30,
        _xlfn._xlws.FILTER(
            INDIRECT("'"&amp;E$1&amp;"'!A2:E1000"), (INDIRECT("'"&amp;E$1&amp;"'!B2:B1000")=$B30) * (INDIRECT("'"&amp;E$1&amp;"'!C2:C1000")=$C30)
        ),
        5,
        FALSE
    )=0,
    "",
    VLOOKUP(
        $A30,
        _xlfn._xlws.FILTER(
            INDIRECT("'"&amp;E$1&amp;"'!A2:E1000"), (INDIRECT("'"&amp;E$1&amp;"'!B2:B1000")=$B30) * (INDIRECT("'"&amp;E$1&amp;"'!C2:C1000")=$C30)
        ),
        5,
        FALSE
    )
)</f>
        <v>Sem Técnico</v>
      </c>
      <c r="F30" s="113" t="str">
        <f t="array" aca="1" ref="F30" ca="1">IF(
    VLOOKUP(
        $A30,
        _xlfn._xlws.FILTER(
            INDIRECT("'"&amp;F$1&amp;"'!A2:E1000"), (INDIRECT("'"&amp;F$1&amp;"'!B2:B1000")=$B30) * (INDIRECT("'"&amp;F$1&amp;"'!C2:C1000")=$C30)
        ),
        5,
        FALSE
    )=0,
    "",
    VLOOKUP(
        $A30,
        _xlfn._xlws.FILTER(
            INDIRECT("'"&amp;F$1&amp;"'!A2:E1000"), (INDIRECT("'"&amp;F$1&amp;"'!B2:B1000")=$B30) * (INDIRECT("'"&amp;F$1&amp;"'!C2:C1000")=$C30)
        ),
        5,
        FALSE
    )
)</f>
        <v>Sem Técnico</v>
      </c>
      <c r="G30" s="113" t="str">
        <f t="array" aca="1" ref="G30" ca="1">IF(
    VLOOKUP(
        $A30,
        _xlfn._xlws.FILTER(
            INDIRECT("'"&amp;G$1&amp;"'!A2:E1000"), (INDIRECT("'"&amp;G$1&amp;"'!B2:B1000")=$B30) * (INDIRECT("'"&amp;G$1&amp;"'!C2:C1000")=$C30)
        ),
        5,
        FALSE
    )=0,
    "",
    VLOOKUP(
        $A30,
        _xlfn._xlws.FILTER(
            INDIRECT("'"&amp;G$1&amp;"'!A2:E1000"), (INDIRECT("'"&amp;G$1&amp;"'!B2:B1000")=$B30) * (INDIRECT("'"&amp;G$1&amp;"'!C2:C1000")=$C30)
        ),
        5,
        FALSE
    )
)</f>
        <v>Sem Técnico</v>
      </c>
      <c r="H30" s="113" t="str">
        <f t="array" aca="1" ref="H30" ca="1">IF(
    VLOOKUP(
        $A30,
        _xlfn._xlws.FILTER(
            INDIRECT("'"&amp;H$1&amp;"'!A2:E1000"), (INDIRECT("'"&amp;H$1&amp;"'!B2:B1000")=$B30) * (INDIRECT("'"&amp;H$1&amp;"'!C2:C1000")=$C30)
        ),
        5,
        FALSE
    )=0,
    "",
    VLOOKUP(
        $A30,
        _xlfn._xlws.FILTER(
            INDIRECT("'"&amp;H$1&amp;"'!A2:E1000"), (INDIRECT("'"&amp;H$1&amp;"'!B2:B1000")=$B30) * (INDIRECT("'"&amp;H$1&amp;"'!C2:C1000")=$C30)
        ),
        5,
        FALSE
    )
)</f>
        <v>Sem Técnico</v>
      </c>
      <c r="I30" s="113" t="str">
        <f t="array" aca="1" ref="I30" ca="1">IF(
    VLOOKUP(
        $A30,
        _xlfn._xlws.FILTER(
            INDIRECT("'"&amp;I$1&amp;"'!A2:E1000"), (INDIRECT("'"&amp;I$1&amp;"'!B2:B1000")=$B30) * (INDIRECT("'"&amp;I$1&amp;"'!C2:C1000")=$C30)
        ),
        5,
        FALSE
    )=0,
    "",
    VLOOKUP(
        $A30,
        _xlfn._xlws.FILTER(
            INDIRECT("'"&amp;I$1&amp;"'!A2:E1000"), (INDIRECT("'"&amp;I$1&amp;"'!B2:B1000")=$B30) * (INDIRECT("'"&amp;I$1&amp;"'!C2:C1000")=$C30)
        ),
        5,
        FALSE
    )
)</f>
        <v>Sem Técnico</v>
      </c>
      <c r="J30" s="113" t="str">
        <f t="array" aca="1" ref="J30" ca="1">IF(
    VLOOKUP(
        $A30,
        _xlfn._xlws.FILTER(
            INDIRECT("'"&amp;J$1&amp;"'!A2:E1000"), (INDIRECT("'"&amp;J$1&amp;"'!B2:B1000")=$B30) * (INDIRECT("'"&amp;J$1&amp;"'!C2:C1000")=$C30)
        ),
        5,
        FALSE
    )=0,
    "",
    VLOOKUP(
        $A30,
        _xlfn._xlws.FILTER(
            INDIRECT("'"&amp;J$1&amp;"'!A2:E1000"), (INDIRECT("'"&amp;J$1&amp;"'!B2:B1000")=$B30) * (INDIRECT("'"&amp;J$1&amp;"'!C2:C1000")=$C30)
        ),
        5,
        FALSE
    )
)</f>
        <v>Sem Técnico</v>
      </c>
      <c r="K30" s="113" t="str">
        <f t="array" aca="1" ref="K30" ca="1">IF(
    VLOOKUP(
        $A30,
        _xlfn._xlws.FILTER(
            INDIRECT("'"&amp;K$1&amp;"'!A2:E1000"), (INDIRECT("'"&amp;K$1&amp;"'!B2:B1000")=$B30) * (INDIRECT("'"&amp;K$1&amp;"'!C2:C1000")=$C30)
        ),
        5,
        FALSE
    )=0,
    "",
    VLOOKUP(
        $A30,
        _xlfn._xlws.FILTER(
            INDIRECT("'"&amp;K$1&amp;"'!A2:E1000"), (INDIRECT("'"&amp;K$1&amp;"'!B2:B1000")=$B30) * (INDIRECT("'"&amp;K$1&amp;"'!C2:C1000")=$C30)
        ),
        5,
        FALSE
    )
)</f>
        <v>Atrasado &gt;= 2</v>
      </c>
      <c r="L30" s="113" t="str">
        <f t="array" aca="1" ref="L30" ca="1">IF(
    VLOOKUP(
        $A30,
        _xlfn._xlws.FILTER(
            INDIRECT("'"&amp;L$1&amp;"'!A2:E1000"), (INDIRECT("'"&amp;L$1&amp;"'!B2:B1000")=$B30) * (INDIRECT("'"&amp;L$1&amp;"'!C2:C1000")=$C30)
        ),
        5,
        FALSE
    )=0,
    "",
    VLOOKUP(
        $A30,
        _xlfn._xlws.FILTER(
            INDIRECT("'"&amp;L$1&amp;"'!A2:E1000"), (INDIRECT("'"&amp;L$1&amp;"'!B2:B1000")=$B30) * (INDIRECT("'"&amp;L$1&amp;"'!C2:C1000")=$C30)
        ),
        5,
        FALSE
    )
)</f>
        <v>Atrasado &gt;= 2</v>
      </c>
      <c r="M30" s="113" t="str">
        <f t="array" aca="1" ref="M30" ca="1">IF(
    VLOOKUP(
        $A30,
        _xlfn._xlws.FILTER(
            INDIRECT("'"&amp;M$1&amp;"'!A2:E1000"), (INDIRECT("'"&amp;M$1&amp;"'!B2:B1000")=$B30) * (INDIRECT("'"&amp;M$1&amp;"'!C2:C1000")=$C30)
        ),
        5,
        FALSE
    )=0,
    "",
    VLOOKUP(
        $A30,
        _xlfn._xlws.FILTER(
            INDIRECT("'"&amp;M$1&amp;"'!A2:E1000"), (INDIRECT("'"&amp;M$1&amp;"'!B2:B1000")=$B30) * (INDIRECT("'"&amp;M$1&amp;"'!C2:C1000")=$C30)
        ),
        5,
        FALSE
    )
)</f>
        <v>Atrasado &gt;= 2</v>
      </c>
      <c r="N30" s="113" t="str">
        <f t="array" aca="1" ref="N30" ca="1">IF(
    VLOOKUP(
        $A30,
        _xlfn._xlws.FILTER(
            INDIRECT("'"&amp;N$1&amp;"'!A2:E1000"), (INDIRECT("'"&amp;N$1&amp;"'!B2:B1000")=$B30) * (INDIRECT("'"&amp;N$1&amp;"'!C2:C1000")=$C30)
        ),
        5,
        FALSE
    )=0,
    "",
    VLOOKUP(
        $A30,
        _xlfn._xlws.FILTER(
            INDIRECT("'"&amp;N$1&amp;"'!A2:E1000"), (INDIRECT("'"&amp;N$1&amp;"'!B2:B1000")=$B30) * (INDIRECT("'"&amp;N$1&amp;"'!C2:C1000")=$C30)
        ),
        5,
        FALSE
    )
)</f>
        <v>Atrasado</v>
      </c>
      <c r="O30" s="113" t="str">
        <f t="array" aca="1" ref="O30" ca="1">IF(
    VLOOKUP(
        $A30,
        _xlfn._xlws.FILTER(
            INDIRECT("'"&amp;O$1&amp;"'!A2:E1000"), (INDIRECT("'"&amp;O$1&amp;"'!B2:B1000")=$B30) * (INDIRECT("'"&amp;O$1&amp;"'!C2:C1000")=$C30)
        ),
        5,
        FALSE
    )=0,
    "",
    VLOOKUP(
        $A30,
        _xlfn._xlws.FILTER(
            INDIRECT("'"&amp;O$1&amp;"'!A2:E1000"), (INDIRECT("'"&amp;O$1&amp;"'!B2:B1000")=$B30) * (INDIRECT("'"&amp;O$1&amp;"'!C2:C1000")=$C30)
        ),
        5,
        FALSE
    )
)</f>
        <v/>
      </c>
    </row>
    <row r="31" spans="1:15">
      <c r="A31" s="92" t="s">
        <v>37</v>
      </c>
      <c r="B31" s="112" t="s">
        <v>75</v>
      </c>
      <c r="C31" s="39">
        <v>1</v>
      </c>
      <c r="D31" s="113" t="str">
        <f t="array" aca="1" ref="D31" ca="1">IF(
    VLOOKUP(
        $A31,
        _xlfn._xlws.FILTER(
            INDIRECT("'"&amp;D$1&amp;"'!A2:E1000"), (INDIRECT("'"&amp;D$1&amp;"'!B2:B1000")=$B31) * (INDIRECT("'"&amp;D$1&amp;"'!C2:C1000")=$C31)
        ),
        5,
        FALSE
    )=0,
    "",
    VLOOKUP(
        $A31,
        _xlfn._xlws.FILTER(
            INDIRECT("'"&amp;D$1&amp;"'!A2:E1000"), (INDIRECT("'"&amp;D$1&amp;"'!B2:B1000")=$B31) * (INDIRECT("'"&amp;D$1&amp;"'!C2:C1000")=$C31)
        ),
        5,
        FALSE
    )
)</f>
        <v>Sem Técnico</v>
      </c>
      <c r="E31" s="113" t="str">
        <f t="array" aca="1" ref="E31" ca="1">IF(
    VLOOKUP(
        $A31,
        _xlfn._xlws.FILTER(
            INDIRECT("'"&amp;E$1&amp;"'!A2:E1000"), (INDIRECT("'"&amp;E$1&amp;"'!B2:B1000")=$B31) * (INDIRECT("'"&amp;E$1&amp;"'!C2:C1000")=$C31)
        ),
        5,
        FALSE
    )=0,
    "",
    VLOOKUP(
        $A31,
        _xlfn._xlws.FILTER(
            INDIRECT("'"&amp;E$1&amp;"'!A2:E1000"), (INDIRECT("'"&amp;E$1&amp;"'!B2:B1000")=$B31) * (INDIRECT("'"&amp;E$1&amp;"'!C2:C1000")=$C31)
        ),
        5,
        FALSE
    )
)</f>
        <v>Sem Técnico</v>
      </c>
      <c r="F31" s="113" t="str">
        <f t="array" aca="1" ref="F31" ca="1">IF(
    VLOOKUP(
        $A31,
        _xlfn._xlws.FILTER(
            INDIRECT("'"&amp;F$1&amp;"'!A2:E1000"), (INDIRECT("'"&amp;F$1&amp;"'!B2:B1000")=$B31) * (INDIRECT("'"&amp;F$1&amp;"'!C2:C1000")=$C31)
        ),
        5,
        FALSE
    )=0,
    "",
    VLOOKUP(
        $A31,
        _xlfn._xlws.FILTER(
            INDIRECT("'"&amp;F$1&amp;"'!A2:E1000"), (INDIRECT("'"&amp;F$1&amp;"'!B2:B1000")=$B31) * (INDIRECT("'"&amp;F$1&amp;"'!C2:C1000")=$C31)
        ),
        5,
        FALSE
    )
)</f>
        <v>Sem Técnico</v>
      </c>
      <c r="G31" s="113" t="str">
        <f t="array" aca="1" ref="G31" ca="1">IF(
    VLOOKUP(
        $A31,
        _xlfn._xlws.FILTER(
            INDIRECT("'"&amp;G$1&amp;"'!A2:E1000"), (INDIRECT("'"&amp;G$1&amp;"'!B2:B1000")=$B31) * (INDIRECT("'"&amp;G$1&amp;"'!C2:C1000")=$C31)
        ),
        5,
        FALSE
    )=0,
    "",
    VLOOKUP(
        $A31,
        _xlfn._xlws.FILTER(
            INDIRECT("'"&amp;G$1&amp;"'!A2:E1000"), (INDIRECT("'"&amp;G$1&amp;"'!B2:B1000")=$B31) * (INDIRECT("'"&amp;G$1&amp;"'!C2:C1000")=$C31)
        ),
        5,
        FALSE
    )
)</f>
        <v>Sem Técnico</v>
      </c>
      <c r="H31" s="113" t="str">
        <f t="array" aca="1" ref="H31" ca="1">IF(
    VLOOKUP(
        $A31,
        _xlfn._xlws.FILTER(
            INDIRECT("'"&amp;H$1&amp;"'!A2:E1000"), (INDIRECT("'"&amp;H$1&amp;"'!B2:B1000")=$B31) * (INDIRECT("'"&amp;H$1&amp;"'!C2:C1000")=$C31)
        ),
        5,
        FALSE
    )=0,
    "",
    VLOOKUP(
        $A31,
        _xlfn._xlws.FILTER(
            INDIRECT("'"&amp;H$1&amp;"'!A2:E1000"), (INDIRECT("'"&amp;H$1&amp;"'!B2:B1000")=$B31) * (INDIRECT("'"&amp;H$1&amp;"'!C2:C1000")=$C31)
        ),
        5,
        FALSE
    )
)</f>
        <v>Sem Técnico</v>
      </c>
      <c r="I31" s="113" t="str">
        <f t="array" aca="1" ref="I31" ca="1">IF(
    VLOOKUP(
        $A31,
        _xlfn._xlws.FILTER(
            INDIRECT("'"&amp;I$1&amp;"'!A2:E1000"), (INDIRECT("'"&amp;I$1&amp;"'!B2:B1000")=$B31) * (INDIRECT("'"&amp;I$1&amp;"'!C2:C1000")=$C31)
        ),
        5,
        FALSE
    )=0,
    "",
    VLOOKUP(
        $A31,
        _xlfn._xlws.FILTER(
            INDIRECT("'"&amp;I$1&amp;"'!A2:E1000"), (INDIRECT("'"&amp;I$1&amp;"'!B2:B1000")=$B31) * (INDIRECT("'"&amp;I$1&amp;"'!C2:C1000")=$C31)
        ),
        5,
        FALSE
    )
)</f>
        <v>Sem Técnico</v>
      </c>
      <c r="J31" s="113" t="str">
        <f t="array" aca="1" ref="J31" ca="1">IF(
    VLOOKUP(
        $A31,
        _xlfn._xlws.FILTER(
            INDIRECT("'"&amp;J$1&amp;"'!A2:E1000"), (INDIRECT("'"&amp;J$1&amp;"'!B2:B1000")=$B31) * (INDIRECT("'"&amp;J$1&amp;"'!C2:C1000")=$C31)
        ),
        5,
        FALSE
    )=0,
    "",
    VLOOKUP(
        $A31,
        _xlfn._xlws.FILTER(
            INDIRECT("'"&amp;J$1&amp;"'!A2:E1000"), (INDIRECT("'"&amp;J$1&amp;"'!B2:B1000")=$B31) * (INDIRECT("'"&amp;J$1&amp;"'!C2:C1000")=$C31)
        ),
        5,
        FALSE
    )
)</f>
        <v>Sem Técnico</v>
      </c>
      <c r="K31" s="113" t="str">
        <f t="array" aca="1" ref="K31" ca="1">IF(
    VLOOKUP(
        $A31,
        _xlfn._xlws.FILTER(
            INDIRECT("'"&amp;K$1&amp;"'!A2:E1000"), (INDIRECT("'"&amp;K$1&amp;"'!B2:B1000")=$B31) * (INDIRECT("'"&amp;K$1&amp;"'!C2:C1000")=$C31)
        ),
        5,
        FALSE
    )=0,
    "",
    VLOOKUP(
        $A31,
        _xlfn._xlws.FILTER(
            INDIRECT("'"&amp;K$1&amp;"'!A2:E1000"), (INDIRECT("'"&amp;K$1&amp;"'!B2:B1000")=$B31) * (INDIRECT("'"&amp;K$1&amp;"'!C2:C1000")=$C31)
        ),
        5,
        FALSE
    )
)</f>
        <v>Outras Ocorrências</v>
      </c>
      <c r="L31" s="113" t="str">
        <f t="array" aca="1" ref="L31" ca="1">IF(
    VLOOKUP(
        $A31,
        _xlfn._xlws.FILTER(
            INDIRECT("'"&amp;L$1&amp;"'!A2:E1000"), (INDIRECT("'"&amp;L$1&amp;"'!B2:B1000")=$B31) * (INDIRECT("'"&amp;L$1&amp;"'!C2:C1000")=$C31)
        ),
        5,
        FALSE
    )=0,
    "",
    VLOOKUP(
        $A31,
        _xlfn._xlws.FILTER(
            INDIRECT("'"&amp;L$1&amp;"'!A2:E1000"), (INDIRECT("'"&amp;L$1&amp;"'!B2:B1000")=$B31) * (INDIRECT("'"&amp;L$1&amp;"'!C2:C1000")=$C31)
        ),
        5,
        FALSE
    )
)</f>
        <v>Outras Ocorrências</v>
      </c>
      <c r="M31" s="113" t="str">
        <f t="array" aca="1" ref="M31" ca="1">IF(
    VLOOKUP(
        $A31,
        _xlfn._xlws.FILTER(
            INDIRECT("'"&amp;M$1&amp;"'!A2:E1000"), (INDIRECT("'"&amp;M$1&amp;"'!B2:B1000")=$B31) * (INDIRECT("'"&amp;M$1&amp;"'!C2:C1000")=$C31)
        ),
        5,
        FALSE
    )=0,
    "",
    VLOOKUP(
        $A31,
        _xlfn._xlws.FILTER(
            INDIRECT("'"&amp;M$1&amp;"'!A2:E1000"), (INDIRECT("'"&amp;M$1&amp;"'!B2:B1000")=$B31) * (INDIRECT("'"&amp;M$1&amp;"'!C2:C1000")=$C31)
        ),
        5,
        FALSE
    )
)</f>
        <v>Outras Ocorrências</v>
      </c>
      <c r="N31" s="113" t="str">
        <f t="array" aca="1" ref="N31" ca="1">IF(
    VLOOKUP(
        $A31,
        _xlfn._xlws.FILTER(
            INDIRECT("'"&amp;N$1&amp;"'!A2:E1000"), (INDIRECT("'"&amp;N$1&amp;"'!B2:B1000")=$B31) * (INDIRECT("'"&amp;N$1&amp;"'!C2:C1000")=$C31)
        ),
        5,
        FALSE
    )=0,
    "",
    VLOOKUP(
        $A31,
        _xlfn._xlws.FILTER(
            INDIRECT("'"&amp;N$1&amp;"'!A2:E1000"), (INDIRECT("'"&amp;N$1&amp;"'!B2:B1000")=$B31) * (INDIRECT("'"&amp;N$1&amp;"'!C2:C1000")=$C31)
        ),
        5,
        FALSE
    )
)</f>
        <v>Outras Ocorrências</v>
      </c>
      <c r="O31" s="113" t="str">
        <f t="array" aca="1" ref="O31" ca="1">IF(
    VLOOKUP(
        $A31,
        _xlfn._xlws.FILTER(
            INDIRECT("'"&amp;O$1&amp;"'!A2:E1000"), (INDIRECT("'"&amp;O$1&amp;"'!B2:B1000")=$B31) * (INDIRECT("'"&amp;O$1&amp;"'!C2:C1000")=$C31)
        ),
        5,
        FALSE
    )=0,
    "",
    VLOOKUP(
        $A31,
        _xlfn._xlws.FILTER(
            INDIRECT("'"&amp;O$1&amp;"'!A2:E1000"), (INDIRECT("'"&amp;O$1&amp;"'!B2:B1000")=$B31) * (INDIRECT("'"&amp;O$1&amp;"'!C2:C1000")=$C31)
        ),
        5,
        FALSE
    )
)</f>
        <v>Outras Ocorrências</v>
      </c>
    </row>
    <row r="32" spans="1:15">
      <c r="A32" s="92" t="s">
        <v>37</v>
      </c>
      <c r="B32" s="112" t="s">
        <v>76</v>
      </c>
      <c r="C32" s="39">
        <v>1</v>
      </c>
      <c r="D32" s="113" t="str">
        <f t="array" aca="1" ref="D32" ca="1">IF(
    VLOOKUP(
        $A32,
        _xlfn._xlws.FILTER(
            INDIRECT("'"&amp;D$1&amp;"'!A2:E1000"), (INDIRECT("'"&amp;D$1&amp;"'!B2:B1000")=$B32) * (INDIRECT("'"&amp;D$1&amp;"'!C2:C1000")=$C32)
        ),
        5,
        FALSE
    )=0,
    "",
    VLOOKUP(
        $A32,
        _xlfn._xlws.FILTER(
            INDIRECT("'"&amp;D$1&amp;"'!A2:E1000"), (INDIRECT("'"&amp;D$1&amp;"'!B2:B1000")=$B32) * (INDIRECT("'"&amp;D$1&amp;"'!C2:C1000")=$C32)
        ),
        5,
        FALSE
    )
)</f>
        <v>Sem Técnico</v>
      </c>
      <c r="E32" s="113" t="str">
        <f t="array" aca="1" ref="E32" ca="1">IF(
    VLOOKUP(
        $A32,
        _xlfn._xlws.FILTER(
            INDIRECT("'"&amp;E$1&amp;"'!A2:E1000"), (INDIRECT("'"&amp;E$1&amp;"'!B2:B1000")=$B32) * (INDIRECT("'"&amp;E$1&amp;"'!C2:C1000")=$C32)
        ),
        5,
        FALSE
    )=0,
    "",
    VLOOKUP(
        $A32,
        _xlfn._xlws.FILTER(
            INDIRECT("'"&amp;E$1&amp;"'!A2:E1000"), (INDIRECT("'"&amp;E$1&amp;"'!B2:B1000")=$B32) * (INDIRECT("'"&amp;E$1&amp;"'!C2:C1000")=$C32)
        ),
        5,
        FALSE
    )
)</f>
        <v>Sem Técnico</v>
      </c>
      <c r="F32" s="113" t="str">
        <f t="array" aca="1" ref="F32" ca="1">IF(
    VLOOKUP(
        $A32,
        _xlfn._xlws.FILTER(
            INDIRECT("'"&amp;F$1&amp;"'!A2:E1000"), (INDIRECT("'"&amp;F$1&amp;"'!B2:B1000")=$B32) * (INDIRECT("'"&amp;F$1&amp;"'!C2:C1000")=$C32)
        ),
        5,
        FALSE
    )=0,
    "",
    VLOOKUP(
        $A32,
        _xlfn._xlws.FILTER(
            INDIRECT("'"&amp;F$1&amp;"'!A2:E1000"), (INDIRECT("'"&amp;F$1&amp;"'!B2:B1000")=$B32) * (INDIRECT("'"&amp;F$1&amp;"'!C2:C1000")=$C32)
        ),
        5,
        FALSE
    )
)</f>
        <v>Sem Técnico</v>
      </c>
      <c r="G32" s="113" t="str">
        <f t="array" aca="1" ref="G32" ca="1">IF(
    VLOOKUP(
        $A32,
        _xlfn._xlws.FILTER(
            INDIRECT("'"&amp;G$1&amp;"'!A2:E1000"), (INDIRECT("'"&amp;G$1&amp;"'!B2:B1000")=$B32) * (INDIRECT("'"&amp;G$1&amp;"'!C2:C1000")=$C32)
        ),
        5,
        FALSE
    )=0,
    "",
    VLOOKUP(
        $A32,
        _xlfn._xlws.FILTER(
            INDIRECT("'"&amp;G$1&amp;"'!A2:E1000"), (INDIRECT("'"&amp;G$1&amp;"'!B2:B1000")=$B32) * (INDIRECT("'"&amp;G$1&amp;"'!C2:C1000")=$C32)
        ),
        5,
        FALSE
    )
)</f>
        <v>Sem Técnico</v>
      </c>
      <c r="H32" s="113" t="str">
        <f t="array" aca="1" ref="H32" ca="1">IF(
    VLOOKUP(
        $A32,
        _xlfn._xlws.FILTER(
            INDIRECT("'"&amp;H$1&amp;"'!A2:E1000"), (INDIRECT("'"&amp;H$1&amp;"'!B2:B1000")=$B32) * (INDIRECT("'"&amp;H$1&amp;"'!C2:C1000")=$C32)
        ),
        5,
        FALSE
    )=0,
    "",
    VLOOKUP(
        $A32,
        _xlfn._xlws.FILTER(
            INDIRECT("'"&amp;H$1&amp;"'!A2:E1000"), (INDIRECT("'"&amp;H$1&amp;"'!B2:B1000")=$B32) * (INDIRECT("'"&amp;H$1&amp;"'!C2:C1000")=$C32)
        ),
        5,
        FALSE
    )
)</f>
        <v>Sem Técnico</v>
      </c>
      <c r="I32" s="113" t="str">
        <f t="array" aca="1" ref="I32" ca="1">IF(
    VLOOKUP(
        $A32,
        _xlfn._xlws.FILTER(
            INDIRECT("'"&amp;I$1&amp;"'!A2:E1000"), (INDIRECT("'"&amp;I$1&amp;"'!B2:B1000")=$B32) * (INDIRECT("'"&amp;I$1&amp;"'!C2:C1000")=$C32)
        ),
        5,
        FALSE
    )=0,
    "",
    VLOOKUP(
        $A32,
        _xlfn._xlws.FILTER(
            INDIRECT("'"&amp;I$1&amp;"'!A2:E1000"), (INDIRECT("'"&amp;I$1&amp;"'!B2:B1000")=$B32) * (INDIRECT("'"&amp;I$1&amp;"'!C2:C1000")=$C32)
        ),
        5,
        FALSE
    )
)</f>
        <v>Sem Técnico</v>
      </c>
      <c r="J32" s="113" t="str">
        <f t="array" aca="1" ref="J32" ca="1">IF(
    VLOOKUP(
        $A32,
        _xlfn._xlws.FILTER(
            INDIRECT("'"&amp;J$1&amp;"'!A2:E1000"), (INDIRECT("'"&amp;J$1&amp;"'!B2:B1000")=$B32) * (INDIRECT("'"&amp;J$1&amp;"'!C2:C1000")=$C32)
        ),
        5,
        FALSE
    )=0,
    "",
    VLOOKUP(
        $A32,
        _xlfn._xlws.FILTER(
            INDIRECT("'"&amp;J$1&amp;"'!A2:E1000"), (INDIRECT("'"&amp;J$1&amp;"'!B2:B1000")=$B32) * (INDIRECT("'"&amp;J$1&amp;"'!C2:C1000")=$C32)
        ),
        5,
        FALSE
    )
)</f>
        <v>Sem Técnico</v>
      </c>
      <c r="K32" s="113" t="str">
        <f t="array" aca="1" ref="K32" ca="1">IF(
    VLOOKUP(
        $A32,
        _xlfn._xlws.FILTER(
            INDIRECT("'"&amp;K$1&amp;"'!A2:E1000"), (INDIRECT("'"&amp;K$1&amp;"'!B2:B1000")=$B32) * (INDIRECT("'"&amp;K$1&amp;"'!C2:C1000")=$C32)
        ),
        5,
        FALSE
    )=0,
    "",
    VLOOKUP(
        $A32,
        _xlfn._xlws.FILTER(
            INDIRECT("'"&amp;K$1&amp;"'!A2:E1000"), (INDIRECT("'"&amp;K$1&amp;"'!B2:B1000")=$B32) * (INDIRECT("'"&amp;K$1&amp;"'!C2:C1000")=$C32)
        ),
        5,
        FALSE
    )
)</f>
        <v>Enviado</v>
      </c>
      <c r="L32" s="113" t="str">
        <f t="array" aca="1" ref="L32" ca="1">IF(
    VLOOKUP(
        $A32,
        _xlfn._xlws.FILTER(
            INDIRECT("'"&amp;L$1&amp;"'!A2:E1000"), (INDIRECT("'"&amp;L$1&amp;"'!B2:B1000")=$B32) * (INDIRECT("'"&amp;L$1&amp;"'!C2:C1000")=$C32)
        ),
        5,
        FALSE
    )=0,
    "",
    VLOOKUP(
        $A32,
        _xlfn._xlws.FILTER(
            INDIRECT("'"&amp;L$1&amp;"'!A2:E1000"), (INDIRECT("'"&amp;L$1&amp;"'!B2:B1000")=$B32) * (INDIRECT("'"&amp;L$1&amp;"'!C2:C1000")=$C32)
        ),
        5,
        FALSE
    )
)</f>
        <v>Enviado</v>
      </c>
      <c r="M32" s="113" t="str">
        <f t="array" aca="1" ref="M32" ca="1">IF(
    VLOOKUP(
        $A32,
        _xlfn._xlws.FILTER(
            INDIRECT("'"&amp;M$1&amp;"'!A2:E1000"), (INDIRECT("'"&amp;M$1&amp;"'!B2:B1000")=$B32) * (INDIRECT("'"&amp;M$1&amp;"'!C2:C1000")=$C32)
        ),
        5,
        FALSE
    )=0,
    "",
    VLOOKUP(
        $A32,
        _xlfn._xlws.FILTER(
            INDIRECT("'"&amp;M$1&amp;"'!A2:E1000"), (INDIRECT("'"&amp;M$1&amp;"'!B2:B1000")=$B32) * (INDIRECT("'"&amp;M$1&amp;"'!C2:C1000")=$C32)
        ),
        5,
        FALSE
    )
)</f>
        <v>Enviado</v>
      </c>
      <c r="N32" s="113" t="str">
        <f t="array" aca="1" ref="N32" ca="1">IF(
    VLOOKUP(
        $A32,
        _xlfn._xlws.FILTER(
            INDIRECT("'"&amp;N$1&amp;"'!A2:E1000"), (INDIRECT("'"&amp;N$1&amp;"'!B2:B1000")=$B32) * (INDIRECT("'"&amp;N$1&amp;"'!C2:C1000")=$C32)
        ),
        5,
        FALSE
    )=0,
    "",
    VLOOKUP(
        $A32,
        _xlfn._xlws.FILTER(
            INDIRECT("'"&amp;N$1&amp;"'!A2:E1000"), (INDIRECT("'"&amp;N$1&amp;"'!B2:B1000")=$B32) * (INDIRECT("'"&amp;N$1&amp;"'!C2:C1000")=$C32)
        ),
        5,
        FALSE
    )
)</f>
        <v>Atrasado</v>
      </c>
      <c r="O32" s="113" t="str">
        <f t="array" aca="1" ref="O32" ca="1">IF(
    VLOOKUP(
        $A32,
        _xlfn._xlws.FILTER(
            INDIRECT("'"&amp;O$1&amp;"'!A2:E1000"), (INDIRECT("'"&amp;O$1&amp;"'!B2:B1000")=$B32) * (INDIRECT("'"&amp;O$1&amp;"'!C2:C1000")=$C32)
        ),
        5,
        FALSE
    )=0,
    "",
    VLOOKUP(
        $A32,
        _xlfn._xlws.FILTER(
            INDIRECT("'"&amp;O$1&amp;"'!A2:E1000"), (INDIRECT("'"&amp;O$1&amp;"'!B2:B1000")=$B32) * (INDIRECT("'"&amp;O$1&amp;"'!C2:C1000")=$C32)
        ),
        5,
        FALSE
    )
)</f>
        <v/>
      </c>
    </row>
    <row r="33" spans="1:15" ht="15.75" customHeight="1">
      <c r="A33" s="92" t="s">
        <v>37</v>
      </c>
      <c r="B33" s="112" t="s">
        <v>77</v>
      </c>
      <c r="C33" s="39">
        <v>1</v>
      </c>
      <c r="D33" s="113" t="str">
        <f t="array" aca="1" ref="D33" ca="1">IF(
    VLOOKUP(
        $A33,
        _xlfn._xlws.FILTER(
            INDIRECT("'"&amp;D$1&amp;"'!A2:E1000"), (INDIRECT("'"&amp;D$1&amp;"'!B2:B1000")=$B33) * (INDIRECT("'"&amp;D$1&amp;"'!C2:C1000")=$C33)
        ),
        5,
        FALSE
    )=0,
    "",
    VLOOKUP(
        $A33,
        _xlfn._xlws.FILTER(
            INDIRECT("'"&amp;D$1&amp;"'!A2:E1000"), (INDIRECT("'"&amp;D$1&amp;"'!B2:B1000")=$B33) * (INDIRECT("'"&amp;D$1&amp;"'!C2:C1000")=$C33)
        ),
        5,
        FALSE
    )
)</f>
        <v>Sem Técnico</v>
      </c>
      <c r="E33" s="113" t="str">
        <f t="array" aca="1" ref="E33" ca="1">IF(
    VLOOKUP(
        $A33,
        _xlfn._xlws.FILTER(
            INDIRECT("'"&amp;E$1&amp;"'!A2:E1000"), (INDIRECT("'"&amp;E$1&amp;"'!B2:B1000")=$B33) * (INDIRECT("'"&amp;E$1&amp;"'!C2:C1000")=$C33)
        ),
        5,
        FALSE
    )=0,
    "",
    VLOOKUP(
        $A33,
        _xlfn._xlws.FILTER(
            INDIRECT("'"&amp;E$1&amp;"'!A2:E1000"), (INDIRECT("'"&amp;E$1&amp;"'!B2:B1000")=$B33) * (INDIRECT("'"&amp;E$1&amp;"'!C2:C1000")=$C33)
        ),
        5,
        FALSE
    )
)</f>
        <v>Sem Técnico</v>
      </c>
      <c r="F33" s="113" t="str">
        <f t="array" aca="1" ref="F33" ca="1">IF(
    VLOOKUP(
        $A33,
        _xlfn._xlws.FILTER(
            INDIRECT("'"&amp;F$1&amp;"'!A2:E1000"), (INDIRECT("'"&amp;F$1&amp;"'!B2:B1000")=$B33) * (INDIRECT("'"&amp;F$1&amp;"'!C2:C1000")=$C33)
        ),
        5,
        FALSE
    )=0,
    "",
    VLOOKUP(
        $A33,
        _xlfn._xlws.FILTER(
            INDIRECT("'"&amp;F$1&amp;"'!A2:E1000"), (INDIRECT("'"&amp;F$1&amp;"'!B2:B1000")=$B33) * (INDIRECT("'"&amp;F$1&amp;"'!C2:C1000")=$C33)
        ),
        5,
        FALSE
    )
)</f>
        <v>Sem Técnico</v>
      </c>
      <c r="G33" s="113" t="str">
        <f t="array" aca="1" ref="G33" ca="1">IF(
    VLOOKUP(
        $A33,
        _xlfn._xlws.FILTER(
            INDIRECT("'"&amp;G$1&amp;"'!A2:E1000"), (INDIRECT("'"&amp;G$1&amp;"'!B2:B1000")=$B33) * (INDIRECT("'"&amp;G$1&amp;"'!C2:C1000")=$C33)
        ),
        5,
        FALSE
    )=0,
    "",
    VLOOKUP(
        $A33,
        _xlfn._xlws.FILTER(
            INDIRECT("'"&amp;G$1&amp;"'!A2:E1000"), (INDIRECT("'"&amp;G$1&amp;"'!B2:B1000")=$B33) * (INDIRECT("'"&amp;G$1&amp;"'!C2:C1000")=$C33)
        ),
        5,
        FALSE
    )
)</f>
        <v>Sem Técnico</v>
      </c>
      <c r="H33" s="113" t="str">
        <f t="array" aca="1" ref="H33" ca="1">IF(
    VLOOKUP(
        $A33,
        _xlfn._xlws.FILTER(
            INDIRECT("'"&amp;H$1&amp;"'!A2:E1000"), (INDIRECT("'"&amp;H$1&amp;"'!B2:B1000")=$B33) * (INDIRECT("'"&amp;H$1&amp;"'!C2:C1000")=$C33)
        ),
        5,
        FALSE
    )=0,
    "",
    VLOOKUP(
        $A33,
        _xlfn._xlws.FILTER(
            INDIRECT("'"&amp;H$1&amp;"'!A2:E1000"), (INDIRECT("'"&amp;H$1&amp;"'!B2:B1000")=$B33) * (INDIRECT("'"&amp;H$1&amp;"'!C2:C1000")=$C33)
        ),
        5,
        FALSE
    )
)</f>
        <v>Sem Técnico</v>
      </c>
      <c r="I33" s="113" t="str">
        <f t="array" aca="1" ref="I33" ca="1">IF(
    VLOOKUP(
        $A33,
        _xlfn._xlws.FILTER(
            INDIRECT("'"&amp;I$1&amp;"'!A2:E1000"), (INDIRECT("'"&amp;I$1&amp;"'!B2:B1000")=$B33) * (INDIRECT("'"&amp;I$1&amp;"'!C2:C1000")=$C33)
        ),
        5,
        FALSE
    )=0,
    "",
    VLOOKUP(
        $A33,
        _xlfn._xlws.FILTER(
            INDIRECT("'"&amp;I$1&amp;"'!A2:E1000"), (INDIRECT("'"&amp;I$1&amp;"'!B2:B1000")=$B33) * (INDIRECT("'"&amp;I$1&amp;"'!C2:C1000")=$C33)
        ),
        5,
        FALSE
    )
)</f>
        <v>Sem Técnico</v>
      </c>
      <c r="J33" s="113" t="str">
        <f t="array" aca="1" ref="J33" ca="1">IF(
    VLOOKUP(
        $A33,
        _xlfn._xlws.FILTER(
            INDIRECT("'"&amp;J$1&amp;"'!A2:E1000"), (INDIRECT("'"&amp;J$1&amp;"'!B2:B1000")=$B33) * (INDIRECT("'"&amp;J$1&amp;"'!C2:C1000")=$C33)
        ),
        5,
        FALSE
    )=0,
    "",
    VLOOKUP(
        $A33,
        _xlfn._xlws.FILTER(
            INDIRECT("'"&amp;J$1&amp;"'!A2:E1000"), (INDIRECT("'"&amp;J$1&amp;"'!B2:B1000")=$B33) * (INDIRECT("'"&amp;J$1&amp;"'!C2:C1000")=$C33)
        ),
        5,
        FALSE
    )
)</f>
        <v>Sem Técnico</v>
      </c>
      <c r="K33" s="113" t="str">
        <f t="array" aca="1" ref="K33" ca="1">IF(
    VLOOKUP(
        $A33,
        _xlfn._xlws.FILTER(
            INDIRECT("'"&amp;K$1&amp;"'!A2:E1000"), (INDIRECT("'"&amp;K$1&amp;"'!B2:B1000")=$B33) * (INDIRECT("'"&amp;K$1&amp;"'!C2:C1000")=$C33)
        ),
        5,
        FALSE
    )=0,
    "",
    VLOOKUP(
        $A33,
        _xlfn._xlws.FILTER(
            INDIRECT("'"&amp;K$1&amp;"'!A2:E1000"), (INDIRECT("'"&amp;K$1&amp;"'!B2:B1000")=$B33) * (INDIRECT("'"&amp;K$1&amp;"'!C2:C1000")=$C33)
        ),
        5,
        FALSE
    )
)</f>
        <v>Enviado</v>
      </c>
      <c r="L33" s="113" t="str">
        <f t="array" aca="1" ref="L33" ca="1">IF(
    VLOOKUP(
        $A33,
        _xlfn._xlws.FILTER(
            INDIRECT("'"&amp;L$1&amp;"'!A2:E1000"), (INDIRECT("'"&amp;L$1&amp;"'!B2:B1000")=$B33) * (INDIRECT("'"&amp;L$1&amp;"'!C2:C1000")=$C33)
        ),
        5,
        FALSE
    )=0,
    "",
    VLOOKUP(
        $A33,
        _xlfn._xlws.FILTER(
            INDIRECT("'"&amp;L$1&amp;"'!A2:E1000"), (INDIRECT("'"&amp;L$1&amp;"'!B2:B1000")=$B33) * (INDIRECT("'"&amp;L$1&amp;"'!C2:C1000")=$C33)
        ),
        5,
        FALSE
    )
)</f>
        <v>Enviado</v>
      </c>
      <c r="M33" s="113" t="str">
        <f t="array" aca="1" ref="M33" ca="1">IF(
    VLOOKUP(
        $A33,
        _xlfn._xlws.FILTER(
            INDIRECT("'"&amp;M$1&amp;"'!A2:E1000"), (INDIRECT("'"&amp;M$1&amp;"'!B2:B1000")=$B33) * (INDIRECT("'"&amp;M$1&amp;"'!C2:C1000")=$C33)
        ),
        5,
        FALSE
    )=0,
    "",
    VLOOKUP(
        $A33,
        _xlfn._xlws.FILTER(
            INDIRECT("'"&amp;M$1&amp;"'!A2:E1000"), (INDIRECT("'"&amp;M$1&amp;"'!B2:B1000")=$B33) * (INDIRECT("'"&amp;M$1&amp;"'!C2:C1000")=$C33)
        ),
        5,
        FALSE
    )
)</f>
        <v>Enviado</v>
      </c>
      <c r="N33" s="113" t="str">
        <f t="array" aca="1" ref="N33" ca="1">IF(
    VLOOKUP(
        $A33,
        _xlfn._xlws.FILTER(
            INDIRECT("'"&amp;N$1&amp;"'!A2:E1000"), (INDIRECT("'"&amp;N$1&amp;"'!B2:B1000")=$B33) * (INDIRECT("'"&amp;N$1&amp;"'!C2:C1000")=$C33)
        ),
        5,
        FALSE
    )=0,
    "",
    VLOOKUP(
        $A33,
        _xlfn._xlws.FILTER(
            INDIRECT("'"&amp;N$1&amp;"'!A2:E1000"), (INDIRECT("'"&amp;N$1&amp;"'!B2:B1000")=$B33) * (INDIRECT("'"&amp;N$1&amp;"'!C2:C1000")=$C33)
        ),
        5,
        FALSE
    )
)</f>
        <v>Atrasado</v>
      </c>
      <c r="O33" s="113" t="str">
        <f t="array" aca="1" ref="O33" ca="1">IF(
    VLOOKUP(
        $A33,
        _xlfn._xlws.FILTER(
            INDIRECT("'"&amp;O$1&amp;"'!A2:E1000"), (INDIRECT("'"&amp;O$1&amp;"'!B2:B1000")=$B33) * (INDIRECT("'"&amp;O$1&amp;"'!C2:C1000")=$C33)
        ),
        5,
        FALSE
    )=0,
    "",
    VLOOKUP(
        $A33,
        _xlfn._xlws.FILTER(
            INDIRECT("'"&amp;O$1&amp;"'!A2:E1000"), (INDIRECT("'"&amp;O$1&amp;"'!B2:B1000")=$B33) * (INDIRECT("'"&amp;O$1&amp;"'!C2:C1000")=$C33)
        ),
        5,
        FALSE
    )
)</f>
        <v/>
      </c>
    </row>
    <row r="34" spans="1:15" ht="15.75" customHeight="1">
      <c r="A34" s="92" t="s">
        <v>37</v>
      </c>
      <c r="B34" s="112" t="s">
        <v>78</v>
      </c>
      <c r="C34" s="39">
        <v>1</v>
      </c>
      <c r="D34" s="113" t="str">
        <f t="array" aca="1" ref="D34" ca="1">IF(
    VLOOKUP(
        $A34,
        _xlfn._xlws.FILTER(
            INDIRECT("'"&amp;D$1&amp;"'!A2:E1000"), (INDIRECT("'"&amp;D$1&amp;"'!B2:B1000")=$B34) * (INDIRECT("'"&amp;D$1&amp;"'!C2:C1000")=$C34)
        ),
        5,
        FALSE
    )=0,
    "",
    VLOOKUP(
        $A34,
        _xlfn._xlws.FILTER(
            INDIRECT("'"&amp;D$1&amp;"'!A2:E1000"), (INDIRECT("'"&amp;D$1&amp;"'!B2:B1000")=$B34) * (INDIRECT("'"&amp;D$1&amp;"'!C2:C1000")=$C34)
        ),
        5,
        FALSE
    )
)</f>
        <v>Sem Técnico</v>
      </c>
      <c r="E34" s="113" t="str">
        <f t="array" aca="1" ref="E34" ca="1">IF(
    VLOOKUP(
        $A34,
        _xlfn._xlws.FILTER(
            INDIRECT("'"&amp;E$1&amp;"'!A2:E1000"), (INDIRECT("'"&amp;E$1&amp;"'!B2:B1000")=$B34) * (INDIRECT("'"&amp;E$1&amp;"'!C2:C1000")=$C34)
        ),
        5,
        FALSE
    )=0,
    "",
    VLOOKUP(
        $A34,
        _xlfn._xlws.FILTER(
            INDIRECT("'"&amp;E$1&amp;"'!A2:E1000"), (INDIRECT("'"&amp;E$1&amp;"'!B2:B1000")=$B34) * (INDIRECT("'"&amp;E$1&amp;"'!C2:C1000")=$C34)
        ),
        5,
        FALSE
    )
)</f>
        <v>Sem Técnico</v>
      </c>
      <c r="F34" s="113" t="str">
        <f t="array" aca="1" ref="F34" ca="1">IF(
    VLOOKUP(
        $A34,
        _xlfn._xlws.FILTER(
            INDIRECT("'"&amp;F$1&amp;"'!A2:E1000"), (INDIRECT("'"&amp;F$1&amp;"'!B2:B1000")=$B34) * (INDIRECT("'"&amp;F$1&amp;"'!C2:C1000")=$C34)
        ),
        5,
        FALSE
    )=0,
    "",
    VLOOKUP(
        $A34,
        _xlfn._xlws.FILTER(
            INDIRECT("'"&amp;F$1&amp;"'!A2:E1000"), (INDIRECT("'"&amp;F$1&amp;"'!B2:B1000")=$B34) * (INDIRECT("'"&amp;F$1&amp;"'!C2:C1000")=$C34)
        ),
        5,
        FALSE
    )
)</f>
        <v>Sem Técnico</v>
      </c>
      <c r="G34" s="113" t="str">
        <f t="array" aca="1" ref="G34" ca="1">IF(
    VLOOKUP(
        $A34,
        _xlfn._xlws.FILTER(
            INDIRECT("'"&amp;G$1&amp;"'!A2:E1000"), (INDIRECT("'"&amp;G$1&amp;"'!B2:B1000")=$B34) * (INDIRECT("'"&amp;G$1&amp;"'!C2:C1000")=$C34)
        ),
        5,
        FALSE
    )=0,
    "",
    VLOOKUP(
        $A34,
        _xlfn._xlws.FILTER(
            INDIRECT("'"&amp;G$1&amp;"'!A2:E1000"), (INDIRECT("'"&amp;G$1&amp;"'!B2:B1000")=$B34) * (INDIRECT("'"&amp;G$1&amp;"'!C2:C1000")=$C34)
        ),
        5,
        FALSE
    )
)</f>
        <v>Sem Técnico</v>
      </c>
      <c r="H34" s="113" t="str">
        <f t="array" aca="1" ref="H34" ca="1">IF(
    VLOOKUP(
        $A34,
        _xlfn._xlws.FILTER(
            INDIRECT("'"&amp;H$1&amp;"'!A2:E1000"), (INDIRECT("'"&amp;H$1&amp;"'!B2:B1000")=$B34) * (INDIRECT("'"&amp;H$1&amp;"'!C2:C1000")=$C34)
        ),
        5,
        FALSE
    )=0,
    "",
    VLOOKUP(
        $A34,
        _xlfn._xlws.FILTER(
            INDIRECT("'"&amp;H$1&amp;"'!A2:E1000"), (INDIRECT("'"&amp;H$1&amp;"'!B2:B1000")=$B34) * (INDIRECT("'"&amp;H$1&amp;"'!C2:C1000")=$C34)
        ),
        5,
        FALSE
    )
)</f>
        <v>Sem Técnico</v>
      </c>
      <c r="I34" s="113" t="str">
        <f t="array" aca="1" ref="I34" ca="1">IF(
    VLOOKUP(
        $A34,
        _xlfn._xlws.FILTER(
            INDIRECT("'"&amp;I$1&amp;"'!A2:E1000"), (INDIRECT("'"&amp;I$1&amp;"'!B2:B1000")=$B34) * (INDIRECT("'"&amp;I$1&amp;"'!C2:C1000")=$C34)
        ),
        5,
        FALSE
    )=0,
    "",
    VLOOKUP(
        $A34,
        _xlfn._xlws.FILTER(
            INDIRECT("'"&amp;I$1&amp;"'!A2:E1000"), (INDIRECT("'"&amp;I$1&amp;"'!B2:B1000")=$B34) * (INDIRECT("'"&amp;I$1&amp;"'!C2:C1000")=$C34)
        ),
        5,
        FALSE
    )
)</f>
        <v>Sem Técnico</v>
      </c>
      <c r="J34" s="113" t="str">
        <f t="array" aca="1" ref="J34" ca="1">IF(
    VLOOKUP(
        $A34,
        _xlfn._xlws.FILTER(
            INDIRECT("'"&amp;J$1&amp;"'!A2:E1000"), (INDIRECT("'"&amp;J$1&amp;"'!B2:B1000")=$B34) * (INDIRECT("'"&amp;J$1&amp;"'!C2:C1000")=$C34)
        ),
        5,
        FALSE
    )=0,
    "",
    VLOOKUP(
        $A34,
        _xlfn._xlws.FILTER(
            INDIRECT("'"&amp;J$1&amp;"'!A2:E1000"), (INDIRECT("'"&amp;J$1&amp;"'!B2:B1000")=$B34) * (INDIRECT("'"&amp;J$1&amp;"'!C2:C1000")=$C34)
        ),
        5,
        FALSE
    )
)</f>
        <v>Sem Técnico</v>
      </c>
      <c r="K34" s="113" t="str">
        <f t="array" aca="1" ref="K34" ca="1">IF(
    VLOOKUP(
        $A34,
        _xlfn._xlws.FILTER(
            INDIRECT("'"&amp;K$1&amp;"'!A2:E1000"), (INDIRECT("'"&amp;K$1&amp;"'!B2:B1000")=$B34) * (INDIRECT("'"&amp;K$1&amp;"'!C2:C1000")=$C34)
        ),
        5,
        FALSE
    )=0,
    "",
    VLOOKUP(
        $A34,
        _xlfn._xlws.FILTER(
            INDIRECT("'"&amp;K$1&amp;"'!A2:E1000"), (INDIRECT("'"&amp;K$1&amp;"'!B2:B1000")=$B34) * (INDIRECT("'"&amp;K$1&amp;"'!C2:C1000")=$C34)
        ),
        5,
        FALSE
    )
)</f>
        <v>Enviado</v>
      </c>
      <c r="L34" s="113" t="str">
        <f t="array" aca="1" ref="L34" ca="1">IF(
    VLOOKUP(
        $A34,
        _xlfn._xlws.FILTER(
            INDIRECT("'"&amp;L$1&amp;"'!A2:E1000"), (INDIRECT("'"&amp;L$1&amp;"'!B2:B1000")=$B34) * (INDIRECT("'"&amp;L$1&amp;"'!C2:C1000")=$C34)
        ),
        5,
        FALSE
    )=0,
    "",
    VLOOKUP(
        $A34,
        _xlfn._xlws.FILTER(
            INDIRECT("'"&amp;L$1&amp;"'!A2:E1000"), (INDIRECT("'"&amp;L$1&amp;"'!B2:B1000")=$B34) * (INDIRECT("'"&amp;L$1&amp;"'!C2:C1000")=$C34)
        ),
        5,
        FALSE
    )
)</f>
        <v>Enviado</v>
      </c>
      <c r="M34" s="113" t="str">
        <f t="array" aca="1" ref="M34" ca="1">IF(
    VLOOKUP(
        $A34,
        _xlfn._xlws.FILTER(
            INDIRECT("'"&amp;M$1&amp;"'!A2:E1000"), (INDIRECT("'"&amp;M$1&amp;"'!B2:B1000")=$B34) * (INDIRECT("'"&amp;M$1&amp;"'!C2:C1000")=$C34)
        ),
        5,
        FALSE
    )=0,
    "",
    VLOOKUP(
        $A34,
        _xlfn._xlws.FILTER(
            INDIRECT("'"&amp;M$1&amp;"'!A2:E1000"), (INDIRECT("'"&amp;M$1&amp;"'!B2:B1000")=$B34) * (INDIRECT("'"&amp;M$1&amp;"'!C2:C1000")=$C34)
        ),
        5,
        FALSE
    )
)</f>
        <v>Enviado</v>
      </c>
      <c r="N34" s="113" t="str">
        <f t="array" aca="1" ref="N34" ca="1">IF(
    VLOOKUP(
        $A34,
        _xlfn._xlws.FILTER(
            INDIRECT("'"&amp;N$1&amp;"'!A2:E1000"), (INDIRECT("'"&amp;N$1&amp;"'!B2:B1000")=$B34) * (INDIRECT("'"&amp;N$1&amp;"'!C2:C1000")=$C34)
        ),
        5,
        FALSE
    )=0,
    "",
    VLOOKUP(
        $A34,
        _xlfn._xlws.FILTER(
            INDIRECT("'"&amp;N$1&amp;"'!A2:E1000"), (INDIRECT("'"&amp;N$1&amp;"'!B2:B1000")=$B34) * (INDIRECT("'"&amp;N$1&amp;"'!C2:C1000")=$C34)
        ),
        5,
        FALSE
    )
)</f>
        <v>Atrasado</v>
      </c>
      <c r="O34" s="113" t="str">
        <f t="array" aca="1" ref="O34" ca="1">IF(
    VLOOKUP(
        $A34,
        _xlfn._xlws.FILTER(
            INDIRECT("'"&amp;O$1&amp;"'!A2:E1000"), (INDIRECT("'"&amp;O$1&amp;"'!B2:B1000")=$B34) * (INDIRECT("'"&amp;O$1&amp;"'!C2:C1000")=$C34)
        ),
        5,
        FALSE
    )=0,
    "",
    VLOOKUP(
        $A34,
        _xlfn._xlws.FILTER(
            INDIRECT("'"&amp;O$1&amp;"'!A2:E1000"), (INDIRECT("'"&amp;O$1&amp;"'!B2:B1000")=$B34) * (INDIRECT("'"&amp;O$1&amp;"'!C2:C1000")=$C34)
        ),
        5,
        FALSE
    )
)</f>
        <v/>
      </c>
    </row>
    <row r="35" spans="1:15">
      <c r="B35" s="35"/>
    </row>
    <row r="36" spans="1:15" ht="15.75" customHeight="1">
      <c r="A36" s="34" t="s">
        <v>25</v>
      </c>
      <c r="B36" s="34" t="s">
        <v>48</v>
      </c>
      <c r="C36" s="34" t="s">
        <v>49</v>
      </c>
      <c r="D36" s="110" t="s">
        <v>1</v>
      </c>
      <c r="E36" s="110" t="s">
        <v>2</v>
      </c>
      <c r="F36" s="110" t="s">
        <v>3</v>
      </c>
      <c r="G36" s="110" t="s">
        <v>4</v>
      </c>
      <c r="H36" s="110" t="s">
        <v>5</v>
      </c>
      <c r="I36" s="110" t="s">
        <v>6</v>
      </c>
      <c r="J36" s="111" t="s">
        <v>7</v>
      </c>
      <c r="K36" s="111" t="s">
        <v>8</v>
      </c>
      <c r="L36" s="111" t="s">
        <v>9</v>
      </c>
      <c r="M36" s="111" t="s">
        <v>10</v>
      </c>
      <c r="N36" s="111" t="s">
        <v>11</v>
      </c>
      <c r="O36" s="111" t="s">
        <v>12</v>
      </c>
    </row>
    <row r="37" spans="1:15">
      <c r="A37" s="94" t="s">
        <v>39</v>
      </c>
      <c r="B37" s="112" t="s">
        <v>79</v>
      </c>
      <c r="C37" s="39">
        <v>1</v>
      </c>
      <c r="D37" s="113" t="str">
        <f t="array" aca="1" ref="D37" ca="1">IF(
    VLOOKUP(
        $A37,
        _xlfn._xlws.FILTER(
            INDIRECT("'"&amp;D$1&amp;"'!A2:E1000"), (INDIRECT("'"&amp;D$1&amp;"'!B2:B1000")=$B37) * (INDIRECT("'"&amp;D$1&amp;"'!C2:C1000")=$C37)
        ),
        5,
        FALSE
    )=0,
    "",
    VLOOKUP(
        $A37,
        _xlfn._xlws.FILTER(
            INDIRECT("'"&amp;D$1&amp;"'!A2:E1000"), (INDIRECT("'"&amp;D$1&amp;"'!B2:B1000")=$B37) * (INDIRECT("'"&amp;D$1&amp;"'!C2:C1000")=$C37)
        ),
        5,
        FALSE
    )
)</f>
        <v>Sem Técnico</v>
      </c>
      <c r="E37" s="113" t="str">
        <f t="array" aca="1" ref="E37" ca="1">IF(
    VLOOKUP(
        $A37,
        _xlfn._xlws.FILTER(
            INDIRECT("'"&amp;E$1&amp;"'!A2:E1000"), (INDIRECT("'"&amp;E$1&amp;"'!B2:B1000")=$B37) * (INDIRECT("'"&amp;E$1&amp;"'!C2:C1000")=$C37)
        ),
        5,
        FALSE
    )=0,
    "",
    VLOOKUP(
        $A37,
        _xlfn._xlws.FILTER(
            INDIRECT("'"&amp;E$1&amp;"'!A2:E1000"), (INDIRECT("'"&amp;E$1&amp;"'!B2:B1000")=$B37) * (INDIRECT("'"&amp;E$1&amp;"'!C2:C1000")=$C37)
        ),
        5,
        FALSE
    )
)</f>
        <v>Sem Técnico</v>
      </c>
      <c r="F37" s="113" t="str">
        <f t="array" aca="1" ref="F37" ca="1">IF(
    VLOOKUP(
        $A37,
        _xlfn._xlws.FILTER(
            INDIRECT("'"&amp;F$1&amp;"'!A2:E1000"), (INDIRECT("'"&amp;F$1&amp;"'!B2:B1000")=$B37) * (INDIRECT("'"&amp;F$1&amp;"'!C2:C1000")=$C37)
        ),
        5,
        FALSE
    )=0,
    "",
    VLOOKUP(
        $A37,
        _xlfn._xlws.FILTER(
            INDIRECT("'"&amp;F$1&amp;"'!A2:E1000"), (INDIRECT("'"&amp;F$1&amp;"'!B2:B1000")=$B37) * (INDIRECT("'"&amp;F$1&amp;"'!C2:C1000")=$C37)
        ),
        5,
        FALSE
    )
)</f>
        <v>Sem Técnico</v>
      </c>
      <c r="G37" s="113" t="str">
        <f t="array" aca="1" ref="G37" ca="1">IF(
    VLOOKUP(
        $A37,
        _xlfn._xlws.FILTER(
            INDIRECT("'"&amp;G$1&amp;"'!A2:E1000"), (INDIRECT("'"&amp;G$1&amp;"'!B2:B1000")=$B37) * (INDIRECT("'"&amp;G$1&amp;"'!C2:C1000")=$C37)
        ),
        5,
        FALSE
    )=0,
    "",
    VLOOKUP(
        $A37,
        _xlfn._xlws.FILTER(
            INDIRECT("'"&amp;G$1&amp;"'!A2:E1000"), (INDIRECT("'"&amp;G$1&amp;"'!B2:B1000")=$B37) * (INDIRECT("'"&amp;G$1&amp;"'!C2:C1000")=$C37)
        ),
        5,
        FALSE
    )
)</f>
        <v>Sem Técnico</v>
      </c>
      <c r="H37" s="113" t="str">
        <f t="array" aca="1" ref="H37" ca="1">IF(
    VLOOKUP(
        $A37,
        _xlfn._xlws.FILTER(
            INDIRECT("'"&amp;H$1&amp;"'!A2:E1000"), (INDIRECT("'"&amp;H$1&amp;"'!B2:B1000")=$B37) * (INDIRECT("'"&amp;H$1&amp;"'!C2:C1000")=$C37)
        ),
        5,
        FALSE
    )=0,
    "",
    VLOOKUP(
        $A37,
        _xlfn._xlws.FILTER(
            INDIRECT("'"&amp;H$1&amp;"'!A2:E1000"), (INDIRECT("'"&amp;H$1&amp;"'!B2:B1000")=$B37) * (INDIRECT("'"&amp;H$1&amp;"'!C2:C1000")=$C37)
        ),
        5,
        FALSE
    )
)</f>
        <v>Sem Técnico</v>
      </c>
      <c r="I37" s="113" t="str">
        <f t="array" aca="1" ref="I37" ca="1">IF(
    VLOOKUP(
        $A37,
        _xlfn._xlws.FILTER(
            INDIRECT("'"&amp;I$1&amp;"'!A2:E1000"), (INDIRECT("'"&amp;I$1&amp;"'!B2:B1000")=$B37) * (INDIRECT("'"&amp;I$1&amp;"'!C2:C1000")=$C37)
        ),
        5,
        FALSE
    )=0,
    "",
    VLOOKUP(
        $A37,
        _xlfn._xlws.FILTER(
            INDIRECT("'"&amp;I$1&amp;"'!A2:E1000"), (INDIRECT("'"&amp;I$1&amp;"'!B2:B1000")=$B37) * (INDIRECT("'"&amp;I$1&amp;"'!C2:C1000")=$C37)
        ),
        5,
        FALSE
    )
)</f>
        <v>Sem Técnico</v>
      </c>
      <c r="J37" s="113" t="str">
        <f t="array" aca="1" ref="J37" ca="1">IF(
    VLOOKUP(
        $A37,
        _xlfn._xlws.FILTER(
            INDIRECT("'"&amp;J$1&amp;"'!A2:E1000"), (INDIRECT("'"&amp;J$1&amp;"'!B2:B1000")=$B37) * (INDIRECT("'"&amp;J$1&amp;"'!C2:C1000")=$C37)
        ),
        5,
        FALSE
    )=0,
    "",
    VLOOKUP(
        $A37,
        _xlfn._xlws.FILTER(
            INDIRECT("'"&amp;J$1&amp;"'!A2:E1000"), (INDIRECT("'"&amp;J$1&amp;"'!B2:B1000")=$B37) * (INDIRECT("'"&amp;J$1&amp;"'!C2:C1000")=$C37)
        ),
        5,
        FALSE
    )
)</f>
        <v>Sem Técnico</v>
      </c>
      <c r="K37" s="113" t="str">
        <f t="array" aca="1" ref="K37" ca="1">IF(
    VLOOKUP(
        $A37,
        _xlfn._xlws.FILTER(
            INDIRECT("'"&amp;K$1&amp;"'!A2:E1000"), (INDIRECT("'"&amp;K$1&amp;"'!B2:B1000")=$B37) * (INDIRECT("'"&amp;K$1&amp;"'!C2:C1000")=$C37)
        ),
        5,
        FALSE
    )=0,
    "",
    VLOOKUP(
        $A37,
        _xlfn._xlws.FILTER(
            INDIRECT("'"&amp;K$1&amp;"'!A2:E1000"), (INDIRECT("'"&amp;K$1&amp;"'!B2:B1000")=$B37) * (INDIRECT("'"&amp;K$1&amp;"'!C2:C1000")=$C37)
        ),
        5,
        FALSE
    )
)</f>
        <v>Sem Técnico</v>
      </c>
      <c r="L37" s="113" t="str">
        <f t="array" aca="1" ref="L37" ca="1">IF(
    VLOOKUP(
        $A37,
        _xlfn._xlws.FILTER(
            INDIRECT("'"&amp;L$1&amp;"'!A2:E1000"), (INDIRECT("'"&amp;L$1&amp;"'!B2:B1000")=$B37) * (INDIRECT("'"&amp;L$1&amp;"'!C2:C1000")=$C37)
        ),
        5,
        FALSE
    )=0,
    "",
    VLOOKUP(
        $A37,
        _xlfn._xlws.FILTER(
            INDIRECT("'"&amp;L$1&amp;"'!A2:E1000"), (INDIRECT("'"&amp;L$1&amp;"'!B2:B1000")=$B37) * (INDIRECT("'"&amp;L$1&amp;"'!C2:C1000")=$C37)
        ),
        5,
        FALSE
    )
)</f>
        <v>Sem Técnico</v>
      </c>
      <c r="M37" s="113" t="str">
        <f t="array" aca="1" ref="M37" ca="1">IF(
    VLOOKUP(
        $A37,
        _xlfn._xlws.FILTER(
            INDIRECT("'"&amp;M$1&amp;"'!A2:E1000"), (INDIRECT("'"&amp;M$1&amp;"'!B2:B1000")=$B37) * (INDIRECT("'"&amp;M$1&amp;"'!C2:C1000")=$C37)
        ),
        5,
        FALSE
    )=0,
    "",
    VLOOKUP(
        $A37,
        _xlfn._xlws.FILTER(
            INDIRECT("'"&amp;M$1&amp;"'!A2:E1000"), (INDIRECT("'"&amp;M$1&amp;"'!B2:B1000")=$B37) * (INDIRECT("'"&amp;M$1&amp;"'!C2:C1000")=$C37)
        ),
        5,
        FALSE
    )
)</f>
        <v>Sem Técnico</v>
      </c>
      <c r="N37" s="113" t="str">
        <f t="array" aca="1" ref="N37" ca="1">IF(
    VLOOKUP(
        $A37,
        _xlfn._xlws.FILTER(
            INDIRECT("'"&amp;N$1&amp;"'!A2:E1000"), (INDIRECT("'"&amp;N$1&amp;"'!B2:B1000")=$B37) * (INDIRECT("'"&amp;N$1&amp;"'!C2:C1000")=$C37)
        ),
        5,
        FALSE
    )=0,
    "",
    VLOOKUP(
        $A37,
        _xlfn._xlws.FILTER(
            INDIRECT("'"&amp;N$1&amp;"'!A2:E1000"), (INDIRECT("'"&amp;N$1&amp;"'!B2:B1000")=$B37) * (INDIRECT("'"&amp;N$1&amp;"'!C2:C1000")=$C37)
        ),
        5,
        FALSE
    )
)</f>
        <v>Sem Técnico</v>
      </c>
      <c r="O37" s="113" t="str">
        <f t="array" aca="1" ref="O37" ca="1">IF(
    VLOOKUP(
        $A37,
        _xlfn._xlws.FILTER(
            INDIRECT("'"&amp;O$1&amp;"'!A2:E1000"), (INDIRECT("'"&amp;O$1&amp;"'!B2:B1000")=$B37) * (INDIRECT("'"&amp;O$1&amp;"'!C2:C1000")=$C37)
        ),
        5,
        FALSE
    )=0,
    "",
    VLOOKUP(
        $A37,
        _xlfn._xlws.FILTER(
            INDIRECT("'"&amp;O$1&amp;"'!A2:E1000"), (INDIRECT("'"&amp;O$1&amp;"'!B2:B1000")=$B37) * (INDIRECT("'"&amp;O$1&amp;"'!C2:C1000")=$C37)
        ),
        5,
        FALSE
    )
)</f>
        <v>Sem Técnico</v>
      </c>
    </row>
    <row r="38" spans="1:15">
      <c r="A38" s="94" t="s">
        <v>39</v>
      </c>
      <c r="B38" s="112" t="s">
        <v>80</v>
      </c>
      <c r="C38" s="39">
        <v>1</v>
      </c>
      <c r="D38" s="113" t="str">
        <f t="array" aca="1" ref="D38" ca="1">IF(
    VLOOKUP(
        $A38,
        _xlfn._xlws.FILTER(
            INDIRECT("'"&amp;D$1&amp;"'!A2:E1000"), (INDIRECT("'"&amp;D$1&amp;"'!B2:B1000")=$B38) * (INDIRECT("'"&amp;D$1&amp;"'!C2:C1000")=$C38)
        ),
        5,
        FALSE
    )=0,
    "",
    VLOOKUP(
        $A38,
        _xlfn._xlws.FILTER(
            INDIRECT("'"&amp;D$1&amp;"'!A2:E1000"), (INDIRECT("'"&amp;D$1&amp;"'!B2:B1000")=$B38) * (INDIRECT("'"&amp;D$1&amp;"'!C2:C1000")=$C38)
        ),
        5,
        FALSE
    )
)</f>
        <v>Sem Técnico</v>
      </c>
      <c r="E38" s="113" t="str">
        <f t="array" aca="1" ref="E38" ca="1">IF(
    VLOOKUP(
        $A38,
        _xlfn._xlws.FILTER(
            INDIRECT("'"&amp;E$1&amp;"'!A2:E1000"), (INDIRECT("'"&amp;E$1&amp;"'!B2:B1000")=$B38) * (INDIRECT("'"&amp;E$1&amp;"'!C2:C1000")=$C38)
        ),
        5,
        FALSE
    )=0,
    "",
    VLOOKUP(
        $A38,
        _xlfn._xlws.FILTER(
            INDIRECT("'"&amp;E$1&amp;"'!A2:E1000"), (INDIRECT("'"&amp;E$1&amp;"'!B2:B1000")=$B38) * (INDIRECT("'"&amp;E$1&amp;"'!C2:C1000")=$C38)
        ),
        5,
        FALSE
    )
)</f>
        <v>Sem Técnico</v>
      </c>
      <c r="F38" s="113" t="str">
        <f t="array" aca="1" ref="F38" ca="1">IF(
    VLOOKUP(
        $A38,
        _xlfn._xlws.FILTER(
            INDIRECT("'"&amp;F$1&amp;"'!A2:E1000"), (INDIRECT("'"&amp;F$1&amp;"'!B2:B1000")=$B38) * (INDIRECT("'"&amp;F$1&amp;"'!C2:C1000")=$C38)
        ),
        5,
        FALSE
    )=0,
    "",
    VLOOKUP(
        $A38,
        _xlfn._xlws.FILTER(
            INDIRECT("'"&amp;F$1&amp;"'!A2:E1000"), (INDIRECT("'"&amp;F$1&amp;"'!B2:B1000")=$B38) * (INDIRECT("'"&amp;F$1&amp;"'!C2:C1000")=$C38)
        ),
        5,
        FALSE
    )
)</f>
        <v>Sem Técnico</v>
      </c>
      <c r="G38" s="113" t="str">
        <f t="array" aca="1" ref="G38" ca="1">IF(
    VLOOKUP(
        $A38,
        _xlfn._xlws.FILTER(
            INDIRECT("'"&amp;G$1&amp;"'!A2:E1000"), (INDIRECT("'"&amp;G$1&amp;"'!B2:B1000")=$B38) * (INDIRECT("'"&amp;G$1&amp;"'!C2:C1000")=$C38)
        ),
        5,
        FALSE
    )=0,
    "",
    VLOOKUP(
        $A38,
        _xlfn._xlws.FILTER(
            INDIRECT("'"&amp;G$1&amp;"'!A2:E1000"), (INDIRECT("'"&amp;G$1&amp;"'!B2:B1000")=$B38) * (INDIRECT("'"&amp;G$1&amp;"'!C2:C1000")=$C38)
        ),
        5,
        FALSE
    )
)</f>
        <v>Sem Técnico</v>
      </c>
      <c r="H38" s="113" t="str">
        <f t="array" aca="1" ref="H38" ca="1">IF(
    VLOOKUP(
        $A38,
        _xlfn._xlws.FILTER(
            INDIRECT("'"&amp;H$1&amp;"'!A2:E1000"), (INDIRECT("'"&amp;H$1&amp;"'!B2:B1000")=$B38) * (INDIRECT("'"&amp;H$1&amp;"'!C2:C1000")=$C38)
        ),
        5,
        FALSE
    )=0,
    "",
    VLOOKUP(
        $A38,
        _xlfn._xlws.FILTER(
            INDIRECT("'"&amp;H$1&amp;"'!A2:E1000"), (INDIRECT("'"&amp;H$1&amp;"'!B2:B1000")=$B38) * (INDIRECT("'"&amp;H$1&amp;"'!C2:C1000")=$C38)
        ),
        5,
        FALSE
    )
)</f>
        <v>Sem Técnico</v>
      </c>
      <c r="I38" s="113" t="str">
        <f t="array" aca="1" ref="I38" ca="1">IF(
    VLOOKUP(
        $A38,
        _xlfn._xlws.FILTER(
            INDIRECT("'"&amp;I$1&amp;"'!A2:E1000"), (INDIRECT("'"&amp;I$1&amp;"'!B2:B1000")=$B38) * (INDIRECT("'"&amp;I$1&amp;"'!C2:C1000")=$C38)
        ),
        5,
        FALSE
    )=0,
    "",
    VLOOKUP(
        $A38,
        _xlfn._xlws.FILTER(
            INDIRECT("'"&amp;I$1&amp;"'!A2:E1000"), (INDIRECT("'"&amp;I$1&amp;"'!B2:B1000")=$B38) * (INDIRECT("'"&amp;I$1&amp;"'!C2:C1000")=$C38)
        ),
        5,
        FALSE
    )
)</f>
        <v>Sem Técnico</v>
      </c>
      <c r="J38" s="113" t="str">
        <f t="array" aca="1" ref="J38" ca="1">IF(
    VLOOKUP(
        $A38,
        _xlfn._xlws.FILTER(
            INDIRECT("'"&amp;J$1&amp;"'!A2:E1000"), (INDIRECT("'"&amp;J$1&amp;"'!B2:B1000")=$B38) * (INDIRECT("'"&amp;J$1&amp;"'!C2:C1000")=$C38)
        ),
        5,
        FALSE
    )=0,
    "",
    VLOOKUP(
        $A38,
        _xlfn._xlws.FILTER(
            INDIRECT("'"&amp;J$1&amp;"'!A2:E1000"), (INDIRECT("'"&amp;J$1&amp;"'!B2:B1000")=$B38) * (INDIRECT("'"&amp;J$1&amp;"'!C2:C1000")=$C38)
        ),
        5,
        FALSE
    )
)</f>
        <v>Sem Técnico</v>
      </c>
      <c r="K38" s="113" t="str">
        <f t="array" aca="1" ref="K38" ca="1">IF(
    VLOOKUP(
        $A38,
        _xlfn._xlws.FILTER(
            INDIRECT("'"&amp;K$1&amp;"'!A2:E1000"), (INDIRECT("'"&amp;K$1&amp;"'!B2:B1000")=$B38) * (INDIRECT("'"&amp;K$1&amp;"'!C2:C1000")=$C38)
        ),
        5,
        FALSE
    )=0,
    "",
    VLOOKUP(
        $A38,
        _xlfn._xlws.FILTER(
            INDIRECT("'"&amp;K$1&amp;"'!A2:E1000"), (INDIRECT("'"&amp;K$1&amp;"'!B2:B1000")=$B38) * (INDIRECT("'"&amp;K$1&amp;"'!C2:C1000")=$C38)
        ),
        5,
        FALSE
    )
)</f>
        <v>Sem Técnico</v>
      </c>
      <c r="L38" s="113" t="str">
        <f t="array" aca="1" ref="L38" ca="1">IF(
    VLOOKUP(
        $A38,
        _xlfn._xlws.FILTER(
            INDIRECT("'"&amp;L$1&amp;"'!A2:E1000"), (INDIRECT("'"&amp;L$1&amp;"'!B2:B1000")=$B38) * (INDIRECT("'"&amp;L$1&amp;"'!C2:C1000")=$C38)
        ),
        5,
        FALSE
    )=0,
    "",
    VLOOKUP(
        $A38,
        _xlfn._xlws.FILTER(
            INDIRECT("'"&amp;L$1&amp;"'!A2:E1000"), (INDIRECT("'"&amp;L$1&amp;"'!B2:B1000")=$B38) * (INDIRECT("'"&amp;L$1&amp;"'!C2:C1000")=$C38)
        ),
        5,
        FALSE
    )
)</f>
        <v>Sem Técnico</v>
      </c>
      <c r="M38" s="113" t="str">
        <f t="array" aca="1" ref="M38" ca="1">IF(
    VLOOKUP(
        $A38,
        _xlfn._xlws.FILTER(
            INDIRECT("'"&amp;M$1&amp;"'!A2:E1000"), (INDIRECT("'"&amp;M$1&amp;"'!B2:B1000")=$B38) * (INDIRECT("'"&amp;M$1&amp;"'!C2:C1000")=$C38)
        ),
        5,
        FALSE
    )=0,
    "",
    VLOOKUP(
        $A38,
        _xlfn._xlws.FILTER(
            INDIRECT("'"&amp;M$1&amp;"'!A2:E1000"), (INDIRECT("'"&amp;M$1&amp;"'!B2:B1000")=$B38) * (INDIRECT("'"&amp;M$1&amp;"'!C2:C1000")=$C38)
        ),
        5,
        FALSE
    )
)</f>
        <v>Sem Técnico</v>
      </c>
      <c r="N38" s="113" t="str">
        <f t="array" aca="1" ref="N38" ca="1">IF(
    VLOOKUP(
        $A38,
        _xlfn._xlws.FILTER(
            INDIRECT("'"&amp;N$1&amp;"'!A2:E1000"), (INDIRECT("'"&amp;N$1&amp;"'!B2:B1000")=$B38) * (INDIRECT("'"&amp;N$1&amp;"'!C2:C1000")=$C38)
        ),
        5,
        FALSE
    )=0,
    "",
    VLOOKUP(
        $A38,
        _xlfn._xlws.FILTER(
            INDIRECT("'"&amp;N$1&amp;"'!A2:E1000"), (INDIRECT("'"&amp;N$1&amp;"'!B2:B1000")=$B38) * (INDIRECT("'"&amp;N$1&amp;"'!C2:C1000")=$C38)
        ),
        5,
        FALSE
    )
)</f>
        <v>Sem Técnico</v>
      </c>
      <c r="O38" s="113" t="str">
        <f t="array" aca="1" ref="O38" ca="1">IF(
    VLOOKUP(
        $A38,
        _xlfn._xlws.FILTER(
            INDIRECT("'"&amp;O$1&amp;"'!A2:E1000"), (INDIRECT("'"&amp;O$1&amp;"'!B2:B1000")=$B38) * (INDIRECT("'"&amp;O$1&amp;"'!C2:C1000")=$C38)
        ),
        5,
        FALSE
    )=0,
    "",
    VLOOKUP(
        $A38,
        _xlfn._xlws.FILTER(
            INDIRECT("'"&amp;O$1&amp;"'!A2:E1000"), (INDIRECT("'"&amp;O$1&amp;"'!B2:B1000")=$B38) * (INDIRECT("'"&amp;O$1&amp;"'!C2:C1000")=$C38)
        ),
        5,
        FALSE
    )
)</f>
        <v>Sem Técnico</v>
      </c>
    </row>
    <row r="39" spans="1:15">
      <c r="A39" s="94" t="s">
        <v>39</v>
      </c>
      <c r="B39" s="112" t="s">
        <v>81</v>
      </c>
      <c r="C39" s="39">
        <v>1</v>
      </c>
      <c r="D39" s="113" t="str">
        <f t="array" aca="1" ref="D39" ca="1">IF(
    VLOOKUP(
        $A39,
        _xlfn._xlws.FILTER(
            INDIRECT("'"&amp;D$1&amp;"'!A2:E1000"), (INDIRECT("'"&amp;D$1&amp;"'!B2:B1000")=$B39) * (INDIRECT("'"&amp;D$1&amp;"'!C2:C1000")=$C39)
        ),
        5,
        FALSE
    )=0,
    "",
    VLOOKUP(
        $A39,
        _xlfn._xlws.FILTER(
            INDIRECT("'"&amp;D$1&amp;"'!A2:E1000"), (INDIRECT("'"&amp;D$1&amp;"'!B2:B1000")=$B39) * (INDIRECT("'"&amp;D$1&amp;"'!C2:C1000")=$C39)
        ),
        5,
        FALSE
    )
)</f>
        <v>Sem Técnico</v>
      </c>
      <c r="E39" s="113" t="str">
        <f t="array" aca="1" ref="E39" ca="1">IF(
    VLOOKUP(
        $A39,
        _xlfn._xlws.FILTER(
            INDIRECT("'"&amp;E$1&amp;"'!A2:E1000"), (INDIRECT("'"&amp;E$1&amp;"'!B2:B1000")=$B39) * (INDIRECT("'"&amp;E$1&amp;"'!C2:C1000")=$C39)
        ),
        5,
        FALSE
    )=0,
    "",
    VLOOKUP(
        $A39,
        _xlfn._xlws.FILTER(
            INDIRECT("'"&amp;E$1&amp;"'!A2:E1000"), (INDIRECT("'"&amp;E$1&amp;"'!B2:B1000")=$B39) * (INDIRECT("'"&amp;E$1&amp;"'!C2:C1000")=$C39)
        ),
        5,
        FALSE
    )
)</f>
        <v>Sem Técnico</v>
      </c>
      <c r="F39" s="113" t="str">
        <f t="array" aca="1" ref="F39" ca="1">IF(
    VLOOKUP(
        $A39,
        _xlfn._xlws.FILTER(
            INDIRECT("'"&amp;F$1&amp;"'!A2:E1000"), (INDIRECT("'"&amp;F$1&amp;"'!B2:B1000")=$B39) * (INDIRECT("'"&amp;F$1&amp;"'!C2:C1000")=$C39)
        ),
        5,
        FALSE
    )=0,
    "",
    VLOOKUP(
        $A39,
        _xlfn._xlws.FILTER(
            INDIRECT("'"&amp;F$1&amp;"'!A2:E1000"), (INDIRECT("'"&amp;F$1&amp;"'!B2:B1000")=$B39) * (INDIRECT("'"&amp;F$1&amp;"'!C2:C1000")=$C39)
        ),
        5,
        FALSE
    )
)</f>
        <v>Sem Técnico</v>
      </c>
      <c r="G39" s="113" t="str">
        <f t="array" aca="1" ref="G39" ca="1">IF(
    VLOOKUP(
        $A39,
        _xlfn._xlws.FILTER(
            INDIRECT("'"&amp;G$1&amp;"'!A2:E1000"), (INDIRECT("'"&amp;G$1&amp;"'!B2:B1000")=$B39) * (INDIRECT("'"&amp;G$1&amp;"'!C2:C1000")=$C39)
        ),
        5,
        FALSE
    )=0,
    "",
    VLOOKUP(
        $A39,
        _xlfn._xlws.FILTER(
            INDIRECT("'"&amp;G$1&amp;"'!A2:E1000"), (INDIRECT("'"&amp;G$1&amp;"'!B2:B1000")=$B39) * (INDIRECT("'"&amp;G$1&amp;"'!C2:C1000")=$C39)
        ),
        5,
        FALSE
    )
)</f>
        <v>Sem Técnico</v>
      </c>
      <c r="H39" s="113" t="str">
        <f t="array" aca="1" ref="H39" ca="1">IF(
    VLOOKUP(
        $A39,
        _xlfn._xlws.FILTER(
            INDIRECT("'"&amp;H$1&amp;"'!A2:E1000"), (INDIRECT("'"&amp;H$1&amp;"'!B2:B1000")=$B39) * (INDIRECT("'"&amp;H$1&amp;"'!C2:C1000")=$C39)
        ),
        5,
        FALSE
    )=0,
    "",
    VLOOKUP(
        $A39,
        _xlfn._xlws.FILTER(
            INDIRECT("'"&amp;H$1&amp;"'!A2:E1000"), (INDIRECT("'"&amp;H$1&amp;"'!B2:B1000")=$B39) * (INDIRECT("'"&amp;H$1&amp;"'!C2:C1000")=$C39)
        ),
        5,
        FALSE
    )
)</f>
        <v>Sem Técnico</v>
      </c>
      <c r="I39" s="113" t="str">
        <f t="array" aca="1" ref="I39" ca="1">IF(
    VLOOKUP(
        $A39,
        _xlfn._xlws.FILTER(
            INDIRECT("'"&amp;I$1&amp;"'!A2:E1000"), (INDIRECT("'"&amp;I$1&amp;"'!B2:B1000")=$B39) * (INDIRECT("'"&amp;I$1&amp;"'!C2:C1000")=$C39)
        ),
        5,
        FALSE
    )=0,
    "",
    VLOOKUP(
        $A39,
        _xlfn._xlws.FILTER(
            INDIRECT("'"&amp;I$1&amp;"'!A2:E1000"), (INDIRECT("'"&amp;I$1&amp;"'!B2:B1000")=$B39) * (INDIRECT("'"&amp;I$1&amp;"'!C2:C1000")=$C39)
        ),
        5,
        FALSE
    )
)</f>
        <v>Sem Técnico</v>
      </c>
      <c r="J39" s="113" t="str">
        <f t="array" aca="1" ref="J39" ca="1">IF(
    VLOOKUP(
        $A39,
        _xlfn._xlws.FILTER(
            INDIRECT("'"&amp;J$1&amp;"'!A2:E1000"), (INDIRECT("'"&amp;J$1&amp;"'!B2:B1000")=$B39) * (INDIRECT("'"&amp;J$1&amp;"'!C2:C1000")=$C39)
        ),
        5,
        FALSE
    )=0,
    "",
    VLOOKUP(
        $A39,
        _xlfn._xlws.FILTER(
            INDIRECT("'"&amp;J$1&amp;"'!A2:E1000"), (INDIRECT("'"&amp;J$1&amp;"'!B2:B1000")=$B39) * (INDIRECT("'"&amp;J$1&amp;"'!C2:C1000")=$C39)
        ),
        5,
        FALSE
    )
)</f>
        <v>Sem Técnico</v>
      </c>
      <c r="K39" s="113" t="str">
        <f t="array" aca="1" ref="K39" ca="1">IF(
    VLOOKUP(
        $A39,
        _xlfn._xlws.FILTER(
            INDIRECT("'"&amp;K$1&amp;"'!A2:E1000"), (INDIRECT("'"&amp;K$1&amp;"'!B2:B1000")=$B39) * (INDIRECT("'"&amp;K$1&amp;"'!C2:C1000")=$C39)
        ),
        5,
        FALSE
    )=0,
    "",
    VLOOKUP(
        $A39,
        _xlfn._xlws.FILTER(
            INDIRECT("'"&amp;K$1&amp;"'!A2:E1000"), (INDIRECT("'"&amp;K$1&amp;"'!B2:B1000")=$B39) * (INDIRECT("'"&amp;K$1&amp;"'!C2:C1000")=$C39)
        ),
        5,
        FALSE
    )
)</f>
        <v>Sem Técnico</v>
      </c>
      <c r="L39" s="113" t="str">
        <f t="array" aca="1" ref="L39" ca="1">IF(
    VLOOKUP(
        $A39,
        _xlfn._xlws.FILTER(
            INDIRECT("'"&amp;L$1&amp;"'!A2:E1000"), (INDIRECT("'"&amp;L$1&amp;"'!B2:B1000")=$B39) * (INDIRECT("'"&amp;L$1&amp;"'!C2:C1000")=$C39)
        ),
        5,
        FALSE
    )=0,
    "",
    VLOOKUP(
        $A39,
        _xlfn._xlws.FILTER(
            INDIRECT("'"&amp;L$1&amp;"'!A2:E1000"), (INDIRECT("'"&amp;L$1&amp;"'!B2:B1000")=$B39) * (INDIRECT("'"&amp;L$1&amp;"'!C2:C1000")=$C39)
        ),
        5,
        FALSE
    )
)</f>
        <v>Sem Técnico</v>
      </c>
      <c r="M39" s="113" t="str">
        <f t="array" aca="1" ref="M39" ca="1">IF(
    VLOOKUP(
        $A39,
        _xlfn._xlws.FILTER(
            INDIRECT("'"&amp;M$1&amp;"'!A2:E1000"), (INDIRECT("'"&amp;M$1&amp;"'!B2:B1000")=$B39) * (INDIRECT("'"&amp;M$1&amp;"'!C2:C1000")=$C39)
        ),
        5,
        FALSE
    )=0,
    "",
    VLOOKUP(
        $A39,
        _xlfn._xlws.FILTER(
            INDIRECT("'"&amp;M$1&amp;"'!A2:E1000"), (INDIRECT("'"&amp;M$1&amp;"'!B2:B1000")=$B39) * (INDIRECT("'"&amp;M$1&amp;"'!C2:C1000")=$C39)
        ),
        5,
        FALSE
    )
)</f>
        <v>Sem Técnico</v>
      </c>
      <c r="N39" s="113" t="str">
        <f t="array" aca="1" ref="N39" ca="1">IF(
    VLOOKUP(
        $A39,
        _xlfn._xlws.FILTER(
            INDIRECT("'"&amp;N$1&amp;"'!A2:E1000"), (INDIRECT("'"&amp;N$1&amp;"'!B2:B1000")=$B39) * (INDIRECT("'"&amp;N$1&amp;"'!C2:C1000")=$C39)
        ),
        5,
        FALSE
    )=0,
    "",
    VLOOKUP(
        $A39,
        _xlfn._xlws.FILTER(
            INDIRECT("'"&amp;N$1&amp;"'!A2:E1000"), (INDIRECT("'"&amp;N$1&amp;"'!B2:B1000")=$B39) * (INDIRECT("'"&amp;N$1&amp;"'!C2:C1000")=$C39)
        ),
        5,
        FALSE
    )
)</f>
        <v>Sem Técnico</v>
      </c>
      <c r="O39" s="113" t="str">
        <f t="array" aca="1" ref="O39" ca="1">IF(
    VLOOKUP(
        $A39,
        _xlfn._xlws.FILTER(
            INDIRECT("'"&amp;O$1&amp;"'!A2:E1000"), (INDIRECT("'"&amp;O$1&amp;"'!B2:B1000")=$B39) * (INDIRECT("'"&amp;O$1&amp;"'!C2:C1000")=$C39)
        ),
        5,
        FALSE
    )=0,
    "",
    VLOOKUP(
        $A39,
        _xlfn._xlws.FILTER(
            INDIRECT("'"&amp;O$1&amp;"'!A2:E1000"), (INDIRECT("'"&amp;O$1&amp;"'!B2:B1000")=$B39) * (INDIRECT("'"&amp;O$1&amp;"'!C2:C1000")=$C39)
        ),
        5,
        FALSE
    )
)</f>
        <v>Sem Técnico</v>
      </c>
    </row>
    <row r="40" spans="1:15">
      <c r="A40" s="94" t="s">
        <v>39</v>
      </c>
      <c r="B40" s="112" t="s">
        <v>82</v>
      </c>
      <c r="C40" s="39">
        <v>1</v>
      </c>
      <c r="D40" s="113" t="str">
        <f t="array" aca="1" ref="D40" ca="1">IF(
    VLOOKUP(
        $A40,
        _xlfn._xlws.FILTER(
            INDIRECT("'"&amp;D$1&amp;"'!A2:E1000"), (INDIRECT("'"&amp;D$1&amp;"'!B2:B1000")=$B40) * (INDIRECT("'"&amp;D$1&amp;"'!C2:C1000")=$C40)
        ),
        5,
        FALSE
    )=0,
    "",
    VLOOKUP(
        $A40,
        _xlfn._xlws.FILTER(
            INDIRECT("'"&amp;D$1&amp;"'!A2:E1000"), (INDIRECT("'"&amp;D$1&amp;"'!B2:B1000")=$B40) * (INDIRECT("'"&amp;D$1&amp;"'!C2:C1000")=$C40)
        ),
        5,
        FALSE
    )
)</f>
        <v>Sem Técnico</v>
      </c>
      <c r="E40" s="113" t="str">
        <f t="array" aca="1" ref="E40" ca="1">IF(
    VLOOKUP(
        $A40,
        _xlfn._xlws.FILTER(
            INDIRECT("'"&amp;E$1&amp;"'!A2:E1000"), (INDIRECT("'"&amp;E$1&amp;"'!B2:B1000")=$B40) * (INDIRECT("'"&amp;E$1&amp;"'!C2:C1000")=$C40)
        ),
        5,
        FALSE
    )=0,
    "",
    VLOOKUP(
        $A40,
        _xlfn._xlws.FILTER(
            INDIRECT("'"&amp;E$1&amp;"'!A2:E1000"), (INDIRECT("'"&amp;E$1&amp;"'!B2:B1000")=$B40) * (INDIRECT("'"&amp;E$1&amp;"'!C2:C1000")=$C40)
        ),
        5,
        FALSE
    )
)</f>
        <v>Sem Técnico</v>
      </c>
      <c r="F40" s="113" t="str">
        <f t="array" aca="1" ref="F40" ca="1">IF(
    VLOOKUP(
        $A40,
        _xlfn._xlws.FILTER(
            INDIRECT("'"&amp;F$1&amp;"'!A2:E1000"), (INDIRECT("'"&amp;F$1&amp;"'!B2:B1000")=$B40) * (INDIRECT("'"&amp;F$1&amp;"'!C2:C1000")=$C40)
        ),
        5,
        FALSE
    )=0,
    "",
    VLOOKUP(
        $A40,
        _xlfn._xlws.FILTER(
            INDIRECT("'"&amp;F$1&amp;"'!A2:E1000"), (INDIRECT("'"&amp;F$1&amp;"'!B2:B1000")=$B40) * (INDIRECT("'"&amp;F$1&amp;"'!C2:C1000")=$C40)
        ),
        5,
        FALSE
    )
)</f>
        <v>Sem Técnico</v>
      </c>
      <c r="G40" s="113" t="str">
        <f t="array" aca="1" ref="G40" ca="1">IF(
    VLOOKUP(
        $A40,
        _xlfn._xlws.FILTER(
            INDIRECT("'"&amp;G$1&amp;"'!A2:E1000"), (INDIRECT("'"&amp;G$1&amp;"'!B2:B1000")=$B40) * (INDIRECT("'"&amp;G$1&amp;"'!C2:C1000")=$C40)
        ),
        5,
        FALSE
    )=0,
    "",
    VLOOKUP(
        $A40,
        _xlfn._xlws.FILTER(
            INDIRECT("'"&amp;G$1&amp;"'!A2:E1000"), (INDIRECT("'"&amp;G$1&amp;"'!B2:B1000")=$B40) * (INDIRECT("'"&amp;G$1&amp;"'!C2:C1000")=$C40)
        ),
        5,
        FALSE
    )
)</f>
        <v>Sem Técnico</v>
      </c>
      <c r="H40" s="113" t="str">
        <f t="array" aca="1" ref="H40" ca="1">IF(
    VLOOKUP(
        $A40,
        _xlfn._xlws.FILTER(
            INDIRECT("'"&amp;H$1&amp;"'!A2:E1000"), (INDIRECT("'"&amp;H$1&amp;"'!B2:B1000")=$B40) * (INDIRECT("'"&amp;H$1&amp;"'!C2:C1000")=$C40)
        ),
        5,
        FALSE
    )=0,
    "",
    VLOOKUP(
        $A40,
        _xlfn._xlws.FILTER(
            INDIRECT("'"&amp;H$1&amp;"'!A2:E1000"), (INDIRECT("'"&amp;H$1&amp;"'!B2:B1000")=$B40) * (INDIRECT("'"&amp;H$1&amp;"'!C2:C1000")=$C40)
        ),
        5,
        FALSE
    )
)</f>
        <v>Sem Técnico</v>
      </c>
      <c r="I40" s="113" t="str">
        <f t="array" aca="1" ref="I40" ca="1">IF(
    VLOOKUP(
        $A40,
        _xlfn._xlws.FILTER(
            INDIRECT("'"&amp;I$1&amp;"'!A2:E1000"), (INDIRECT("'"&amp;I$1&amp;"'!B2:B1000")=$B40) * (INDIRECT("'"&amp;I$1&amp;"'!C2:C1000")=$C40)
        ),
        5,
        FALSE
    )=0,
    "",
    VLOOKUP(
        $A40,
        _xlfn._xlws.FILTER(
            INDIRECT("'"&amp;I$1&amp;"'!A2:E1000"), (INDIRECT("'"&amp;I$1&amp;"'!B2:B1000")=$B40) * (INDIRECT("'"&amp;I$1&amp;"'!C2:C1000")=$C40)
        ),
        5,
        FALSE
    )
)</f>
        <v>Sem Técnico</v>
      </c>
      <c r="J40" s="113" t="str">
        <f t="array" aca="1" ref="J40" ca="1">IF(
    VLOOKUP(
        $A40,
        _xlfn._xlws.FILTER(
            INDIRECT("'"&amp;J$1&amp;"'!A2:E1000"), (INDIRECT("'"&amp;J$1&amp;"'!B2:B1000")=$B40) * (INDIRECT("'"&amp;J$1&amp;"'!C2:C1000")=$C40)
        ),
        5,
        FALSE
    )=0,
    "",
    VLOOKUP(
        $A40,
        _xlfn._xlws.FILTER(
            INDIRECT("'"&amp;J$1&amp;"'!A2:E1000"), (INDIRECT("'"&amp;J$1&amp;"'!B2:B1000")=$B40) * (INDIRECT("'"&amp;J$1&amp;"'!C2:C1000")=$C40)
        ),
        5,
        FALSE
    )
)</f>
        <v>Sem Técnico</v>
      </c>
      <c r="K40" s="113" t="str">
        <f t="array" aca="1" ref="K40" ca="1">IF(
    VLOOKUP(
        $A40,
        _xlfn._xlws.FILTER(
            INDIRECT("'"&amp;K$1&amp;"'!A2:E1000"), (INDIRECT("'"&amp;K$1&amp;"'!B2:B1000")=$B40) * (INDIRECT("'"&amp;K$1&amp;"'!C2:C1000")=$C40)
        ),
        5,
        FALSE
    )=0,
    "",
    VLOOKUP(
        $A40,
        _xlfn._xlws.FILTER(
            INDIRECT("'"&amp;K$1&amp;"'!A2:E1000"), (INDIRECT("'"&amp;K$1&amp;"'!B2:B1000")=$B40) * (INDIRECT("'"&amp;K$1&amp;"'!C2:C1000")=$C40)
        ),
        5,
        FALSE
    )
)</f>
        <v>Sem Técnico</v>
      </c>
      <c r="L40" s="113" t="str">
        <f t="array" aca="1" ref="L40" ca="1">IF(
    VLOOKUP(
        $A40,
        _xlfn._xlws.FILTER(
            INDIRECT("'"&amp;L$1&amp;"'!A2:E1000"), (INDIRECT("'"&amp;L$1&amp;"'!B2:B1000")=$B40) * (INDIRECT("'"&amp;L$1&amp;"'!C2:C1000")=$C40)
        ),
        5,
        FALSE
    )=0,
    "",
    VLOOKUP(
        $A40,
        _xlfn._xlws.FILTER(
            INDIRECT("'"&amp;L$1&amp;"'!A2:E1000"), (INDIRECT("'"&amp;L$1&amp;"'!B2:B1000")=$B40) * (INDIRECT("'"&amp;L$1&amp;"'!C2:C1000")=$C40)
        ),
        5,
        FALSE
    )
)</f>
        <v>Sem Técnico</v>
      </c>
      <c r="M40" s="113" t="str">
        <f t="array" aca="1" ref="M40" ca="1">IF(
    VLOOKUP(
        $A40,
        _xlfn._xlws.FILTER(
            INDIRECT("'"&amp;M$1&amp;"'!A2:E1000"), (INDIRECT("'"&amp;M$1&amp;"'!B2:B1000")=$B40) * (INDIRECT("'"&amp;M$1&amp;"'!C2:C1000")=$C40)
        ),
        5,
        FALSE
    )=0,
    "",
    VLOOKUP(
        $A40,
        _xlfn._xlws.FILTER(
            INDIRECT("'"&amp;M$1&amp;"'!A2:E1000"), (INDIRECT("'"&amp;M$1&amp;"'!B2:B1000")=$B40) * (INDIRECT("'"&amp;M$1&amp;"'!C2:C1000")=$C40)
        ),
        5,
        FALSE
    )
)</f>
        <v>Sem Técnico</v>
      </c>
      <c r="N40" s="113" t="str">
        <f t="array" aca="1" ref="N40" ca="1">IF(
    VLOOKUP(
        $A40,
        _xlfn._xlws.FILTER(
            INDIRECT("'"&amp;N$1&amp;"'!A2:E1000"), (INDIRECT("'"&amp;N$1&amp;"'!B2:B1000")=$B40) * (INDIRECT("'"&amp;N$1&amp;"'!C2:C1000")=$C40)
        ),
        5,
        FALSE
    )=0,
    "",
    VLOOKUP(
        $A40,
        _xlfn._xlws.FILTER(
            INDIRECT("'"&amp;N$1&amp;"'!A2:E1000"), (INDIRECT("'"&amp;N$1&amp;"'!B2:B1000")=$B40) * (INDIRECT("'"&amp;N$1&amp;"'!C2:C1000")=$C40)
        ),
        5,
        FALSE
    )
)</f>
        <v>Sem Técnico</v>
      </c>
      <c r="O40" s="113" t="str">
        <f t="array" aca="1" ref="O40" ca="1">IF(
    VLOOKUP(
        $A40,
        _xlfn._xlws.FILTER(
            INDIRECT("'"&amp;O$1&amp;"'!A2:E1000"), (INDIRECT("'"&amp;O$1&amp;"'!B2:B1000")=$B40) * (INDIRECT("'"&amp;O$1&amp;"'!C2:C1000")=$C40)
        ),
        5,
        FALSE
    )=0,
    "",
    VLOOKUP(
        $A40,
        _xlfn._xlws.FILTER(
            INDIRECT("'"&amp;O$1&amp;"'!A2:E1000"), (INDIRECT("'"&amp;O$1&amp;"'!B2:B1000")=$B40) * (INDIRECT("'"&amp;O$1&amp;"'!C2:C1000")=$C40)
        ),
        5,
        FALSE
    )
)</f>
        <v>Sem Técnico</v>
      </c>
    </row>
    <row r="41" spans="1:15">
      <c r="B41" s="35"/>
    </row>
    <row r="42" spans="1:15" ht="15.75" customHeight="1">
      <c r="A42" s="34" t="s">
        <v>25</v>
      </c>
      <c r="B42" s="34" t="s">
        <v>48</v>
      </c>
      <c r="C42" s="34" t="s">
        <v>49</v>
      </c>
      <c r="D42" s="110" t="s">
        <v>1</v>
      </c>
      <c r="E42" s="110" t="s">
        <v>2</v>
      </c>
      <c r="F42" s="110" t="s">
        <v>3</v>
      </c>
      <c r="G42" s="110" t="s">
        <v>4</v>
      </c>
      <c r="H42" s="110" t="s">
        <v>5</v>
      </c>
      <c r="I42" s="110" t="s">
        <v>6</v>
      </c>
      <c r="J42" s="111" t="s">
        <v>7</v>
      </c>
      <c r="K42" s="111" t="s">
        <v>8</v>
      </c>
      <c r="L42" s="111" t="s">
        <v>9</v>
      </c>
      <c r="M42" s="111" t="s">
        <v>10</v>
      </c>
      <c r="N42" s="111" t="s">
        <v>11</v>
      </c>
      <c r="O42" s="111" t="s">
        <v>12</v>
      </c>
    </row>
    <row r="43" spans="1:15">
      <c r="A43" s="96" t="s">
        <v>26</v>
      </c>
      <c r="B43" s="112" t="s">
        <v>83</v>
      </c>
      <c r="C43" s="39">
        <v>1</v>
      </c>
      <c r="D43" s="113" t="str">
        <f t="array" aca="1" ref="D43" ca="1">IF(
    VLOOKUP(
        $A43,
        _xlfn._xlws.FILTER(
            INDIRECT("'"&amp;D$1&amp;"'!A2:E1000"), (INDIRECT("'"&amp;D$1&amp;"'!B2:B1000")=$B43) * (INDIRECT("'"&amp;D$1&amp;"'!C2:C1000")=$C43)
        ),
        5,
        FALSE
    )=0,
    "",
    VLOOKUP(
        $A43,
        _xlfn._xlws.FILTER(
            INDIRECT("'"&amp;D$1&amp;"'!A2:E1000"), (INDIRECT("'"&amp;D$1&amp;"'!B2:B1000")=$B43) * (INDIRECT("'"&amp;D$1&amp;"'!C2:C1000")=$C43)
        ),
        5,
        FALSE
    )
)</f>
        <v>Sem Técnico</v>
      </c>
      <c r="E43" s="113" t="str">
        <f t="array" aca="1" ref="E43" ca="1">IF(
    VLOOKUP(
        $A43,
        _xlfn._xlws.FILTER(
            INDIRECT("'"&amp;E$1&amp;"'!A2:E1000"), (INDIRECT("'"&amp;E$1&amp;"'!B2:B1000")=$B43) * (INDIRECT("'"&amp;E$1&amp;"'!C2:C1000")=$C43)
        ),
        5,
        FALSE
    )=0,
    "",
    VLOOKUP(
        $A43,
        _xlfn._xlws.FILTER(
            INDIRECT("'"&amp;E$1&amp;"'!A2:E1000"), (INDIRECT("'"&amp;E$1&amp;"'!B2:B1000")=$B43) * (INDIRECT("'"&amp;E$1&amp;"'!C2:C1000")=$C43)
        ),
        5,
        FALSE
    )
)</f>
        <v>Sem Técnico</v>
      </c>
      <c r="F43" s="113" t="str">
        <f t="array" aca="1" ref="F43" ca="1">IF(
    VLOOKUP(
        $A43,
        _xlfn._xlws.FILTER(
            INDIRECT("'"&amp;F$1&amp;"'!A2:E1000"), (INDIRECT("'"&amp;F$1&amp;"'!B2:B1000")=$B43) * (INDIRECT("'"&amp;F$1&amp;"'!C2:C1000")=$C43)
        ),
        5,
        FALSE
    )=0,
    "",
    VLOOKUP(
        $A43,
        _xlfn._xlws.FILTER(
            INDIRECT("'"&amp;F$1&amp;"'!A2:E1000"), (INDIRECT("'"&amp;F$1&amp;"'!B2:B1000")=$B43) * (INDIRECT("'"&amp;F$1&amp;"'!C2:C1000")=$C43)
        ),
        5,
        FALSE
    )
)</f>
        <v>Sem Técnico</v>
      </c>
      <c r="G43" s="113" t="str">
        <f t="array" aca="1" ref="G43" ca="1">IF(
    VLOOKUP(
        $A43,
        _xlfn._xlws.FILTER(
            INDIRECT("'"&amp;G$1&amp;"'!A2:E1000"), (INDIRECT("'"&amp;G$1&amp;"'!B2:B1000")=$B43) * (INDIRECT("'"&amp;G$1&amp;"'!C2:C1000")=$C43)
        ),
        5,
        FALSE
    )=0,
    "",
    VLOOKUP(
        $A43,
        _xlfn._xlws.FILTER(
            INDIRECT("'"&amp;G$1&amp;"'!A2:E1000"), (INDIRECT("'"&amp;G$1&amp;"'!B2:B1000")=$B43) * (INDIRECT("'"&amp;G$1&amp;"'!C2:C1000")=$C43)
        ),
        5,
        FALSE
    )
)</f>
        <v>Sem Técnico</v>
      </c>
      <c r="H43" s="113" t="str">
        <f t="array" aca="1" ref="H43" ca="1">IF(
    VLOOKUP(
        $A43,
        _xlfn._xlws.FILTER(
            INDIRECT("'"&amp;H$1&amp;"'!A2:E1000"), (INDIRECT("'"&amp;H$1&amp;"'!B2:B1000")=$B43) * (INDIRECT("'"&amp;H$1&amp;"'!C2:C1000")=$C43)
        ),
        5,
        FALSE
    )=0,
    "",
    VLOOKUP(
        $A43,
        _xlfn._xlws.FILTER(
            INDIRECT("'"&amp;H$1&amp;"'!A2:E1000"), (INDIRECT("'"&amp;H$1&amp;"'!B2:B1000")=$B43) * (INDIRECT("'"&amp;H$1&amp;"'!C2:C1000")=$C43)
        ),
        5,
        FALSE
    )
)</f>
        <v>Sem Técnico</v>
      </c>
      <c r="I43" s="113" t="str">
        <f t="array" aca="1" ref="I43" ca="1">IF(
    VLOOKUP(
        $A43,
        _xlfn._xlws.FILTER(
            INDIRECT("'"&amp;I$1&amp;"'!A2:E1000"), (INDIRECT("'"&amp;I$1&amp;"'!B2:B1000")=$B43) * (INDIRECT("'"&amp;I$1&amp;"'!C2:C1000")=$C43)
        ),
        5,
        FALSE
    )=0,
    "",
    VLOOKUP(
        $A43,
        _xlfn._xlws.FILTER(
            INDIRECT("'"&amp;I$1&amp;"'!A2:E1000"), (INDIRECT("'"&amp;I$1&amp;"'!B2:B1000")=$B43) * (INDIRECT("'"&amp;I$1&amp;"'!C2:C1000")=$C43)
        ),
        5,
        FALSE
    )
)</f>
        <v>Sem Técnico</v>
      </c>
      <c r="J43" s="113" t="str">
        <f t="array" aca="1" ref="J43" ca="1">IF(
    VLOOKUP(
        $A43,
        _xlfn._xlws.FILTER(
            INDIRECT("'"&amp;J$1&amp;"'!A2:E1000"), (INDIRECT("'"&amp;J$1&amp;"'!B2:B1000")=$B43) * (INDIRECT("'"&amp;J$1&amp;"'!C2:C1000")=$C43)
        ),
        5,
        FALSE
    )=0,
    "",
    VLOOKUP(
        $A43,
        _xlfn._xlws.FILTER(
            INDIRECT("'"&amp;J$1&amp;"'!A2:E1000"), (INDIRECT("'"&amp;J$1&amp;"'!B2:B1000")=$B43) * (INDIRECT("'"&amp;J$1&amp;"'!C2:C1000")=$C43)
        ),
        5,
        FALSE
    )
)</f>
        <v>Sem Técnico</v>
      </c>
      <c r="K43" s="113" t="str">
        <f t="array" aca="1" ref="K43" ca="1">IF(
    VLOOKUP(
        $A43,
        _xlfn._xlws.FILTER(
            INDIRECT("'"&amp;K$1&amp;"'!A2:E1000"), (INDIRECT("'"&amp;K$1&amp;"'!B2:B1000")=$B43) * (INDIRECT("'"&amp;K$1&amp;"'!C2:C1000")=$C43)
        ),
        5,
        FALSE
    )=0,
    "",
    VLOOKUP(
        $A43,
        _xlfn._xlws.FILTER(
            INDIRECT("'"&amp;K$1&amp;"'!A2:E1000"), (INDIRECT("'"&amp;K$1&amp;"'!B2:B1000")=$B43) * (INDIRECT("'"&amp;K$1&amp;"'!C2:C1000")=$C43)
        ),
        5,
        FALSE
    )
)</f>
        <v>Enviado</v>
      </c>
      <c r="L43" s="113" t="str">
        <f t="array" aca="1" ref="L43" ca="1">IF(
    VLOOKUP(
        $A43,
        _xlfn._xlws.FILTER(
            INDIRECT("'"&amp;L$1&amp;"'!A2:E1000"), (INDIRECT("'"&amp;L$1&amp;"'!B2:B1000")=$B43) * (INDIRECT("'"&amp;L$1&amp;"'!C2:C1000")=$C43)
        ),
        5,
        FALSE
    )=0,
    "",
    VLOOKUP(
        $A43,
        _xlfn._xlws.FILTER(
            INDIRECT("'"&amp;L$1&amp;"'!A2:E1000"), (INDIRECT("'"&amp;L$1&amp;"'!B2:B1000")=$B43) * (INDIRECT("'"&amp;L$1&amp;"'!C2:C1000")=$C43)
        ),
        5,
        FALSE
    )
)</f>
        <v>Atrasado &gt;= 2</v>
      </c>
      <c r="M43" s="113" t="str">
        <f t="array" aca="1" ref="M43" ca="1">IF(
    VLOOKUP(
        $A43,
        _xlfn._xlws.FILTER(
            INDIRECT("'"&amp;M$1&amp;"'!A2:E1000"), (INDIRECT("'"&amp;M$1&amp;"'!B2:B1000")=$B43) * (INDIRECT("'"&amp;M$1&amp;"'!C2:C1000")=$C43)
        ),
        5,
        FALSE
    )=0,
    "",
    VLOOKUP(
        $A43,
        _xlfn._xlws.FILTER(
            INDIRECT("'"&amp;M$1&amp;"'!A2:E1000"), (INDIRECT("'"&amp;M$1&amp;"'!B2:B1000")=$B43) * (INDIRECT("'"&amp;M$1&amp;"'!C2:C1000")=$C43)
        ),
        5,
        FALSE
    )
)</f>
        <v>Atrasado &gt;= 2</v>
      </c>
      <c r="N43" s="113" t="str">
        <f t="array" aca="1" ref="N43" ca="1">IF(
    VLOOKUP(
        $A43,
        _xlfn._xlws.FILTER(
            INDIRECT("'"&amp;N$1&amp;"'!A2:E1000"), (INDIRECT("'"&amp;N$1&amp;"'!B2:B1000")=$B43) * (INDIRECT("'"&amp;N$1&amp;"'!C2:C1000")=$C43)
        ),
        5,
        FALSE
    )=0,
    "",
    VLOOKUP(
        $A43,
        _xlfn._xlws.FILTER(
            INDIRECT("'"&amp;N$1&amp;"'!A2:E1000"), (INDIRECT("'"&amp;N$1&amp;"'!B2:B1000")=$B43) * (INDIRECT("'"&amp;N$1&amp;"'!C2:C1000")=$C43)
        ),
        5,
        FALSE
    )
)</f>
        <v>Atrasado</v>
      </c>
      <c r="O43" s="113" t="str">
        <f t="array" aca="1" ref="O43" ca="1">IF(
    VLOOKUP(
        $A43,
        _xlfn._xlws.FILTER(
            INDIRECT("'"&amp;O$1&amp;"'!A2:E1000"), (INDIRECT("'"&amp;O$1&amp;"'!B2:B1000")=$B43) * (INDIRECT("'"&amp;O$1&amp;"'!C2:C1000")=$C43)
        ),
        5,
        FALSE
    )=0,
    "",
    VLOOKUP(
        $A43,
        _xlfn._xlws.FILTER(
            INDIRECT("'"&amp;O$1&amp;"'!A2:E1000"), (INDIRECT("'"&amp;O$1&amp;"'!B2:B1000")=$B43) * (INDIRECT("'"&amp;O$1&amp;"'!C2:C1000")=$C43)
        ),
        5,
        FALSE
    )
)</f>
        <v/>
      </c>
    </row>
    <row r="44" spans="1:15">
      <c r="A44" s="96" t="s">
        <v>26</v>
      </c>
      <c r="B44" s="112" t="s">
        <v>84</v>
      </c>
      <c r="C44" s="39">
        <v>1</v>
      </c>
      <c r="D44" s="113" t="str">
        <f t="array" aca="1" ref="D44" ca="1">IF(
    VLOOKUP(
        $A44,
        _xlfn._xlws.FILTER(
            INDIRECT("'"&amp;D$1&amp;"'!A2:E1000"), (INDIRECT("'"&amp;D$1&amp;"'!B2:B1000")=$B44) * (INDIRECT("'"&amp;D$1&amp;"'!C2:C1000")=$C44)
        ),
        5,
        FALSE
    )=0,
    "",
    VLOOKUP(
        $A44,
        _xlfn._xlws.FILTER(
            INDIRECT("'"&amp;D$1&amp;"'!A2:E1000"), (INDIRECT("'"&amp;D$1&amp;"'!B2:B1000")=$B44) * (INDIRECT("'"&amp;D$1&amp;"'!C2:C1000")=$C44)
        ),
        5,
        FALSE
    )
)</f>
        <v>Sem Técnico</v>
      </c>
      <c r="E44" s="113" t="str">
        <f t="array" aca="1" ref="E44" ca="1">IF(
    VLOOKUP(
        $A44,
        _xlfn._xlws.FILTER(
            INDIRECT("'"&amp;E$1&amp;"'!A2:E1000"), (INDIRECT("'"&amp;E$1&amp;"'!B2:B1000")=$B44) * (INDIRECT("'"&amp;E$1&amp;"'!C2:C1000")=$C44)
        ),
        5,
        FALSE
    )=0,
    "",
    VLOOKUP(
        $A44,
        _xlfn._xlws.FILTER(
            INDIRECT("'"&amp;E$1&amp;"'!A2:E1000"), (INDIRECT("'"&amp;E$1&amp;"'!B2:B1000")=$B44) * (INDIRECT("'"&amp;E$1&amp;"'!C2:C1000")=$C44)
        ),
        5,
        FALSE
    )
)</f>
        <v>Sem Técnico</v>
      </c>
      <c r="F44" s="113" t="str">
        <f t="array" aca="1" ref="F44" ca="1">IF(
    VLOOKUP(
        $A44,
        _xlfn._xlws.FILTER(
            INDIRECT("'"&amp;F$1&amp;"'!A2:E1000"), (INDIRECT("'"&amp;F$1&amp;"'!B2:B1000")=$B44) * (INDIRECT("'"&amp;F$1&amp;"'!C2:C1000")=$C44)
        ),
        5,
        FALSE
    )=0,
    "",
    VLOOKUP(
        $A44,
        _xlfn._xlws.FILTER(
            INDIRECT("'"&amp;F$1&amp;"'!A2:E1000"), (INDIRECT("'"&amp;F$1&amp;"'!B2:B1000")=$B44) * (INDIRECT("'"&amp;F$1&amp;"'!C2:C1000")=$C44)
        ),
        5,
        FALSE
    )
)</f>
        <v>Sem Técnico</v>
      </c>
      <c r="G44" s="113" t="str">
        <f t="array" aca="1" ref="G44" ca="1">IF(
    VLOOKUP(
        $A44,
        _xlfn._xlws.FILTER(
            INDIRECT("'"&amp;G$1&amp;"'!A2:E1000"), (INDIRECT("'"&amp;G$1&amp;"'!B2:B1000")=$B44) * (INDIRECT("'"&amp;G$1&amp;"'!C2:C1000")=$C44)
        ),
        5,
        FALSE
    )=0,
    "",
    VLOOKUP(
        $A44,
        _xlfn._xlws.FILTER(
            INDIRECT("'"&amp;G$1&amp;"'!A2:E1000"), (INDIRECT("'"&amp;G$1&amp;"'!B2:B1000")=$B44) * (INDIRECT("'"&amp;G$1&amp;"'!C2:C1000")=$C44)
        ),
        5,
        FALSE
    )
)</f>
        <v>Sem Técnico</v>
      </c>
      <c r="H44" s="113" t="str">
        <f t="array" aca="1" ref="H44" ca="1">IF(
    VLOOKUP(
        $A44,
        _xlfn._xlws.FILTER(
            INDIRECT("'"&amp;H$1&amp;"'!A2:E1000"), (INDIRECT("'"&amp;H$1&amp;"'!B2:B1000")=$B44) * (INDIRECT("'"&amp;H$1&amp;"'!C2:C1000")=$C44)
        ),
        5,
        FALSE
    )=0,
    "",
    VLOOKUP(
        $A44,
        _xlfn._xlws.FILTER(
            INDIRECT("'"&amp;H$1&amp;"'!A2:E1000"), (INDIRECT("'"&amp;H$1&amp;"'!B2:B1000")=$B44) * (INDIRECT("'"&amp;H$1&amp;"'!C2:C1000")=$C44)
        ),
        5,
        FALSE
    )
)</f>
        <v>Sem Técnico</v>
      </c>
      <c r="I44" s="113" t="str">
        <f t="array" aca="1" ref="I44" ca="1">IF(
    VLOOKUP(
        $A44,
        _xlfn._xlws.FILTER(
            INDIRECT("'"&amp;I$1&amp;"'!A2:E1000"), (INDIRECT("'"&amp;I$1&amp;"'!B2:B1000")=$B44) * (INDIRECT("'"&amp;I$1&amp;"'!C2:C1000")=$C44)
        ),
        5,
        FALSE
    )=0,
    "",
    VLOOKUP(
        $A44,
        _xlfn._xlws.FILTER(
            INDIRECT("'"&amp;I$1&amp;"'!A2:E1000"), (INDIRECT("'"&amp;I$1&amp;"'!B2:B1000")=$B44) * (INDIRECT("'"&amp;I$1&amp;"'!C2:C1000")=$C44)
        ),
        5,
        FALSE
    )
)</f>
        <v>Sem Técnico</v>
      </c>
      <c r="J44" s="113" t="str">
        <f t="array" aca="1" ref="J44" ca="1">IF(
    VLOOKUP(
        $A44,
        _xlfn._xlws.FILTER(
            INDIRECT("'"&amp;J$1&amp;"'!A2:E1000"), (INDIRECT("'"&amp;J$1&amp;"'!B2:B1000")=$B44) * (INDIRECT("'"&amp;J$1&amp;"'!C2:C1000")=$C44)
        ),
        5,
        FALSE
    )=0,
    "",
    VLOOKUP(
        $A44,
        _xlfn._xlws.FILTER(
            INDIRECT("'"&amp;J$1&amp;"'!A2:E1000"), (INDIRECT("'"&amp;J$1&amp;"'!B2:B1000")=$B44) * (INDIRECT("'"&amp;J$1&amp;"'!C2:C1000")=$C44)
        ),
        5,
        FALSE
    )
)</f>
        <v>Sem Técnico</v>
      </c>
      <c r="K44" s="113" t="str">
        <f t="array" aca="1" ref="K44" ca="1">IF(
    VLOOKUP(
        $A44,
        _xlfn._xlws.FILTER(
            INDIRECT("'"&amp;K$1&amp;"'!A2:E1000"), (INDIRECT("'"&amp;K$1&amp;"'!B2:B1000")=$B44) * (INDIRECT("'"&amp;K$1&amp;"'!C2:C1000")=$C44)
        ),
        5,
        FALSE
    )=0,
    "",
    VLOOKUP(
        $A44,
        _xlfn._xlws.FILTER(
            INDIRECT("'"&amp;K$1&amp;"'!A2:E1000"), (INDIRECT("'"&amp;K$1&amp;"'!B2:B1000")=$B44) * (INDIRECT("'"&amp;K$1&amp;"'!C2:C1000")=$C44)
        ),
        5,
        FALSE
    )
)</f>
        <v>Atrasado &gt;= 2</v>
      </c>
      <c r="L44" s="113" t="str">
        <f t="array" aca="1" ref="L44" ca="1">IF(
    VLOOKUP(
        $A44,
        _xlfn._xlws.FILTER(
            INDIRECT("'"&amp;L$1&amp;"'!A2:E1000"), (INDIRECT("'"&amp;L$1&amp;"'!B2:B1000")=$B44) * (INDIRECT("'"&amp;L$1&amp;"'!C2:C1000")=$C44)
        ),
        5,
        FALSE
    )=0,
    "",
    VLOOKUP(
        $A44,
        _xlfn._xlws.FILTER(
            INDIRECT("'"&amp;L$1&amp;"'!A2:E1000"), (INDIRECT("'"&amp;L$1&amp;"'!B2:B1000")=$B44) * (INDIRECT("'"&amp;L$1&amp;"'!C2:C1000")=$C44)
        ),
        5,
        FALSE
    )
)</f>
        <v>Atrasado &gt;= 2</v>
      </c>
      <c r="M44" s="113" t="str">
        <f t="array" aca="1" ref="M44" ca="1">IF(
    VLOOKUP(
        $A44,
        _xlfn._xlws.FILTER(
            INDIRECT("'"&amp;M$1&amp;"'!A2:E1000"), (INDIRECT("'"&amp;M$1&amp;"'!B2:B1000")=$B44) * (INDIRECT("'"&amp;M$1&amp;"'!C2:C1000")=$C44)
        ),
        5,
        FALSE
    )=0,
    "",
    VLOOKUP(
        $A44,
        _xlfn._xlws.FILTER(
            INDIRECT("'"&amp;M$1&amp;"'!A2:E1000"), (INDIRECT("'"&amp;M$1&amp;"'!B2:B1000")=$B44) * (INDIRECT("'"&amp;M$1&amp;"'!C2:C1000")=$C44)
        ),
        5,
        FALSE
    )
)</f>
        <v>Atrasado &gt;= 2</v>
      </c>
      <c r="N44" s="113" t="str">
        <f t="array" aca="1" ref="N44" ca="1">IF(
    VLOOKUP(
        $A44,
        _xlfn._xlws.FILTER(
            INDIRECT("'"&amp;N$1&amp;"'!A2:E1000"), (INDIRECT("'"&amp;N$1&amp;"'!B2:B1000")=$B44) * (INDIRECT("'"&amp;N$1&amp;"'!C2:C1000")=$C44)
        ),
        5,
        FALSE
    )=0,
    "",
    VLOOKUP(
        $A44,
        _xlfn._xlws.FILTER(
            INDIRECT("'"&amp;N$1&amp;"'!A2:E1000"), (INDIRECT("'"&amp;N$1&amp;"'!B2:B1000")=$B44) * (INDIRECT("'"&amp;N$1&amp;"'!C2:C1000")=$C44)
        ),
        5,
        FALSE
    )
)</f>
        <v>Atrasado</v>
      </c>
      <c r="O44" s="113" t="str">
        <f t="array" aca="1" ref="O44" ca="1">IF(
    VLOOKUP(
        $A44,
        _xlfn._xlws.FILTER(
            INDIRECT("'"&amp;O$1&amp;"'!A2:E1000"), (INDIRECT("'"&amp;O$1&amp;"'!B2:B1000")=$B44) * (INDIRECT("'"&amp;O$1&amp;"'!C2:C1000")=$C44)
        ),
        5,
        FALSE
    )=0,
    "",
    VLOOKUP(
        $A44,
        _xlfn._xlws.FILTER(
            INDIRECT("'"&amp;O$1&amp;"'!A2:E1000"), (INDIRECT("'"&amp;O$1&amp;"'!B2:B1000")=$B44) * (INDIRECT("'"&amp;O$1&amp;"'!C2:C1000")=$C44)
        ),
        5,
        FALSE
    )
)</f>
        <v/>
      </c>
    </row>
    <row r="45" spans="1:15">
      <c r="A45" s="96" t="s">
        <v>26</v>
      </c>
      <c r="B45" s="112" t="s">
        <v>85</v>
      </c>
      <c r="C45" s="39">
        <v>1</v>
      </c>
      <c r="D45" s="113" t="str">
        <f t="array" aca="1" ref="D45" ca="1">IF(
    VLOOKUP(
        $A45,
        _xlfn._xlws.FILTER(
            INDIRECT("'"&amp;D$1&amp;"'!A2:E1000"), (INDIRECT("'"&amp;D$1&amp;"'!B2:B1000")=$B45) * (INDIRECT("'"&amp;D$1&amp;"'!C2:C1000")=$C45)
        ),
        5,
        FALSE
    )=0,
    "",
    VLOOKUP(
        $A45,
        _xlfn._xlws.FILTER(
            INDIRECT("'"&amp;D$1&amp;"'!A2:E1000"), (INDIRECT("'"&amp;D$1&amp;"'!B2:B1000")=$B45) * (INDIRECT("'"&amp;D$1&amp;"'!C2:C1000")=$C45)
        ),
        5,
        FALSE
    )
)</f>
        <v>Sem Técnico</v>
      </c>
      <c r="E45" s="113" t="str">
        <f t="array" aca="1" ref="E45" ca="1">IF(
    VLOOKUP(
        $A45,
        _xlfn._xlws.FILTER(
            INDIRECT("'"&amp;E$1&amp;"'!A2:E1000"), (INDIRECT("'"&amp;E$1&amp;"'!B2:B1000")=$B45) * (INDIRECT("'"&amp;E$1&amp;"'!C2:C1000")=$C45)
        ),
        5,
        FALSE
    )=0,
    "",
    VLOOKUP(
        $A45,
        _xlfn._xlws.FILTER(
            INDIRECT("'"&amp;E$1&amp;"'!A2:E1000"), (INDIRECT("'"&amp;E$1&amp;"'!B2:B1000")=$B45) * (INDIRECT("'"&amp;E$1&amp;"'!C2:C1000")=$C45)
        ),
        5,
        FALSE
    )
)</f>
        <v>Sem Técnico</v>
      </c>
      <c r="F45" s="113" t="str">
        <f t="array" aca="1" ref="F45" ca="1">IF(
    VLOOKUP(
        $A45,
        _xlfn._xlws.FILTER(
            INDIRECT("'"&amp;F$1&amp;"'!A2:E1000"), (INDIRECT("'"&amp;F$1&amp;"'!B2:B1000")=$B45) * (INDIRECT("'"&amp;F$1&amp;"'!C2:C1000")=$C45)
        ),
        5,
        FALSE
    )=0,
    "",
    VLOOKUP(
        $A45,
        _xlfn._xlws.FILTER(
            INDIRECT("'"&amp;F$1&amp;"'!A2:E1000"), (INDIRECT("'"&amp;F$1&amp;"'!B2:B1000")=$B45) * (INDIRECT("'"&amp;F$1&amp;"'!C2:C1000")=$C45)
        ),
        5,
        FALSE
    )
)</f>
        <v>Sem Técnico</v>
      </c>
      <c r="G45" s="113" t="str">
        <f t="array" aca="1" ref="G45" ca="1">IF(
    VLOOKUP(
        $A45,
        _xlfn._xlws.FILTER(
            INDIRECT("'"&amp;G$1&amp;"'!A2:E1000"), (INDIRECT("'"&amp;G$1&amp;"'!B2:B1000")=$B45) * (INDIRECT("'"&amp;G$1&amp;"'!C2:C1000")=$C45)
        ),
        5,
        FALSE
    )=0,
    "",
    VLOOKUP(
        $A45,
        _xlfn._xlws.FILTER(
            INDIRECT("'"&amp;G$1&amp;"'!A2:E1000"), (INDIRECT("'"&amp;G$1&amp;"'!B2:B1000")=$B45) * (INDIRECT("'"&amp;G$1&amp;"'!C2:C1000")=$C45)
        ),
        5,
        FALSE
    )
)</f>
        <v>Sem Técnico</v>
      </c>
      <c r="H45" s="113" t="str">
        <f t="array" aca="1" ref="H45" ca="1">IF(
    VLOOKUP(
        $A45,
        _xlfn._xlws.FILTER(
            INDIRECT("'"&amp;H$1&amp;"'!A2:E1000"), (INDIRECT("'"&amp;H$1&amp;"'!B2:B1000")=$B45) * (INDIRECT("'"&amp;H$1&amp;"'!C2:C1000")=$C45)
        ),
        5,
        FALSE
    )=0,
    "",
    VLOOKUP(
        $A45,
        _xlfn._xlws.FILTER(
            INDIRECT("'"&amp;H$1&amp;"'!A2:E1000"), (INDIRECT("'"&amp;H$1&amp;"'!B2:B1000")=$B45) * (INDIRECT("'"&amp;H$1&amp;"'!C2:C1000")=$C45)
        ),
        5,
        FALSE
    )
)</f>
        <v>Sem Técnico</v>
      </c>
      <c r="I45" s="113" t="str">
        <f t="array" aca="1" ref="I45" ca="1">IF(
    VLOOKUP(
        $A45,
        _xlfn._xlws.FILTER(
            INDIRECT("'"&amp;I$1&amp;"'!A2:E1000"), (INDIRECT("'"&amp;I$1&amp;"'!B2:B1000")=$B45) * (INDIRECT("'"&amp;I$1&amp;"'!C2:C1000")=$C45)
        ),
        5,
        FALSE
    )=0,
    "",
    VLOOKUP(
        $A45,
        _xlfn._xlws.FILTER(
            INDIRECT("'"&amp;I$1&amp;"'!A2:E1000"), (INDIRECT("'"&amp;I$1&amp;"'!B2:B1000")=$B45) * (INDIRECT("'"&amp;I$1&amp;"'!C2:C1000")=$C45)
        ),
        5,
        FALSE
    )
)</f>
        <v>Sem Técnico</v>
      </c>
      <c r="J45" s="113" t="str">
        <f t="array" aca="1" ref="J45" ca="1">IF(
    VLOOKUP(
        $A45,
        _xlfn._xlws.FILTER(
            INDIRECT("'"&amp;J$1&amp;"'!A2:E1000"), (INDIRECT("'"&amp;J$1&amp;"'!B2:B1000")=$B45) * (INDIRECT("'"&amp;J$1&amp;"'!C2:C1000")=$C45)
        ),
        5,
        FALSE
    )=0,
    "",
    VLOOKUP(
        $A45,
        _xlfn._xlws.FILTER(
            INDIRECT("'"&amp;J$1&amp;"'!A2:E1000"), (INDIRECT("'"&amp;J$1&amp;"'!B2:B1000")=$B45) * (INDIRECT("'"&amp;J$1&amp;"'!C2:C1000")=$C45)
        ),
        5,
        FALSE
    )
)</f>
        <v>Sem Técnico</v>
      </c>
      <c r="K45" s="113" t="str">
        <f t="array" aca="1" ref="K45" ca="1">IF(
    VLOOKUP(
        $A45,
        _xlfn._xlws.FILTER(
            INDIRECT("'"&amp;K$1&amp;"'!A2:E1000"), (INDIRECT("'"&amp;K$1&amp;"'!B2:B1000")=$B45) * (INDIRECT("'"&amp;K$1&amp;"'!C2:C1000")=$C45)
        ),
        5,
        FALSE
    )=0,
    "",
    VLOOKUP(
        $A45,
        _xlfn._xlws.FILTER(
            INDIRECT("'"&amp;K$1&amp;"'!A2:E1000"), (INDIRECT("'"&amp;K$1&amp;"'!B2:B1000")=$B45) * (INDIRECT("'"&amp;K$1&amp;"'!C2:C1000")=$C45)
        ),
        5,
        FALSE
    )
)</f>
        <v>Enviado</v>
      </c>
      <c r="L45" s="113" t="str">
        <f t="array" aca="1" ref="L45" ca="1">IF(
    VLOOKUP(
        $A45,
        _xlfn._xlws.FILTER(
            INDIRECT("'"&amp;L$1&amp;"'!A2:E1000"), (INDIRECT("'"&amp;L$1&amp;"'!B2:B1000")=$B45) * (INDIRECT("'"&amp;L$1&amp;"'!C2:C1000")=$C45)
        ),
        5,
        FALSE
    )=0,
    "",
    VLOOKUP(
        $A45,
        _xlfn._xlws.FILTER(
            INDIRECT("'"&amp;L$1&amp;"'!A2:E1000"), (INDIRECT("'"&amp;L$1&amp;"'!B2:B1000")=$B45) * (INDIRECT("'"&amp;L$1&amp;"'!C2:C1000")=$C45)
        ),
        5,
        FALSE
    )
)</f>
        <v>Enviado</v>
      </c>
      <c r="M45" s="113" t="str">
        <f t="array" aca="1" ref="M45" ca="1">IF(
    VLOOKUP(
        $A45,
        _xlfn._xlws.FILTER(
            INDIRECT("'"&amp;M$1&amp;"'!A2:E1000"), (INDIRECT("'"&amp;M$1&amp;"'!B2:B1000")=$B45) * (INDIRECT("'"&amp;M$1&amp;"'!C2:C1000")=$C45)
        ),
        5,
        FALSE
    )=0,
    "",
    VLOOKUP(
        $A45,
        _xlfn._xlws.FILTER(
            INDIRECT("'"&amp;M$1&amp;"'!A2:E1000"), (INDIRECT("'"&amp;M$1&amp;"'!B2:B1000")=$B45) * (INDIRECT("'"&amp;M$1&amp;"'!C2:C1000")=$C45)
        ),
        5,
        FALSE
    )
)</f>
        <v>Atrasado &gt;= 2</v>
      </c>
      <c r="N45" s="113" t="str">
        <f t="array" aca="1" ref="N45" ca="1">IF(
    VLOOKUP(
        $A45,
        _xlfn._xlws.FILTER(
            INDIRECT("'"&amp;N$1&amp;"'!A2:E1000"), (INDIRECT("'"&amp;N$1&amp;"'!B2:B1000")=$B45) * (INDIRECT("'"&amp;N$1&amp;"'!C2:C1000")=$C45)
        ),
        5,
        FALSE
    )=0,
    "",
    VLOOKUP(
        $A45,
        _xlfn._xlws.FILTER(
            INDIRECT("'"&amp;N$1&amp;"'!A2:E1000"), (INDIRECT("'"&amp;N$1&amp;"'!B2:B1000")=$B45) * (INDIRECT("'"&amp;N$1&amp;"'!C2:C1000")=$C45)
        ),
        5,
        FALSE
    )
)</f>
        <v>Atrasado</v>
      </c>
      <c r="O45" s="113" t="str">
        <f t="array" aca="1" ref="O45" ca="1">IF(
    VLOOKUP(
        $A45,
        _xlfn._xlws.FILTER(
            INDIRECT("'"&amp;O$1&amp;"'!A2:E1000"), (INDIRECT("'"&amp;O$1&amp;"'!B2:B1000")=$B45) * (INDIRECT("'"&amp;O$1&amp;"'!C2:C1000")=$C45)
        ),
        5,
        FALSE
    )=0,
    "",
    VLOOKUP(
        $A45,
        _xlfn._xlws.FILTER(
            INDIRECT("'"&amp;O$1&amp;"'!A2:E1000"), (INDIRECT("'"&amp;O$1&amp;"'!B2:B1000")=$B45) * (INDIRECT("'"&amp;O$1&amp;"'!C2:C1000")=$C45)
        ),
        5,
        FALSE
    )
)</f>
        <v/>
      </c>
    </row>
    <row r="46" spans="1:15">
      <c r="A46" s="96" t="s">
        <v>26</v>
      </c>
      <c r="B46" s="112" t="s">
        <v>86</v>
      </c>
      <c r="C46" s="39">
        <v>1</v>
      </c>
      <c r="D46" s="113" t="str">
        <f t="array" aca="1" ref="D46" ca="1">IF(
    VLOOKUP(
        $A46,
        _xlfn._xlws.FILTER(
            INDIRECT("'"&amp;D$1&amp;"'!A2:E1000"), (INDIRECT("'"&amp;D$1&amp;"'!B2:B1000")=$B46) * (INDIRECT("'"&amp;D$1&amp;"'!C2:C1000")=$C46)
        ),
        5,
        FALSE
    )=0,
    "",
    VLOOKUP(
        $A46,
        _xlfn._xlws.FILTER(
            INDIRECT("'"&amp;D$1&amp;"'!A2:E1000"), (INDIRECT("'"&amp;D$1&amp;"'!B2:B1000")=$B46) * (INDIRECT("'"&amp;D$1&amp;"'!C2:C1000")=$C46)
        ),
        5,
        FALSE
    )
)</f>
        <v>Sem Técnico</v>
      </c>
      <c r="E46" s="113" t="str">
        <f t="array" aca="1" ref="E46" ca="1">IF(
    VLOOKUP(
        $A46,
        _xlfn._xlws.FILTER(
            INDIRECT("'"&amp;E$1&amp;"'!A2:E1000"), (INDIRECT("'"&amp;E$1&amp;"'!B2:B1000")=$B46) * (INDIRECT("'"&amp;E$1&amp;"'!C2:C1000")=$C46)
        ),
        5,
        FALSE
    )=0,
    "",
    VLOOKUP(
        $A46,
        _xlfn._xlws.FILTER(
            INDIRECT("'"&amp;E$1&amp;"'!A2:E1000"), (INDIRECT("'"&amp;E$1&amp;"'!B2:B1000")=$B46) * (INDIRECT("'"&amp;E$1&amp;"'!C2:C1000")=$C46)
        ),
        5,
        FALSE
    )
)</f>
        <v>Sem Técnico</v>
      </c>
      <c r="F46" s="113" t="str">
        <f t="array" aca="1" ref="F46" ca="1">IF(
    VLOOKUP(
        $A46,
        _xlfn._xlws.FILTER(
            INDIRECT("'"&amp;F$1&amp;"'!A2:E1000"), (INDIRECT("'"&amp;F$1&amp;"'!B2:B1000")=$B46) * (INDIRECT("'"&amp;F$1&amp;"'!C2:C1000")=$C46)
        ),
        5,
        FALSE
    )=0,
    "",
    VLOOKUP(
        $A46,
        _xlfn._xlws.FILTER(
            INDIRECT("'"&amp;F$1&amp;"'!A2:E1000"), (INDIRECT("'"&amp;F$1&amp;"'!B2:B1000")=$B46) * (INDIRECT("'"&amp;F$1&amp;"'!C2:C1000")=$C46)
        ),
        5,
        FALSE
    )
)</f>
        <v>Sem Técnico</v>
      </c>
      <c r="G46" s="113" t="str">
        <f t="array" aca="1" ref="G46" ca="1">IF(
    VLOOKUP(
        $A46,
        _xlfn._xlws.FILTER(
            INDIRECT("'"&amp;G$1&amp;"'!A2:E1000"), (INDIRECT("'"&amp;G$1&amp;"'!B2:B1000")=$B46) * (INDIRECT("'"&amp;G$1&amp;"'!C2:C1000")=$C46)
        ),
        5,
        FALSE
    )=0,
    "",
    VLOOKUP(
        $A46,
        _xlfn._xlws.FILTER(
            INDIRECT("'"&amp;G$1&amp;"'!A2:E1000"), (INDIRECT("'"&amp;G$1&amp;"'!B2:B1000")=$B46) * (INDIRECT("'"&amp;G$1&amp;"'!C2:C1000")=$C46)
        ),
        5,
        FALSE
    )
)</f>
        <v>Sem Técnico</v>
      </c>
      <c r="H46" s="113" t="str">
        <f t="array" aca="1" ref="H46" ca="1">IF(
    VLOOKUP(
        $A46,
        _xlfn._xlws.FILTER(
            INDIRECT("'"&amp;H$1&amp;"'!A2:E1000"), (INDIRECT("'"&amp;H$1&amp;"'!B2:B1000")=$B46) * (INDIRECT("'"&amp;H$1&amp;"'!C2:C1000")=$C46)
        ),
        5,
        FALSE
    )=0,
    "",
    VLOOKUP(
        $A46,
        _xlfn._xlws.FILTER(
            INDIRECT("'"&amp;H$1&amp;"'!A2:E1000"), (INDIRECT("'"&amp;H$1&amp;"'!B2:B1000")=$B46) * (INDIRECT("'"&amp;H$1&amp;"'!C2:C1000")=$C46)
        ),
        5,
        FALSE
    )
)</f>
        <v>Sem Técnico</v>
      </c>
      <c r="I46" s="113" t="str">
        <f t="array" aca="1" ref="I46" ca="1">IF(
    VLOOKUP(
        $A46,
        _xlfn._xlws.FILTER(
            INDIRECT("'"&amp;I$1&amp;"'!A2:E1000"), (INDIRECT("'"&amp;I$1&amp;"'!B2:B1000")=$B46) * (INDIRECT("'"&amp;I$1&amp;"'!C2:C1000")=$C46)
        ),
        5,
        FALSE
    )=0,
    "",
    VLOOKUP(
        $A46,
        _xlfn._xlws.FILTER(
            INDIRECT("'"&amp;I$1&amp;"'!A2:E1000"), (INDIRECT("'"&amp;I$1&amp;"'!B2:B1000")=$B46) * (INDIRECT("'"&amp;I$1&amp;"'!C2:C1000")=$C46)
        ),
        5,
        FALSE
    )
)</f>
        <v>Sem Técnico</v>
      </c>
      <c r="J46" s="113" t="str">
        <f t="array" aca="1" ref="J46" ca="1">IF(
    VLOOKUP(
        $A46,
        _xlfn._xlws.FILTER(
            INDIRECT("'"&amp;J$1&amp;"'!A2:E1000"), (INDIRECT("'"&amp;J$1&amp;"'!B2:B1000")=$B46) * (INDIRECT("'"&amp;J$1&amp;"'!C2:C1000")=$C46)
        ),
        5,
        FALSE
    )=0,
    "",
    VLOOKUP(
        $A46,
        _xlfn._xlws.FILTER(
            INDIRECT("'"&amp;J$1&amp;"'!A2:E1000"), (INDIRECT("'"&amp;J$1&amp;"'!B2:B1000")=$B46) * (INDIRECT("'"&amp;J$1&amp;"'!C2:C1000")=$C46)
        ),
        5,
        FALSE
    )
)</f>
        <v>Sem Técnico</v>
      </c>
      <c r="K46" s="113" t="str">
        <f t="array" aca="1" ref="K46" ca="1">IF(
    VLOOKUP(
        $A46,
        _xlfn._xlws.FILTER(
            INDIRECT("'"&amp;K$1&amp;"'!A2:E1000"), (INDIRECT("'"&amp;K$1&amp;"'!B2:B1000")=$B46) * (INDIRECT("'"&amp;K$1&amp;"'!C2:C1000")=$C46)
        ),
        5,
        FALSE
    )=0,
    "",
    VLOOKUP(
        $A46,
        _xlfn._xlws.FILTER(
            INDIRECT("'"&amp;K$1&amp;"'!A2:E1000"), (INDIRECT("'"&amp;K$1&amp;"'!B2:B1000")=$B46) * (INDIRECT("'"&amp;K$1&amp;"'!C2:C1000")=$C46)
        ),
        5,
        FALSE
    )
)</f>
        <v>Atrasado &gt;= 2</v>
      </c>
      <c r="L46" s="113" t="str">
        <f t="array" aca="1" ref="L46" ca="1">IF(
    VLOOKUP(
        $A46,
        _xlfn._xlws.FILTER(
            INDIRECT("'"&amp;L$1&amp;"'!A2:E1000"), (INDIRECT("'"&amp;L$1&amp;"'!B2:B1000")=$B46) * (INDIRECT("'"&amp;L$1&amp;"'!C2:C1000")=$C46)
        ),
        5,
        FALSE
    )=0,
    "",
    VLOOKUP(
        $A46,
        _xlfn._xlws.FILTER(
            INDIRECT("'"&amp;L$1&amp;"'!A2:E1000"), (INDIRECT("'"&amp;L$1&amp;"'!B2:B1000")=$B46) * (INDIRECT("'"&amp;L$1&amp;"'!C2:C1000")=$C46)
        ),
        5,
        FALSE
    )
)</f>
        <v>Atrasado &gt;= 2</v>
      </c>
      <c r="M46" s="113" t="str">
        <f t="array" aca="1" ref="M46" ca="1">IF(
    VLOOKUP(
        $A46,
        _xlfn._xlws.FILTER(
            INDIRECT("'"&amp;M$1&amp;"'!A2:E1000"), (INDIRECT("'"&amp;M$1&amp;"'!B2:B1000")=$B46) * (INDIRECT("'"&amp;M$1&amp;"'!C2:C1000")=$C46)
        ),
        5,
        FALSE
    )=0,
    "",
    VLOOKUP(
        $A46,
        _xlfn._xlws.FILTER(
            INDIRECT("'"&amp;M$1&amp;"'!A2:E1000"), (INDIRECT("'"&amp;M$1&amp;"'!B2:B1000")=$B46) * (INDIRECT("'"&amp;M$1&amp;"'!C2:C1000")=$C46)
        ),
        5,
        FALSE
    )
)</f>
        <v>Atrasado &gt;= 2</v>
      </c>
      <c r="N46" s="113" t="str">
        <f t="array" aca="1" ref="N46" ca="1">IF(
    VLOOKUP(
        $A46,
        _xlfn._xlws.FILTER(
            INDIRECT("'"&amp;N$1&amp;"'!A2:E1000"), (INDIRECT("'"&amp;N$1&amp;"'!B2:B1000")=$B46) * (INDIRECT("'"&amp;N$1&amp;"'!C2:C1000")=$C46)
        ),
        5,
        FALSE
    )=0,
    "",
    VLOOKUP(
        $A46,
        _xlfn._xlws.FILTER(
            INDIRECT("'"&amp;N$1&amp;"'!A2:E1000"), (INDIRECT("'"&amp;N$1&amp;"'!B2:B1000")=$B46) * (INDIRECT("'"&amp;N$1&amp;"'!C2:C1000")=$C46)
        ),
        5,
        FALSE
    )
)</f>
        <v>Atrasado</v>
      </c>
      <c r="O46" s="113" t="str">
        <f t="array" aca="1" ref="O46" ca="1">IF(
    VLOOKUP(
        $A46,
        _xlfn._xlws.FILTER(
            INDIRECT("'"&amp;O$1&amp;"'!A2:E1000"), (INDIRECT("'"&amp;O$1&amp;"'!B2:B1000")=$B46) * (INDIRECT("'"&amp;O$1&amp;"'!C2:C1000")=$C46)
        ),
        5,
        FALSE
    )=0,
    "",
    VLOOKUP(
        $A46,
        _xlfn._xlws.FILTER(
            INDIRECT("'"&amp;O$1&amp;"'!A2:E1000"), (INDIRECT("'"&amp;O$1&amp;"'!B2:B1000")=$B46) * (INDIRECT("'"&amp;O$1&amp;"'!C2:C1000")=$C46)
        ),
        5,
        FALSE
    )
)</f>
        <v/>
      </c>
    </row>
    <row r="47" spans="1:15">
      <c r="A47" s="96" t="s">
        <v>26</v>
      </c>
      <c r="B47" s="112" t="s">
        <v>87</v>
      </c>
      <c r="C47" s="39">
        <v>1</v>
      </c>
      <c r="D47" s="113" t="str">
        <f t="array" aca="1" ref="D47" ca="1">IF(
    VLOOKUP(
        $A47,
        _xlfn._xlws.FILTER(
            INDIRECT("'"&amp;D$1&amp;"'!A2:E1000"), (INDIRECT("'"&amp;D$1&amp;"'!B2:B1000")=$B47) * (INDIRECT("'"&amp;D$1&amp;"'!C2:C1000")=$C47)
        ),
        5,
        FALSE
    )=0,
    "",
    VLOOKUP(
        $A47,
        _xlfn._xlws.FILTER(
            INDIRECT("'"&amp;D$1&amp;"'!A2:E1000"), (INDIRECT("'"&amp;D$1&amp;"'!B2:B1000")=$B47) * (INDIRECT("'"&amp;D$1&amp;"'!C2:C1000")=$C47)
        ),
        5,
        FALSE
    )
)</f>
        <v>Sem Técnico</v>
      </c>
      <c r="E47" s="113" t="str">
        <f t="array" aca="1" ref="E47" ca="1">IF(
    VLOOKUP(
        $A47,
        _xlfn._xlws.FILTER(
            INDIRECT("'"&amp;E$1&amp;"'!A2:E1000"), (INDIRECT("'"&amp;E$1&amp;"'!B2:B1000")=$B47) * (INDIRECT("'"&amp;E$1&amp;"'!C2:C1000")=$C47)
        ),
        5,
        FALSE
    )=0,
    "",
    VLOOKUP(
        $A47,
        _xlfn._xlws.FILTER(
            INDIRECT("'"&amp;E$1&amp;"'!A2:E1000"), (INDIRECT("'"&amp;E$1&amp;"'!B2:B1000")=$B47) * (INDIRECT("'"&amp;E$1&amp;"'!C2:C1000")=$C47)
        ),
        5,
        FALSE
    )
)</f>
        <v>Sem Técnico</v>
      </c>
      <c r="F47" s="113" t="str">
        <f t="array" aca="1" ref="F47" ca="1">IF(
    VLOOKUP(
        $A47,
        _xlfn._xlws.FILTER(
            INDIRECT("'"&amp;F$1&amp;"'!A2:E1000"), (INDIRECT("'"&amp;F$1&amp;"'!B2:B1000")=$B47) * (INDIRECT("'"&amp;F$1&amp;"'!C2:C1000")=$C47)
        ),
        5,
        FALSE
    )=0,
    "",
    VLOOKUP(
        $A47,
        _xlfn._xlws.FILTER(
            INDIRECT("'"&amp;F$1&amp;"'!A2:E1000"), (INDIRECT("'"&amp;F$1&amp;"'!B2:B1000")=$B47) * (INDIRECT("'"&amp;F$1&amp;"'!C2:C1000")=$C47)
        ),
        5,
        FALSE
    )
)</f>
        <v>Sem Técnico</v>
      </c>
      <c r="G47" s="113" t="str">
        <f t="array" aca="1" ref="G47" ca="1">IF(
    VLOOKUP(
        $A47,
        _xlfn._xlws.FILTER(
            INDIRECT("'"&amp;G$1&amp;"'!A2:E1000"), (INDIRECT("'"&amp;G$1&amp;"'!B2:B1000")=$B47) * (INDIRECT("'"&amp;G$1&amp;"'!C2:C1000")=$C47)
        ),
        5,
        FALSE
    )=0,
    "",
    VLOOKUP(
        $A47,
        _xlfn._xlws.FILTER(
            INDIRECT("'"&amp;G$1&amp;"'!A2:E1000"), (INDIRECT("'"&amp;G$1&amp;"'!B2:B1000")=$B47) * (INDIRECT("'"&amp;G$1&amp;"'!C2:C1000")=$C47)
        ),
        5,
        FALSE
    )
)</f>
        <v>Sem Técnico</v>
      </c>
      <c r="H47" s="113" t="str">
        <f t="array" aca="1" ref="H47" ca="1">IF(
    VLOOKUP(
        $A47,
        _xlfn._xlws.FILTER(
            INDIRECT("'"&amp;H$1&amp;"'!A2:E1000"), (INDIRECT("'"&amp;H$1&amp;"'!B2:B1000")=$B47) * (INDIRECT("'"&amp;H$1&amp;"'!C2:C1000")=$C47)
        ),
        5,
        FALSE
    )=0,
    "",
    VLOOKUP(
        $A47,
        _xlfn._xlws.FILTER(
            INDIRECT("'"&amp;H$1&amp;"'!A2:E1000"), (INDIRECT("'"&amp;H$1&amp;"'!B2:B1000")=$B47) * (INDIRECT("'"&amp;H$1&amp;"'!C2:C1000")=$C47)
        ),
        5,
        FALSE
    )
)</f>
        <v>Sem Técnico</v>
      </c>
      <c r="I47" s="113" t="str">
        <f t="array" aca="1" ref="I47" ca="1">IF(
    VLOOKUP(
        $A47,
        _xlfn._xlws.FILTER(
            INDIRECT("'"&amp;I$1&amp;"'!A2:E1000"), (INDIRECT("'"&amp;I$1&amp;"'!B2:B1000")=$B47) * (INDIRECT("'"&amp;I$1&amp;"'!C2:C1000")=$C47)
        ),
        5,
        FALSE
    )=0,
    "",
    VLOOKUP(
        $A47,
        _xlfn._xlws.FILTER(
            INDIRECT("'"&amp;I$1&amp;"'!A2:E1000"), (INDIRECT("'"&amp;I$1&amp;"'!B2:B1000")=$B47) * (INDIRECT("'"&amp;I$1&amp;"'!C2:C1000")=$C47)
        ),
        5,
        FALSE
    )
)</f>
        <v>Sem Técnico</v>
      </c>
      <c r="J47" s="113" t="str">
        <f t="array" aca="1" ref="J47" ca="1">IF(
    VLOOKUP(
        $A47,
        _xlfn._xlws.FILTER(
            INDIRECT("'"&amp;J$1&amp;"'!A2:E1000"), (INDIRECT("'"&amp;J$1&amp;"'!B2:B1000")=$B47) * (INDIRECT("'"&amp;J$1&amp;"'!C2:C1000")=$C47)
        ),
        5,
        FALSE
    )=0,
    "",
    VLOOKUP(
        $A47,
        _xlfn._xlws.FILTER(
            INDIRECT("'"&amp;J$1&amp;"'!A2:E1000"), (INDIRECT("'"&amp;J$1&amp;"'!B2:B1000")=$B47) * (INDIRECT("'"&amp;J$1&amp;"'!C2:C1000")=$C47)
        ),
        5,
        FALSE
    )
)</f>
        <v>Sem Técnico</v>
      </c>
      <c r="K47" s="113" t="str">
        <f t="array" aca="1" ref="K47" ca="1">IF(
    VLOOKUP(
        $A47,
        _xlfn._xlws.FILTER(
            INDIRECT("'"&amp;K$1&amp;"'!A2:E1000"), (INDIRECT("'"&amp;K$1&amp;"'!B2:B1000")=$B47) * (INDIRECT("'"&amp;K$1&amp;"'!C2:C1000")=$C47)
        ),
        5,
        FALSE
    )=0,
    "",
    VLOOKUP(
        $A47,
        _xlfn._xlws.FILTER(
            INDIRECT("'"&amp;K$1&amp;"'!A2:E1000"), (INDIRECT("'"&amp;K$1&amp;"'!B2:B1000")=$B47) * (INDIRECT("'"&amp;K$1&amp;"'!C2:C1000")=$C47)
        ),
        5,
        FALSE
    )
)</f>
        <v>Enviado</v>
      </c>
      <c r="L47" s="113" t="str">
        <f t="array" aca="1" ref="L47" ca="1">IF(
    VLOOKUP(
        $A47,
        _xlfn._xlws.FILTER(
            INDIRECT("'"&amp;L$1&amp;"'!A2:E1000"), (INDIRECT("'"&amp;L$1&amp;"'!B2:B1000")=$B47) * (INDIRECT("'"&amp;L$1&amp;"'!C2:C1000")=$C47)
        ),
        5,
        FALSE
    )=0,
    "",
    VLOOKUP(
        $A47,
        _xlfn._xlws.FILTER(
            INDIRECT("'"&amp;L$1&amp;"'!A2:E1000"), (INDIRECT("'"&amp;L$1&amp;"'!B2:B1000")=$B47) * (INDIRECT("'"&amp;L$1&amp;"'!C2:C1000")=$C47)
        ),
        5,
        FALSE
    )
)</f>
        <v>Enviado</v>
      </c>
      <c r="M47" s="113" t="str">
        <f t="array" aca="1" ref="M47" ca="1">IF(
    VLOOKUP(
        $A47,
        _xlfn._xlws.FILTER(
            INDIRECT("'"&amp;M$1&amp;"'!A2:E1000"), (INDIRECT("'"&amp;M$1&amp;"'!B2:B1000")=$B47) * (INDIRECT("'"&amp;M$1&amp;"'!C2:C1000")=$C47)
        ),
        5,
        FALSE
    )=0,
    "",
    VLOOKUP(
        $A47,
        _xlfn._xlws.FILTER(
            INDIRECT("'"&amp;M$1&amp;"'!A2:E1000"), (INDIRECT("'"&amp;M$1&amp;"'!B2:B1000")=$B47) * (INDIRECT("'"&amp;M$1&amp;"'!C2:C1000")=$C47)
        ),
        5,
        FALSE
    )
)</f>
        <v>Enviado</v>
      </c>
      <c r="N47" s="113" t="str">
        <f t="array" aca="1" ref="N47" ca="1">IF(
    VLOOKUP(
        $A47,
        _xlfn._xlws.FILTER(
            INDIRECT("'"&amp;N$1&amp;"'!A2:E1000"), (INDIRECT("'"&amp;N$1&amp;"'!B2:B1000")=$B47) * (INDIRECT("'"&amp;N$1&amp;"'!C2:C1000")=$C47)
        ),
        5,
        FALSE
    )=0,
    "",
    VLOOKUP(
        $A47,
        _xlfn._xlws.FILTER(
            INDIRECT("'"&amp;N$1&amp;"'!A2:E1000"), (INDIRECT("'"&amp;N$1&amp;"'!B2:B1000")=$B47) * (INDIRECT("'"&amp;N$1&amp;"'!C2:C1000")=$C47)
        ),
        5,
        FALSE
    )
)</f>
        <v>Atrasado</v>
      </c>
      <c r="O47" s="113" t="str">
        <f t="array" aca="1" ref="O47" ca="1">IF(
    VLOOKUP(
        $A47,
        _xlfn._xlws.FILTER(
            INDIRECT("'"&amp;O$1&amp;"'!A2:E1000"), (INDIRECT("'"&amp;O$1&amp;"'!B2:B1000")=$B47) * (INDIRECT("'"&amp;O$1&amp;"'!C2:C1000")=$C47)
        ),
        5,
        FALSE
    )=0,
    "",
    VLOOKUP(
        $A47,
        _xlfn._xlws.FILTER(
            INDIRECT("'"&amp;O$1&amp;"'!A2:E1000"), (INDIRECT("'"&amp;O$1&amp;"'!B2:B1000")=$B47) * (INDIRECT("'"&amp;O$1&amp;"'!C2:C1000")=$C47)
        ),
        5,
        FALSE
    )
)</f>
        <v/>
      </c>
    </row>
    <row r="48" spans="1:15">
      <c r="A48" s="96" t="s">
        <v>26</v>
      </c>
      <c r="B48" s="112" t="s">
        <v>88</v>
      </c>
      <c r="C48" s="39">
        <v>1</v>
      </c>
      <c r="D48" s="113" t="str">
        <f t="array" aca="1" ref="D48" ca="1">IF(
    VLOOKUP(
        $A48,
        _xlfn._xlws.FILTER(
            INDIRECT("'"&amp;D$1&amp;"'!A2:E1000"), (INDIRECT("'"&amp;D$1&amp;"'!B2:B1000")=$B48) * (INDIRECT("'"&amp;D$1&amp;"'!C2:C1000")=$C48)
        ),
        5,
        FALSE
    )=0,
    "",
    VLOOKUP(
        $A48,
        _xlfn._xlws.FILTER(
            INDIRECT("'"&amp;D$1&amp;"'!A2:E1000"), (INDIRECT("'"&amp;D$1&amp;"'!B2:B1000")=$B48) * (INDIRECT("'"&amp;D$1&amp;"'!C2:C1000")=$C48)
        ),
        5,
        FALSE
    )
)</f>
        <v>Sem Técnico</v>
      </c>
      <c r="E48" s="113" t="str">
        <f t="array" aca="1" ref="E48" ca="1">IF(
    VLOOKUP(
        $A48,
        _xlfn._xlws.FILTER(
            INDIRECT("'"&amp;E$1&amp;"'!A2:E1000"), (INDIRECT("'"&amp;E$1&amp;"'!B2:B1000")=$B48) * (INDIRECT("'"&amp;E$1&amp;"'!C2:C1000")=$C48)
        ),
        5,
        FALSE
    )=0,
    "",
    VLOOKUP(
        $A48,
        _xlfn._xlws.FILTER(
            INDIRECT("'"&amp;E$1&amp;"'!A2:E1000"), (INDIRECT("'"&amp;E$1&amp;"'!B2:B1000")=$B48) * (INDIRECT("'"&amp;E$1&amp;"'!C2:C1000")=$C48)
        ),
        5,
        FALSE
    )
)</f>
        <v>Sem Técnico</v>
      </c>
      <c r="F48" s="113" t="str">
        <f t="array" aca="1" ref="F48" ca="1">IF(
    VLOOKUP(
        $A48,
        _xlfn._xlws.FILTER(
            INDIRECT("'"&amp;F$1&amp;"'!A2:E1000"), (INDIRECT("'"&amp;F$1&amp;"'!B2:B1000")=$B48) * (INDIRECT("'"&amp;F$1&amp;"'!C2:C1000")=$C48)
        ),
        5,
        FALSE
    )=0,
    "",
    VLOOKUP(
        $A48,
        _xlfn._xlws.FILTER(
            INDIRECT("'"&amp;F$1&amp;"'!A2:E1000"), (INDIRECT("'"&amp;F$1&amp;"'!B2:B1000")=$B48) * (INDIRECT("'"&amp;F$1&amp;"'!C2:C1000")=$C48)
        ),
        5,
        FALSE
    )
)</f>
        <v>Sem Técnico</v>
      </c>
      <c r="G48" s="113" t="str">
        <f t="array" aca="1" ref="G48" ca="1">IF(
    VLOOKUP(
        $A48,
        _xlfn._xlws.FILTER(
            INDIRECT("'"&amp;G$1&amp;"'!A2:E1000"), (INDIRECT("'"&amp;G$1&amp;"'!B2:B1000")=$B48) * (INDIRECT("'"&amp;G$1&amp;"'!C2:C1000")=$C48)
        ),
        5,
        FALSE
    )=0,
    "",
    VLOOKUP(
        $A48,
        _xlfn._xlws.FILTER(
            INDIRECT("'"&amp;G$1&amp;"'!A2:E1000"), (INDIRECT("'"&amp;G$1&amp;"'!B2:B1000")=$B48) * (INDIRECT("'"&amp;G$1&amp;"'!C2:C1000")=$C48)
        ),
        5,
        FALSE
    )
)</f>
        <v>Sem Técnico</v>
      </c>
      <c r="H48" s="113" t="str">
        <f t="array" aca="1" ref="H48" ca="1">IF(
    VLOOKUP(
        $A48,
        _xlfn._xlws.FILTER(
            INDIRECT("'"&amp;H$1&amp;"'!A2:E1000"), (INDIRECT("'"&amp;H$1&amp;"'!B2:B1000")=$B48) * (INDIRECT("'"&amp;H$1&amp;"'!C2:C1000")=$C48)
        ),
        5,
        FALSE
    )=0,
    "",
    VLOOKUP(
        $A48,
        _xlfn._xlws.FILTER(
            INDIRECT("'"&amp;H$1&amp;"'!A2:E1000"), (INDIRECT("'"&amp;H$1&amp;"'!B2:B1000")=$B48) * (INDIRECT("'"&amp;H$1&amp;"'!C2:C1000")=$C48)
        ),
        5,
        FALSE
    )
)</f>
        <v>Sem Técnico</v>
      </c>
      <c r="I48" s="113" t="str">
        <f t="array" aca="1" ref="I48" ca="1">IF(
    VLOOKUP(
        $A48,
        _xlfn._xlws.FILTER(
            INDIRECT("'"&amp;I$1&amp;"'!A2:E1000"), (INDIRECT("'"&amp;I$1&amp;"'!B2:B1000")=$B48) * (INDIRECT("'"&amp;I$1&amp;"'!C2:C1000")=$C48)
        ),
        5,
        FALSE
    )=0,
    "",
    VLOOKUP(
        $A48,
        _xlfn._xlws.FILTER(
            INDIRECT("'"&amp;I$1&amp;"'!A2:E1000"), (INDIRECT("'"&amp;I$1&amp;"'!B2:B1000")=$B48) * (INDIRECT("'"&amp;I$1&amp;"'!C2:C1000")=$C48)
        ),
        5,
        FALSE
    )
)</f>
        <v>Sem Técnico</v>
      </c>
      <c r="J48" s="113" t="str">
        <f t="array" aca="1" ref="J48" ca="1">IF(
    VLOOKUP(
        $A48,
        _xlfn._xlws.FILTER(
            INDIRECT("'"&amp;J$1&amp;"'!A2:E1000"), (INDIRECT("'"&amp;J$1&amp;"'!B2:B1000")=$B48) * (INDIRECT("'"&amp;J$1&amp;"'!C2:C1000")=$C48)
        ),
        5,
        FALSE
    )=0,
    "",
    VLOOKUP(
        $A48,
        _xlfn._xlws.FILTER(
            INDIRECT("'"&amp;J$1&amp;"'!A2:E1000"), (INDIRECT("'"&amp;J$1&amp;"'!B2:B1000")=$B48) * (INDIRECT("'"&amp;J$1&amp;"'!C2:C1000")=$C48)
        ),
        5,
        FALSE
    )
)</f>
        <v>Sem Técnico</v>
      </c>
      <c r="K48" s="113" t="str">
        <f t="array" aca="1" ref="K48" ca="1">IF(
    VLOOKUP(
        $A48,
        _xlfn._xlws.FILTER(
            INDIRECT("'"&amp;K$1&amp;"'!A2:E1000"), (INDIRECT("'"&amp;K$1&amp;"'!B2:B1000")=$B48) * (INDIRECT("'"&amp;K$1&amp;"'!C2:C1000")=$C48)
        ),
        5,
        FALSE
    )=0,
    "",
    VLOOKUP(
        $A48,
        _xlfn._xlws.FILTER(
            INDIRECT("'"&amp;K$1&amp;"'!A2:E1000"), (INDIRECT("'"&amp;K$1&amp;"'!B2:B1000")=$B48) * (INDIRECT("'"&amp;K$1&amp;"'!C2:C1000")=$C48)
        ),
        5,
        FALSE
    )
)</f>
        <v>Atrasado &gt;= 2</v>
      </c>
      <c r="L48" s="113" t="str">
        <f t="array" aca="1" ref="L48" ca="1">IF(
    VLOOKUP(
        $A48,
        _xlfn._xlws.FILTER(
            INDIRECT("'"&amp;L$1&amp;"'!A2:E1000"), (INDIRECT("'"&amp;L$1&amp;"'!B2:B1000")=$B48) * (INDIRECT("'"&amp;L$1&amp;"'!C2:C1000")=$C48)
        ),
        5,
        FALSE
    )=0,
    "",
    VLOOKUP(
        $A48,
        _xlfn._xlws.FILTER(
            INDIRECT("'"&amp;L$1&amp;"'!A2:E1000"), (INDIRECT("'"&amp;L$1&amp;"'!B2:B1000")=$B48) * (INDIRECT("'"&amp;L$1&amp;"'!C2:C1000")=$C48)
        ),
        5,
        FALSE
    )
)</f>
        <v>Atrasado &gt;= 2</v>
      </c>
      <c r="M48" s="113" t="str">
        <f t="array" aca="1" ref="M48" ca="1">IF(
    VLOOKUP(
        $A48,
        _xlfn._xlws.FILTER(
            INDIRECT("'"&amp;M$1&amp;"'!A2:E1000"), (INDIRECT("'"&amp;M$1&amp;"'!B2:B1000")=$B48) * (INDIRECT("'"&amp;M$1&amp;"'!C2:C1000")=$C48)
        ),
        5,
        FALSE
    )=0,
    "",
    VLOOKUP(
        $A48,
        _xlfn._xlws.FILTER(
            INDIRECT("'"&amp;M$1&amp;"'!A2:E1000"), (INDIRECT("'"&amp;M$1&amp;"'!B2:B1000")=$B48) * (INDIRECT("'"&amp;M$1&amp;"'!C2:C1000")=$C48)
        ),
        5,
        FALSE
    )
)</f>
        <v>Atrasado &gt;= 2</v>
      </c>
      <c r="N48" s="113" t="str">
        <f t="array" aca="1" ref="N48" ca="1">IF(
    VLOOKUP(
        $A48,
        _xlfn._xlws.FILTER(
            INDIRECT("'"&amp;N$1&amp;"'!A2:E1000"), (INDIRECT("'"&amp;N$1&amp;"'!B2:B1000")=$B48) * (INDIRECT("'"&amp;N$1&amp;"'!C2:C1000")=$C48)
        ),
        5,
        FALSE
    )=0,
    "",
    VLOOKUP(
        $A48,
        _xlfn._xlws.FILTER(
            INDIRECT("'"&amp;N$1&amp;"'!A2:E1000"), (INDIRECT("'"&amp;N$1&amp;"'!B2:B1000")=$B48) * (INDIRECT("'"&amp;N$1&amp;"'!C2:C1000")=$C48)
        ),
        5,
        FALSE
    )
)</f>
        <v>Atrasado</v>
      </c>
      <c r="O48" s="113" t="str">
        <f t="array" aca="1" ref="O48" ca="1">IF(
    VLOOKUP(
        $A48,
        _xlfn._xlws.FILTER(
            INDIRECT("'"&amp;O$1&amp;"'!A2:E1000"), (INDIRECT("'"&amp;O$1&amp;"'!B2:B1000")=$B48) * (INDIRECT("'"&amp;O$1&amp;"'!C2:C1000")=$C48)
        ),
        5,
        FALSE
    )=0,
    "",
    VLOOKUP(
        $A48,
        _xlfn._xlws.FILTER(
            INDIRECT("'"&amp;O$1&amp;"'!A2:E1000"), (INDIRECT("'"&amp;O$1&amp;"'!B2:B1000")=$B48) * (INDIRECT("'"&amp;O$1&amp;"'!C2:C1000")=$C48)
        ),
        5,
        FALSE
    )
)</f>
        <v/>
      </c>
    </row>
    <row r="49" spans="1:15" ht="15.75" customHeight="1">
      <c r="A49" s="96" t="s">
        <v>26</v>
      </c>
      <c r="B49" s="112" t="s">
        <v>89</v>
      </c>
      <c r="C49" s="39">
        <v>1</v>
      </c>
      <c r="D49" s="113" t="str">
        <f t="array" aca="1" ref="D49" ca="1">IF(
    VLOOKUP(
        $A49,
        _xlfn._xlws.FILTER(
            INDIRECT("'"&amp;D$1&amp;"'!A2:E1000"), (INDIRECT("'"&amp;D$1&amp;"'!B2:B1000")=$B49) * (INDIRECT("'"&amp;D$1&amp;"'!C2:C1000")=$C49)
        ),
        5,
        FALSE
    )=0,
    "",
    VLOOKUP(
        $A49,
        _xlfn._xlws.FILTER(
            INDIRECT("'"&amp;D$1&amp;"'!A2:E1000"), (INDIRECT("'"&amp;D$1&amp;"'!B2:B1000")=$B49) * (INDIRECT("'"&amp;D$1&amp;"'!C2:C1000")=$C49)
        ),
        5,
        FALSE
    )
)</f>
        <v>Sem Técnico</v>
      </c>
      <c r="E49" s="113" t="str">
        <f t="array" aca="1" ref="E49" ca="1">IF(
    VLOOKUP(
        $A49,
        _xlfn._xlws.FILTER(
            INDIRECT("'"&amp;E$1&amp;"'!A2:E1000"), (INDIRECT("'"&amp;E$1&amp;"'!B2:B1000")=$B49) * (INDIRECT("'"&amp;E$1&amp;"'!C2:C1000")=$C49)
        ),
        5,
        FALSE
    )=0,
    "",
    VLOOKUP(
        $A49,
        _xlfn._xlws.FILTER(
            INDIRECT("'"&amp;E$1&amp;"'!A2:E1000"), (INDIRECT("'"&amp;E$1&amp;"'!B2:B1000")=$B49) * (INDIRECT("'"&amp;E$1&amp;"'!C2:C1000")=$C49)
        ),
        5,
        FALSE
    )
)</f>
        <v>Sem Técnico</v>
      </c>
      <c r="F49" s="113" t="str">
        <f t="array" aca="1" ref="F49" ca="1">IF(
    VLOOKUP(
        $A49,
        _xlfn._xlws.FILTER(
            INDIRECT("'"&amp;F$1&amp;"'!A2:E1000"), (INDIRECT("'"&amp;F$1&amp;"'!B2:B1000")=$B49) * (INDIRECT("'"&amp;F$1&amp;"'!C2:C1000")=$C49)
        ),
        5,
        FALSE
    )=0,
    "",
    VLOOKUP(
        $A49,
        _xlfn._xlws.FILTER(
            INDIRECT("'"&amp;F$1&amp;"'!A2:E1000"), (INDIRECT("'"&amp;F$1&amp;"'!B2:B1000")=$B49) * (INDIRECT("'"&amp;F$1&amp;"'!C2:C1000")=$C49)
        ),
        5,
        FALSE
    )
)</f>
        <v>Sem Técnico</v>
      </c>
      <c r="G49" s="113" t="str">
        <f t="array" aca="1" ref="G49" ca="1">IF(
    VLOOKUP(
        $A49,
        _xlfn._xlws.FILTER(
            INDIRECT("'"&amp;G$1&amp;"'!A2:E1000"), (INDIRECT("'"&amp;G$1&amp;"'!B2:B1000")=$B49) * (INDIRECT("'"&amp;G$1&amp;"'!C2:C1000")=$C49)
        ),
        5,
        FALSE
    )=0,
    "",
    VLOOKUP(
        $A49,
        _xlfn._xlws.FILTER(
            INDIRECT("'"&amp;G$1&amp;"'!A2:E1000"), (INDIRECT("'"&amp;G$1&amp;"'!B2:B1000")=$B49) * (INDIRECT("'"&amp;G$1&amp;"'!C2:C1000")=$C49)
        ),
        5,
        FALSE
    )
)</f>
        <v>Sem Técnico</v>
      </c>
      <c r="H49" s="113" t="str">
        <f t="array" aca="1" ref="H49" ca="1">IF(
    VLOOKUP(
        $A49,
        _xlfn._xlws.FILTER(
            INDIRECT("'"&amp;H$1&amp;"'!A2:E1000"), (INDIRECT("'"&amp;H$1&amp;"'!B2:B1000")=$B49) * (INDIRECT("'"&amp;H$1&amp;"'!C2:C1000")=$C49)
        ),
        5,
        FALSE
    )=0,
    "",
    VLOOKUP(
        $A49,
        _xlfn._xlws.FILTER(
            INDIRECT("'"&amp;H$1&amp;"'!A2:E1000"), (INDIRECT("'"&amp;H$1&amp;"'!B2:B1000")=$B49) * (INDIRECT("'"&amp;H$1&amp;"'!C2:C1000")=$C49)
        ),
        5,
        FALSE
    )
)</f>
        <v>Sem Técnico</v>
      </c>
      <c r="I49" s="113" t="str">
        <f t="array" aca="1" ref="I49" ca="1">IF(
    VLOOKUP(
        $A49,
        _xlfn._xlws.FILTER(
            INDIRECT("'"&amp;I$1&amp;"'!A2:E1000"), (INDIRECT("'"&amp;I$1&amp;"'!B2:B1000")=$B49) * (INDIRECT("'"&amp;I$1&amp;"'!C2:C1000")=$C49)
        ),
        5,
        FALSE
    )=0,
    "",
    VLOOKUP(
        $A49,
        _xlfn._xlws.FILTER(
            INDIRECT("'"&amp;I$1&amp;"'!A2:E1000"), (INDIRECT("'"&amp;I$1&amp;"'!B2:B1000")=$B49) * (INDIRECT("'"&amp;I$1&amp;"'!C2:C1000")=$C49)
        ),
        5,
        FALSE
    )
)</f>
        <v>Sem Técnico</v>
      </c>
      <c r="J49" s="113" t="str">
        <f t="array" aca="1" ref="J49" ca="1">IF(
    VLOOKUP(
        $A49,
        _xlfn._xlws.FILTER(
            INDIRECT("'"&amp;J$1&amp;"'!A2:E1000"), (INDIRECT("'"&amp;J$1&amp;"'!B2:B1000")=$B49) * (INDIRECT("'"&amp;J$1&amp;"'!C2:C1000")=$C49)
        ),
        5,
        FALSE
    )=0,
    "",
    VLOOKUP(
        $A49,
        _xlfn._xlws.FILTER(
            INDIRECT("'"&amp;J$1&amp;"'!A2:E1000"), (INDIRECT("'"&amp;J$1&amp;"'!B2:B1000")=$B49) * (INDIRECT("'"&amp;J$1&amp;"'!C2:C1000")=$C49)
        ),
        5,
        FALSE
    )
)</f>
        <v>Enviado</v>
      </c>
      <c r="K49" s="113" t="str">
        <f t="array" aca="1" ref="K49" ca="1">IF(
    VLOOKUP(
        $A49,
        _xlfn._xlws.FILTER(
            INDIRECT("'"&amp;K$1&amp;"'!A2:E1000"), (INDIRECT("'"&amp;K$1&amp;"'!B2:B1000")=$B49) * (INDIRECT("'"&amp;K$1&amp;"'!C2:C1000")=$C49)
        ),
        5,
        FALSE
    )=0,
    "",
    VLOOKUP(
        $A49,
        _xlfn._xlws.FILTER(
            INDIRECT("'"&amp;K$1&amp;"'!A2:E1000"), (INDIRECT("'"&amp;K$1&amp;"'!B2:B1000")=$B49) * (INDIRECT("'"&amp;K$1&amp;"'!C2:C1000")=$C49)
        ),
        5,
        FALSE
    )
)</f>
        <v>Enviado</v>
      </c>
      <c r="L49" s="113" t="str">
        <f t="array" aca="1" ref="L49" ca="1">IF(
    VLOOKUP(
        $A49,
        _xlfn._xlws.FILTER(
            INDIRECT("'"&amp;L$1&amp;"'!A2:E1000"), (INDIRECT("'"&amp;L$1&amp;"'!B2:B1000")=$B49) * (INDIRECT("'"&amp;L$1&amp;"'!C2:C1000")=$C49)
        ),
        5,
        FALSE
    )=0,
    "",
    VLOOKUP(
        $A49,
        _xlfn._xlws.FILTER(
            INDIRECT("'"&amp;L$1&amp;"'!A2:E1000"), (INDIRECT("'"&amp;L$1&amp;"'!B2:B1000")=$B49) * (INDIRECT("'"&amp;L$1&amp;"'!C2:C1000")=$C49)
        ),
        5,
        FALSE
    )
)</f>
        <v>Enviado</v>
      </c>
      <c r="M49" s="113" t="str">
        <f t="array" aca="1" ref="M49" ca="1">IF(
    VLOOKUP(
        $A49,
        _xlfn._xlws.FILTER(
            INDIRECT("'"&amp;M$1&amp;"'!A2:E1000"), (INDIRECT("'"&amp;M$1&amp;"'!B2:B1000")=$B49) * (INDIRECT("'"&amp;M$1&amp;"'!C2:C1000")=$C49)
        ),
        5,
        FALSE
    )=0,
    "",
    VLOOKUP(
        $A49,
        _xlfn._xlws.FILTER(
            INDIRECT("'"&amp;M$1&amp;"'!A2:E1000"), (INDIRECT("'"&amp;M$1&amp;"'!B2:B1000")=$B49) * (INDIRECT("'"&amp;M$1&amp;"'!C2:C1000")=$C49)
        ),
        5,
        FALSE
    )
)</f>
        <v>Atrasado &gt;= 2</v>
      </c>
      <c r="N49" s="113" t="str">
        <f t="array" aca="1" ref="N49" ca="1">IF(
    VLOOKUP(
        $A49,
        _xlfn._xlws.FILTER(
            INDIRECT("'"&amp;N$1&amp;"'!A2:E1000"), (INDIRECT("'"&amp;N$1&amp;"'!B2:B1000")=$B49) * (INDIRECT("'"&amp;N$1&amp;"'!C2:C1000")=$C49)
        ),
        5,
        FALSE
    )=0,
    "",
    VLOOKUP(
        $A49,
        _xlfn._xlws.FILTER(
            INDIRECT("'"&amp;N$1&amp;"'!A2:E1000"), (INDIRECT("'"&amp;N$1&amp;"'!B2:B1000")=$B49) * (INDIRECT("'"&amp;N$1&amp;"'!C2:C1000")=$C49)
        ),
        5,
        FALSE
    )
)</f>
        <v>Atrasado</v>
      </c>
      <c r="O49" s="113" t="str">
        <f t="array" aca="1" ref="O49" ca="1">IF(
    VLOOKUP(
        $A49,
        _xlfn._xlws.FILTER(
            INDIRECT("'"&amp;O$1&amp;"'!A2:E1000"), (INDIRECT("'"&amp;O$1&amp;"'!B2:B1000")=$B49) * (INDIRECT("'"&amp;O$1&amp;"'!C2:C1000")=$C49)
        ),
        5,
        FALSE
    )=0,
    "",
    VLOOKUP(
        $A49,
        _xlfn._xlws.FILTER(
            INDIRECT("'"&amp;O$1&amp;"'!A2:E1000"), (INDIRECT("'"&amp;O$1&amp;"'!B2:B1000")=$B49) * (INDIRECT("'"&amp;O$1&amp;"'!C2:C1000")=$C49)
        ),
        5,
        FALSE
    )
)</f>
        <v/>
      </c>
    </row>
    <row r="50" spans="1:15">
      <c r="A50" s="96" t="s">
        <v>26</v>
      </c>
      <c r="B50" s="112" t="s">
        <v>90</v>
      </c>
      <c r="C50" s="39">
        <v>1</v>
      </c>
      <c r="D50" s="113" t="str">
        <f t="array" aca="1" ref="D50" ca="1">IF(
    VLOOKUP(
        $A50,
        _xlfn._xlws.FILTER(
            INDIRECT("'"&amp;D$1&amp;"'!A2:E1000"), (INDIRECT("'"&amp;D$1&amp;"'!B2:B1000")=$B50) * (INDIRECT("'"&amp;D$1&amp;"'!C2:C1000")=$C50)
        ),
        5,
        FALSE
    )=0,
    "",
    VLOOKUP(
        $A50,
        _xlfn._xlws.FILTER(
            INDIRECT("'"&amp;D$1&amp;"'!A2:E1000"), (INDIRECT("'"&amp;D$1&amp;"'!B2:B1000")=$B50) * (INDIRECT("'"&amp;D$1&amp;"'!C2:C1000")=$C50)
        ),
        5,
        FALSE
    )
)</f>
        <v>Sem Técnico</v>
      </c>
      <c r="E50" s="113" t="str">
        <f t="array" aca="1" ref="E50" ca="1">IF(
    VLOOKUP(
        $A50,
        _xlfn._xlws.FILTER(
            INDIRECT("'"&amp;E$1&amp;"'!A2:E1000"), (INDIRECT("'"&amp;E$1&amp;"'!B2:B1000")=$B50) * (INDIRECT("'"&amp;E$1&amp;"'!C2:C1000")=$C50)
        ),
        5,
        FALSE
    )=0,
    "",
    VLOOKUP(
        $A50,
        _xlfn._xlws.FILTER(
            INDIRECT("'"&amp;E$1&amp;"'!A2:E1000"), (INDIRECT("'"&amp;E$1&amp;"'!B2:B1000")=$B50) * (INDIRECT("'"&amp;E$1&amp;"'!C2:C1000")=$C50)
        ),
        5,
        FALSE
    )
)</f>
        <v>Sem Técnico</v>
      </c>
      <c r="F50" s="113" t="str">
        <f t="array" aca="1" ref="F50" ca="1">IF(
    VLOOKUP(
        $A50,
        _xlfn._xlws.FILTER(
            INDIRECT("'"&amp;F$1&amp;"'!A2:E1000"), (INDIRECT("'"&amp;F$1&amp;"'!B2:B1000")=$B50) * (INDIRECT("'"&amp;F$1&amp;"'!C2:C1000")=$C50)
        ),
        5,
        FALSE
    )=0,
    "",
    VLOOKUP(
        $A50,
        _xlfn._xlws.FILTER(
            INDIRECT("'"&amp;F$1&amp;"'!A2:E1000"), (INDIRECT("'"&amp;F$1&amp;"'!B2:B1000")=$B50) * (INDIRECT("'"&amp;F$1&amp;"'!C2:C1000")=$C50)
        ),
        5,
        FALSE
    )
)</f>
        <v>Sem Técnico</v>
      </c>
      <c r="G50" s="113" t="str">
        <f t="array" aca="1" ref="G50" ca="1">IF(
    VLOOKUP(
        $A50,
        _xlfn._xlws.FILTER(
            INDIRECT("'"&amp;G$1&amp;"'!A2:E1000"), (INDIRECT("'"&amp;G$1&amp;"'!B2:B1000")=$B50) * (INDIRECT("'"&amp;G$1&amp;"'!C2:C1000")=$C50)
        ),
        5,
        FALSE
    )=0,
    "",
    VLOOKUP(
        $A50,
        _xlfn._xlws.FILTER(
            INDIRECT("'"&amp;G$1&amp;"'!A2:E1000"), (INDIRECT("'"&amp;G$1&amp;"'!B2:B1000")=$B50) * (INDIRECT("'"&amp;G$1&amp;"'!C2:C1000")=$C50)
        ),
        5,
        FALSE
    )
)</f>
        <v>Sem Técnico</v>
      </c>
      <c r="H50" s="113" t="str">
        <f t="array" aca="1" ref="H50" ca="1">IF(
    VLOOKUP(
        $A50,
        _xlfn._xlws.FILTER(
            INDIRECT("'"&amp;H$1&amp;"'!A2:E1000"), (INDIRECT("'"&amp;H$1&amp;"'!B2:B1000")=$B50) * (INDIRECT("'"&amp;H$1&amp;"'!C2:C1000")=$C50)
        ),
        5,
        FALSE
    )=0,
    "",
    VLOOKUP(
        $A50,
        _xlfn._xlws.FILTER(
            INDIRECT("'"&amp;H$1&amp;"'!A2:E1000"), (INDIRECT("'"&amp;H$1&amp;"'!B2:B1000")=$B50) * (INDIRECT("'"&amp;H$1&amp;"'!C2:C1000")=$C50)
        ),
        5,
        FALSE
    )
)</f>
        <v>Sem Técnico</v>
      </c>
      <c r="I50" s="113" t="str">
        <f t="array" aca="1" ref="I50" ca="1">IF(
    VLOOKUP(
        $A50,
        _xlfn._xlws.FILTER(
            INDIRECT("'"&amp;I$1&amp;"'!A2:E1000"), (INDIRECT("'"&amp;I$1&amp;"'!B2:B1000")=$B50) * (INDIRECT("'"&amp;I$1&amp;"'!C2:C1000")=$C50)
        ),
        5,
        FALSE
    )=0,
    "",
    VLOOKUP(
        $A50,
        _xlfn._xlws.FILTER(
            INDIRECT("'"&amp;I$1&amp;"'!A2:E1000"), (INDIRECT("'"&amp;I$1&amp;"'!B2:B1000")=$B50) * (INDIRECT("'"&amp;I$1&amp;"'!C2:C1000")=$C50)
        ),
        5,
        FALSE
    )
)</f>
        <v>Enviado</v>
      </c>
      <c r="J50" s="113" t="str">
        <f t="array" aca="1" ref="J50" ca="1">IF(
    VLOOKUP(
        $A50,
        _xlfn._xlws.FILTER(
            INDIRECT("'"&amp;J$1&amp;"'!A2:E1000"), (INDIRECT("'"&amp;J$1&amp;"'!B2:B1000")=$B50) * (INDIRECT("'"&amp;J$1&amp;"'!C2:C1000")=$C50)
        ),
        5,
        FALSE
    )=0,
    "",
    VLOOKUP(
        $A50,
        _xlfn._xlws.FILTER(
            INDIRECT("'"&amp;J$1&amp;"'!A2:E1000"), (INDIRECT("'"&amp;J$1&amp;"'!B2:B1000")=$B50) * (INDIRECT("'"&amp;J$1&amp;"'!C2:C1000")=$C50)
        ),
        5,
        FALSE
    )
)</f>
        <v>Sem Técnico</v>
      </c>
      <c r="K50" s="113" t="str">
        <f t="array" aca="1" ref="K50" ca="1">IF(
    VLOOKUP(
        $A50,
        _xlfn._xlws.FILTER(
            INDIRECT("'"&amp;K$1&amp;"'!A2:E1000"), (INDIRECT("'"&amp;K$1&amp;"'!B2:B1000")=$B50) * (INDIRECT("'"&amp;K$1&amp;"'!C2:C1000")=$C50)
        ),
        5,
        FALSE
    )=0,
    "",
    VLOOKUP(
        $A50,
        _xlfn._xlws.FILTER(
            INDIRECT("'"&amp;K$1&amp;"'!A2:E1000"), (INDIRECT("'"&amp;K$1&amp;"'!B2:B1000")=$B50) * (INDIRECT("'"&amp;K$1&amp;"'!C2:C1000")=$C50)
        ),
        5,
        FALSE
    )
)</f>
        <v>Atrasado &gt;= 2</v>
      </c>
      <c r="L50" s="113" t="str">
        <f t="array" aca="1" ref="L50" ca="1">IF(
    VLOOKUP(
        $A50,
        _xlfn._xlws.FILTER(
            INDIRECT("'"&amp;L$1&amp;"'!A2:E1000"), (INDIRECT("'"&amp;L$1&amp;"'!B2:B1000")=$B50) * (INDIRECT("'"&amp;L$1&amp;"'!C2:C1000")=$C50)
        ),
        5,
        FALSE
    )=0,
    "",
    VLOOKUP(
        $A50,
        _xlfn._xlws.FILTER(
            INDIRECT("'"&amp;L$1&amp;"'!A2:E1000"), (INDIRECT("'"&amp;L$1&amp;"'!B2:B1000")=$B50) * (INDIRECT("'"&amp;L$1&amp;"'!C2:C1000")=$C50)
        ),
        5,
        FALSE
    )
)</f>
        <v>Atrasado &gt;= 2</v>
      </c>
      <c r="M50" s="113" t="str">
        <f t="array" aca="1" ref="M50" ca="1">IF(
    VLOOKUP(
        $A50,
        _xlfn._xlws.FILTER(
            INDIRECT("'"&amp;M$1&amp;"'!A2:E1000"), (INDIRECT("'"&amp;M$1&amp;"'!B2:B1000")=$B50) * (INDIRECT("'"&amp;M$1&amp;"'!C2:C1000")=$C50)
        ),
        5,
        FALSE
    )=0,
    "",
    VLOOKUP(
        $A50,
        _xlfn._xlws.FILTER(
            INDIRECT("'"&amp;M$1&amp;"'!A2:E1000"), (INDIRECT("'"&amp;M$1&amp;"'!B2:B1000")=$B50) * (INDIRECT("'"&amp;M$1&amp;"'!C2:C1000")=$C50)
        ),
        5,
        FALSE
    )
)</f>
        <v>Atrasado &gt;= 2</v>
      </c>
      <c r="N50" s="113" t="str">
        <f t="array" aca="1" ref="N50" ca="1">IF(
    VLOOKUP(
        $A50,
        _xlfn._xlws.FILTER(
            INDIRECT("'"&amp;N$1&amp;"'!A2:E1000"), (INDIRECT("'"&amp;N$1&amp;"'!B2:B1000")=$B50) * (INDIRECT("'"&amp;N$1&amp;"'!C2:C1000")=$C50)
        ),
        5,
        FALSE
    )=0,
    "",
    VLOOKUP(
        $A50,
        _xlfn._xlws.FILTER(
            INDIRECT("'"&amp;N$1&amp;"'!A2:E1000"), (INDIRECT("'"&amp;N$1&amp;"'!B2:B1000")=$B50) * (INDIRECT("'"&amp;N$1&amp;"'!C2:C1000")=$C50)
        ),
        5,
        FALSE
    )
)</f>
        <v>Atrasado</v>
      </c>
      <c r="O50" s="113" t="str">
        <f t="array" aca="1" ref="O50" ca="1">IF(
    VLOOKUP(
        $A50,
        _xlfn._xlws.FILTER(
            INDIRECT("'"&amp;O$1&amp;"'!A2:E1000"), (INDIRECT("'"&amp;O$1&amp;"'!B2:B1000")=$B50) * (INDIRECT("'"&amp;O$1&amp;"'!C2:C1000")=$C50)
        ),
        5,
        FALSE
    )=0,
    "",
    VLOOKUP(
        $A50,
        _xlfn._xlws.FILTER(
            INDIRECT("'"&amp;O$1&amp;"'!A2:E1000"), (INDIRECT("'"&amp;O$1&amp;"'!B2:B1000")=$B50) * (INDIRECT("'"&amp;O$1&amp;"'!C2:C1000")=$C50)
        ),
        5,
        FALSE
    )
)</f>
        <v/>
      </c>
    </row>
    <row r="51" spans="1:15">
      <c r="A51" s="96" t="s">
        <v>26</v>
      </c>
      <c r="B51" s="112" t="s">
        <v>91</v>
      </c>
      <c r="C51" s="39">
        <v>1</v>
      </c>
      <c r="D51" s="113" t="str">
        <f t="array" aca="1" ref="D51" ca="1">IF(
    VLOOKUP(
        $A51,
        _xlfn._xlws.FILTER(
            INDIRECT("'"&amp;D$1&amp;"'!A2:E1000"), (INDIRECT("'"&amp;D$1&amp;"'!B2:B1000")=$B51) * (INDIRECT("'"&amp;D$1&amp;"'!C2:C1000")=$C51)
        ),
        5,
        FALSE
    )=0,
    "",
    VLOOKUP(
        $A51,
        _xlfn._xlws.FILTER(
            INDIRECT("'"&amp;D$1&amp;"'!A2:E1000"), (INDIRECT("'"&amp;D$1&amp;"'!B2:B1000")=$B51) * (INDIRECT("'"&amp;D$1&amp;"'!C2:C1000")=$C51)
        ),
        5,
        FALSE
    )
)</f>
        <v>Sem Técnico</v>
      </c>
      <c r="E51" s="113" t="str">
        <f t="array" aca="1" ref="E51" ca="1">IF(
    VLOOKUP(
        $A51,
        _xlfn._xlws.FILTER(
            INDIRECT("'"&amp;E$1&amp;"'!A2:E1000"), (INDIRECT("'"&amp;E$1&amp;"'!B2:B1000")=$B51) * (INDIRECT("'"&amp;E$1&amp;"'!C2:C1000")=$C51)
        ),
        5,
        FALSE
    )=0,
    "",
    VLOOKUP(
        $A51,
        _xlfn._xlws.FILTER(
            INDIRECT("'"&amp;E$1&amp;"'!A2:E1000"), (INDIRECT("'"&amp;E$1&amp;"'!B2:B1000")=$B51) * (INDIRECT("'"&amp;E$1&amp;"'!C2:C1000")=$C51)
        ),
        5,
        FALSE
    )
)</f>
        <v>Sem Técnico</v>
      </c>
      <c r="F51" s="113" t="str">
        <f t="array" aca="1" ref="F51" ca="1">IF(
    VLOOKUP(
        $A51,
        _xlfn._xlws.FILTER(
            INDIRECT("'"&amp;F$1&amp;"'!A2:E1000"), (INDIRECT("'"&amp;F$1&amp;"'!B2:B1000")=$B51) * (INDIRECT("'"&amp;F$1&amp;"'!C2:C1000")=$C51)
        ),
        5,
        FALSE
    )=0,
    "",
    VLOOKUP(
        $A51,
        _xlfn._xlws.FILTER(
            INDIRECT("'"&amp;F$1&amp;"'!A2:E1000"), (INDIRECT("'"&amp;F$1&amp;"'!B2:B1000")=$B51) * (INDIRECT("'"&amp;F$1&amp;"'!C2:C1000")=$C51)
        ),
        5,
        FALSE
    )
)</f>
        <v>Sem Técnico</v>
      </c>
      <c r="G51" s="113" t="str">
        <f t="array" aca="1" ref="G51" ca="1">IF(
    VLOOKUP(
        $A51,
        _xlfn._xlws.FILTER(
            INDIRECT("'"&amp;G$1&amp;"'!A2:E1000"), (INDIRECT("'"&amp;G$1&amp;"'!B2:B1000")=$B51) * (INDIRECT("'"&amp;G$1&amp;"'!C2:C1000")=$C51)
        ),
        5,
        FALSE
    )=0,
    "",
    VLOOKUP(
        $A51,
        _xlfn._xlws.FILTER(
            INDIRECT("'"&amp;G$1&amp;"'!A2:E1000"), (INDIRECT("'"&amp;G$1&amp;"'!B2:B1000")=$B51) * (INDIRECT("'"&amp;G$1&amp;"'!C2:C1000")=$C51)
        ),
        5,
        FALSE
    )
)</f>
        <v>Sem Técnico</v>
      </c>
      <c r="H51" s="113" t="str">
        <f t="array" aca="1" ref="H51" ca="1">IF(
    VLOOKUP(
        $A51,
        _xlfn._xlws.FILTER(
            INDIRECT("'"&amp;H$1&amp;"'!A2:E1000"), (INDIRECT("'"&amp;H$1&amp;"'!B2:B1000")=$B51) * (INDIRECT("'"&amp;H$1&amp;"'!C2:C1000")=$C51)
        ),
        5,
        FALSE
    )=0,
    "",
    VLOOKUP(
        $A51,
        _xlfn._xlws.FILTER(
            INDIRECT("'"&amp;H$1&amp;"'!A2:E1000"), (INDIRECT("'"&amp;H$1&amp;"'!B2:B1000")=$B51) * (INDIRECT("'"&amp;H$1&amp;"'!C2:C1000")=$C51)
        ),
        5,
        FALSE
    )
)</f>
        <v>Sem Técnico</v>
      </c>
      <c r="I51" s="113" t="str">
        <f t="array" aca="1" ref="I51" ca="1">IF(
    VLOOKUP(
        $A51,
        _xlfn._xlws.FILTER(
            INDIRECT("'"&amp;I$1&amp;"'!A2:E1000"), (INDIRECT("'"&amp;I$1&amp;"'!B2:B1000")=$B51) * (INDIRECT("'"&amp;I$1&amp;"'!C2:C1000")=$C51)
        ),
        5,
        FALSE
    )=0,
    "",
    VLOOKUP(
        $A51,
        _xlfn._xlws.FILTER(
            INDIRECT("'"&amp;I$1&amp;"'!A2:E1000"), (INDIRECT("'"&amp;I$1&amp;"'!B2:B1000")=$B51) * (INDIRECT("'"&amp;I$1&amp;"'!C2:C1000")=$C51)
        ),
        5,
        FALSE
    )
)</f>
        <v>Sem Técnico</v>
      </c>
      <c r="J51" s="113" t="str">
        <f t="array" aca="1" ref="J51" ca="1">IF(
    VLOOKUP(
        $A51,
        _xlfn._xlws.FILTER(
            INDIRECT("'"&amp;J$1&amp;"'!A2:E1000"), (INDIRECT("'"&amp;J$1&amp;"'!B2:B1000")=$B51) * (INDIRECT("'"&amp;J$1&amp;"'!C2:C1000")=$C51)
        ),
        5,
        FALSE
    )=0,
    "",
    VLOOKUP(
        $A51,
        _xlfn._xlws.FILTER(
            INDIRECT("'"&amp;J$1&amp;"'!A2:E1000"), (INDIRECT("'"&amp;J$1&amp;"'!B2:B1000")=$B51) * (INDIRECT("'"&amp;J$1&amp;"'!C2:C1000")=$C51)
        ),
        5,
        FALSE
    )
)</f>
        <v>Sem Técnico</v>
      </c>
      <c r="K51" s="113" t="str">
        <f t="array" aca="1" ref="K51" ca="1">IF(
    VLOOKUP(
        $A51,
        _xlfn._xlws.FILTER(
            INDIRECT("'"&amp;K$1&amp;"'!A2:E1000"), (INDIRECT("'"&amp;K$1&amp;"'!B2:B1000")=$B51) * (INDIRECT("'"&amp;K$1&amp;"'!C2:C1000")=$C51)
        ),
        5,
        FALSE
    )=0,
    "",
    VLOOKUP(
        $A51,
        _xlfn._xlws.FILTER(
            INDIRECT("'"&amp;K$1&amp;"'!A2:E1000"), (INDIRECT("'"&amp;K$1&amp;"'!B2:B1000")=$B51) * (INDIRECT("'"&amp;K$1&amp;"'!C2:C1000")=$C51)
        ),
        5,
        FALSE
    )
)</f>
        <v>Enviado</v>
      </c>
      <c r="L51" s="113" t="str">
        <f t="array" aca="1" ref="L51" ca="1">IF(
    VLOOKUP(
        $A51,
        _xlfn._xlws.FILTER(
            INDIRECT("'"&amp;L$1&amp;"'!A2:E1000"), (INDIRECT("'"&amp;L$1&amp;"'!B2:B1000")=$B51) * (INDIRECT("'"&amp;L$1&amp;"'!C2:C1000")=$C51)
        ),
        5,
        FALSE
    )=0,
    "",
    VLOOKUP(
        $A51,
        _xlfn._xlws.FILTER(
            INDIRECT("'"&amp;L$1&amp;"'!A2:E1000"), (INDIRECT("'"&amp;L$1&amp;"'!B2:B1000")=$B51) * (INDIRECT("'"&amp;L$1&amp;"'!C2:C1000")=$C51)
        ),
        5,
        FALSE
    )
)</f>
        <v>Enviado</v>
      </c>
      <c r="M51" s="113" t="str">
        <f t="array" aca="1" ref="M51" ca="1">IF(
    VLOOKUP(
        $A51,
        _xlfn._xlws.FILTER(
            INDIRECT("'"&amp;M$1&amp;"'!A2:E1000"), (INDIRECT("'"&amp;M$1&amp;"'!B2:B1000")=$B51) * (INDIRECT("'"&amp;M$1&amp;"'!C2:C1000")=$C51)
        ),
        5,
        FALSE
    )=0,
    "",
    VLOOKUP(
        $A51,
        _xlfn._xlws.FILTER(
            INDIRECT("'"&amp;M$1&amp;"'!A2:E1000"), (INDIRECT("'"&amp;M$1&amp;"'!B2:B1000")=$B51) * (INDIRECT("'"&amp;M$1&amp;"'!C2:C1000")=$C51)
        ),
        5,
        FALSE
    )
)</f>
        <v>Enviado</v>
      </c>
      <c r="N51" s="113" t="str">
        <f t="array" aca="1" ref="N51" ca="1">IF(
    VLOOKUP(
        $A51,
        _xlfn._xlws.FILTER(
            INDIRECT("'"&amp;N$1&amp;"'!A2:E1000"), (INDIRECT("'"&amp;N$1&amp;"'!B2:B1000")=$B51) * (INDIRECT("'"&amp;N$1&amp;"'!C2:C1000")=$C51)
        ),
        5,
        FALSE
    )=0,
    "",
    VLOOKUP(
        $A51,
        _xlfn._xlws.FILTER(
            INDIRECT("'"&amp;N$1&amp;"'!A2:E1000"), (INDIRECT("'"&amp;N$1&amp;"'!B2:B1000")=$B51) * (INDIRECT("'"&amp;N$1&amp;"'!C2:C1000")=$C51)
        ),
        5,
        FALSE
    )
)</f>
        <v>Atrasado</v>
      </c>
      <c r="O51" s="113" t="str">
        <f t="array" aca="1" ref="O51" ca="1">IF(
    VLOOKUP(
        $A51,
        _xlfn._xlws.FILTER(
            INDIRECT("'"&amp;O$1&amp;"'!A2:E1000"), (INDIRECT("'"&amp;O$1&amp;"'!B2:B1000")=$B51) * (INDIRECT("'"&amp;O$1&amp;"'!C2:C1000")=$C51)
        ),
        5,
        FALSE
    )=0,
    "",
    VLOOKUP(
        $A51,
        _xlfn._xlws.FILTER(
            INDIRECT("'"&amp;O$1&amp;"'!A2:E1000"), (INDIRECT("'"&amp;O$1&amp;"'!B2:B1000")=$B51) * (INDIRECT("'"&amp;O$1&amp;"'!C2:C1000")=$C51)
        ),
        5,
        FALSE
    )
)</f>
        <v/>
      </c>
    </row>
    <row r="52" spans="1:15">
      <c r="A52" s="96" t="s">
        <v>26</v>
      </c>
      <c r="B52" s="112" t="s">
        <v>92</v>
      </c>
      <c r="C52" s="39">
        <v>1</v>
      </c>
      <c r="D52" s="113" t="str">
        <f t="array" aca="1" ref="D52" ca="1">IF(
    VLOOKUP(
        $A52,
        _xlfn._xlws.FILTER(
            INDIRECT("'"&amp;D$1&amp;"'!A2:E1000"), (INDIRECT("'"&amp;D$1&amp;"'!B2:B1000")=$B52) * (INDIRECT("'"&amp;D$1&amp;"'!C2:C1000")=$C52)
        ),
        5,
        FALSE
    )=0,
    "",
    VLOOKUP(
        $A52,
        _xlfn._xlws.FILTER(
            INDIRECT("'"&amp;D$1&amp;"'!A2:E1000"), (INDIRECT("'"&amp;D$1&amp;"'!B2:B1000")=$B52) * (INDIRECT("'"&amp;D$1&amp;"'!C2:C1000")=$C52)
        ),
        5,
        FALSE
    )
)</f>
        <v>Sem Técnico</v>
      </c>
      <c r="E52" s="113" t="str">
        <f t="array" aca="1" ref="E52" ca="1">IF(
    VLOOKUP(
        $A52,
        _xlfn._xlws.FILTER(
            INDIRECT("'"&amp;E$1&amp;"'!A2:E1000"), (INDIRECT("'"&amp;E$1&amp;"'!B2:B1000")=$B52) * (INDIRECT("'"&amp;E$1&amp;"'!C2:C1000")=$C52)
        ),
        5,
        FALSE
    )=0,
    "",
    VLOOKUP(
        $A52,
        _xlfn._xlws.FILTER(
            INDIRECT("'"&amp;E$1&amp;"'!A2:E1000"), (INDIRECT("'"&amp;E$1&amp;"'!B2:B1000")=$B52) * (INDIRECT("'"&amp;E$1&amp;"'!C2:C1000")=$C52)
        ),
        5,
        FALSE
    )
)</f>
        <v>Sem Técnico</v>
      </c>
      <c r="F52" s="113" t="str">
        <f t="array" aca="1" ref="F52" ca="1">IF(
    VLOOKUP(
        $A52,
        _xlfn._xlws.FILTER(
            INDIRECT("'"&amp;F$1&amp;"'!A2:E1000"), (INDIRECT("'"&amp;F$1&amp;"'!B2:B1000")=$B52) * (INDIRECT("'"&amp;F$1&amp;"'!C2:C1000")=$C52)
        ),
        5,
        FALSE
    )=0,
    "",
    VLOOKUP(
        $A52,
        _xlfn._xlws.FILTER(
            INDIRECT("'"&amp;F$1&amp;"'!A2:E1000"), (INDIRECT("'"&amp;F$1&amp;"'!B2:B1000")=$B52) * (INDIRECT("'"&amp;F$1&amp;"'!C2:C1000")=$C52)
        ),
        5,
        FALSE
    )
)</f>
        <v>Sem Técnico</v>
      </c>
      <c r="G52" s="113" t="str">
        <f t="array" aca="1" ref="G52" ca="1">IF(
    VLOOKUP(
        $A52,
        _xlfn._xlws.FILTER(
            INDIRECT("'"&amp;G$1&amp;"'!A2:E1000"), (INDIRECT("'"&amp;G$1&amp;"'!B2:B1000")=$B52) * (INDIRECT("'"&amp;G$1&amp;"'!C2:C1000")=$C52)
        ),
        5,
        FALSE
    )=0,
    "",
    VLOOKUP(
        $A52,
        _xlfn._xlws.FILTER(
            INDIRECT("'"&amp;G$1&amp;"'!A2:E1000"), (INDIRECT("'"&amp;G$1&amp;"'!B2:B1000")=$B52) * (INDIRECT("'"&amp;G$1&amp;"'!C2:C1000")=$C52)
        ),
        5,
        FALSE
    )
)</f>
        <v>Sem Técnico</v>
      </c>
      <c r="H52" s="113" t="str">
        <f t="array" aca="1" ref="H52" ca="1">IF(
    VLOOKUP(
        $A52,
        _xlfn._xlws.FILTER(
            INDIRECT("'"&amp;H$1&amp;"'!A2:E1000"), (INDIRECT("'"&amp;H$1&amp;"'!B2:B1000")=$B52) * (INDIRECT("'"&amp;H$1&amp;"'!C2:C1000")=$C52)
        ),
        5,
        FALSE
    )=0,
    "",
    VLOOKUP(
        $A52,
        _xlfn._xlws.FILTER(
            INDIRECT("'"&amp;H$1&amp;"'!A2:E1000"), (INDIRECT("'"&amp;H$1&amp;"'!B2:B1000")=$B52) * (INDIRECT("'"&amp;H$1&amp;"'!C2:C1000")=$C52)
        ),
        5,
        FALSE
    )
)</f>
        <v>Sem Técnico</v>
      </c>
      <c r="I52" s="113" t="str">
        <f t="array" aca="1" ref="I52" ca="1">IF(
    VLOOKUP(
        $A52,
        _xlfn._xlws.FILTER(
            INDIRECT("'"&amp;I$1&amp;"'!A2:E1000"), (INDIRECT("'"&amp;I$1&amp;"'!B2:B1000")=$B52) * (INDIRECT("'"&amp;I$1&amp;"'!C2:C1000")=$C52)
        ),
        5,
        FALSE
    )=0,
    "",
    VLOOKUP(
        $A52,
        _xlfn._xlws.FILTER(
            INDIRECT("'"&amp;I$1&amp;"'!A2:E1000"), (INDIRECT("'"&amp;I$1&amp;"'!B2:B1000")=$B52) * (INDIRECT("'"&amp;I$1&amp;"'!C2:C1000")=$C52)
        ),
        5,
        FALSE
    )
)</f>
        <v>Sem Técnico</v>
      </c>
      <c r="J52" s="113" t="str">
        <f t="array" aca="1" ref="J52" ca="1">IF(
    VLOOKUP(
        $A52,
        _xlfn._xlws.FILTER(
            INDIRECT("'"&amp;J$1&amp;"'!A2:E1000"), (INDIRECT("'"&amp;J$1&amp;"'!B2:B1000")=$B52) * (INDIRECT("'"&amp;J$1&amp;"'!C2:C1000")=$C52)
        ),
        5,
        FALSE
    )=0,
    "",
    VLOOKUP(
        $A52,
        _xlfn._xlws.FILTER(
            INDIRECT("'"&amp;J$1&amp;"'!A2:E1000"), (INDIRECT("'"&amp;J$1&amp;"'!B2:B1000")=$B52) * (INDIRECT("'"&amp;J$1&amp;"'!C2:C1000")=$C52)
        ),
        5,
        FALSE
    )
)</f>
        <v>Sem Técnico</v>
      </c>
      <c r="K52" s="113" t="str">
        <f t="array" aca="1" ref="K52" ca="1">IF(
    VLOOKUP(
        $A52,
        _xlfn._xlws.FILTER(
            INDIRECT("'"&amp;K$1&amp;"'!A2:E1000"), (INDIRECT("'"&amp;K$1&amp;"'!B2:B1000")=$B52) * (INDIRECT("'"&amp;K$1&amp;"'!C2:C1000")=$C52)
        ),
        5,
        FALSE
    )=0,
    "",
    VLOOKUP(
        $A52,
        _xlfn._xlws.FILTER(
            INDIRECT("'"&amp;K$1&amp;"'!A2:E1000"), (INDIRECT("'"&amp;K$1&amp;"'!B2:B1000")=$B52) * (INDIRECT("'"&amp;K$1&amp;"'!C2:C1000")=$C52)
        ),
        5,
        FALSE
    )
)</f>
        <v>Duplicado</v>
      </c>
      <c r="L52" s="113" t="str">
        <f t="array" aca="1" ref="L52" ca="1">IF(
    VLOOKUP(
        $A52,
        _xlfn._xlws.FILTER(
            INDIRECT("'"&amp;L$1&amp;"'!A2:E1000"), (INDIRECT("'"&amp;L$1&amp;"'!B2:B1000")=$B52) * (INDIRECT("'"&amp;L$1&amp;"'!C2:C1000")=$C52)
        ),
        5,
        FALSE
    )=0,
    "",
    VLOOKUP(
        $A52,
        _xlfn._xlws.FILTER(
            INDIRECT("'"&amp;L$1&amp;"'!A2:E1000"), (INDIRECT("'"&amp;L$1&amp;"'!B2:B1000")=$B52) * (INDIRECT("'"&amp;L$1&amp;"'!C2:C1000")=$C52)
        ),
        5,
        FALSE
    )
)</f>
        <v>Enviado</v>
      </c>
      <c r="M52" s="113" t="str">
        <f t="array" aca="1" ref="M52" ca="1">IF(
    VLOOKUP(
        $A52,
        _xlfn._xlws.FILTER(
            INDIRECT("'"&amp;M$1&amp;"'!A2:E1000"), (INDIRECT("'"&amp;M$1&amp;"'!B2:B1000")=$B52) * (INDIRECT("'"&amp;M$1&amp;"'!C2:C1000")=$C52)
        ),
        5,
        FALSE
    )=0,
    "",
    VLOOKUP(
        $A52,
        _xlfn._xlws.FILTER(
            INDIRECT("'"&amp;M$1&amp;"'!A2:E1000"), (INDIRECT("'"&amp;M$1&amp;"'!B2:B1000")=$B52) * (INDIRECT("'"&amp;M$1&amp;"'!C2:C1000")=$C52)
        ),
        5,
        FALSE
    )
)</f>
        <v>Enviado</v>
      </c>
      <c r="N52" s="113" t="str">
        <f t="array" aca="1" ref="N52" ca="1">IF(
    VLOOKUP(
        $A52,
        _xlfn._xlws.FILTER(
            INDIRECT("'"&amp;N$1&amp;"'!A2:E1000"), (INDIRECT("'"&amp;N$1&amp;"'!B2:B1000")=$B52) * (INDIRECT("'"&amp;N$1&amp;"'!C2:C1000")=$C52)
        ),
        5,
        FALSE
    )=0,
    "",
    VLOOKUP(
        $A52,
        _xlfn._xlws.FILTER(
            INDIRECT("'"&amp;N$1&amp;"'!A2:E1000"), (INDIRECT("'"&amp;N$1&amp;"'!B2:B1000")=$B52) * (INDIRECT("'"&amp;N$1&amp;"'!C2:C1000")=$C52)
        ),
        5,
        FALSE
    )
)</f>
        <v>Atrasado</v>
      </c>
      <c r="O52" s="113" t="str">
        <f t="array" aca="1" ref="O52" ca="1">IF(
    VLOOKUP(
        $A52,
        _xlfn._xlws.FILTER(
            INDIRECT("'"&amp;O$1&amp;"'!A2:E1000"), (INDIRECT("'"&amp;O$1&amp;"'!B2:B1000")=$B52) * (INDIRECT("'"&amp;O$1&amp;"'!C2:C1000")=$C52)
        ),
        5,
        FALSE
    )=0,
    "",
    VLOOKUP(
        $A52,
        _xlfn._xlws.FILTER(
            INDIRECT("'"&amp;O$1&amp;"'!A2:E1000"), (INDIRECT("'"&amp;O$1&amp;"'!B2:B1000")=$B52) * (INDIRECT("'"&amp;O$1&amp;"'!C2:C1000")=$C52)
        ),
        5,
        FALSE
    )
)</f>
        <v/>
      </c>
    </row>
    <row r="53" spans="1:15">
      <c r="A53" s="96" t="s">
        <v>26</v>
      </c>
      <c r="B53" s="112" t="s">
        <v>93</v>
      </c>
      <c r="C53" s="39">
        <v>1</v>
      </c>
      <c r="D53" s="113" t="str">
        <f t="array" aca="1" ref="D53" ca="1">IF(
    VLOOKUP(
        $A53,
        _xlfn._xlws.FILTER(
            INDIRECT("'"&amp;D$1&amp;"'!A2:E1000"), (INDIRECT("'"&amp;D$1&amp;"'!B2:B1000")=$B53) * (INDIRECT("'"&amp;D$1&amp;"'!C2:C1000")=$C53)
        ),
        5,
        FALSE
    )=0,
    "",
    VLOOKUP(
        $A53,
        _xlfn._xlws.FILTER(
            INDIRECT("'"&amp;D$1&amp;"'!A2:E1000"), (INDIRECT("'"&amp;D$1&amp;"'!B2:B1000")=$B53) * (INDIRECT("'"&amp;D$1&amp;"'!C2:C1000")=$C53)
        ),
        5,
        FALSE
    )
)</f>
        <v>Sem Técnico</v>
      </c>
      <c r="E53" s="113" t="str">
        <f t="array" aca="1" ref="E53" ca="1">IF(
    VLOOKUP(
        $A53,
        _xlfn._xlws.FILTER(
            INDIRECT("'"&amp;E$1&amp;"'!A2:E1000"), (INDIRECT("'"&amp;E$1&amp;"'!B2:B1000")=$B53) * (INDIRECT("'"&amp;E$1&amp;"'!C2:C1000")=$C53)
        ),
        5,
        FALSE
    )=0,
    "",
    VLOOKUP(
        $A53,
        _xlfn._xlws.FILTER(
            INDIRECT("'"&amp;E$1&amp;"'!A2:E1000"), (INDIRECT("'"&amp;E$1&amp;"'!B2:B1000")=$B53) * (INDIRECT("'"&amp;E$1&amp;"'!C2:C1000")=$C53)
        ),
        5,
        FALSE
    )
)</f>
        <v>Sem Técnico</v>
      </c>
      <c r="F53" s="113" t="str">
        <f t="array" aca="1" ref="F53" ca="1">IF(
    VLOOKUP(
        $A53,
        _xlfn._xlws.FILTER(
            INDIRECT("'"&amp;F$1&amp;"'!A2:E1000"), (INDIRECT("'"&amp;F$1&amp;"'!B2:B1000")=$B53) * (INDIRECT("'"&amp;F$1&amp;"'!C2:C1000")=$C53)
        ),
        5,
        FALSE
    )=0,
    "",
    VLOOKUP(
        $A53,
        _xlfn._xlws.FILTER(
            INDIRECT("'"&amp;F$1&amp;"'!A2:E1000"), (INDIRECT("'"&amp;F$1&amp;"'!B2:B1000")=$B53) * (INDIRECT("'"&amp;F$1&amp;"'!C2:C1000")=$C53)
        ),
        5,
        FALSE
    )
)</f>
        <v>Sem Técnico</v>
      </c>
      <c r="G53" s="113" t="str">
        <f t="array" aca="1" ref="G53" ca="1">IF(
    VLOOKUP(
        $A53,
        _xlfn._xlws.FILTER(
            INDIRECT("'"&amp;G$1&amp;"'!A2:E1000"), (INDIRECT("'"&amp;G$1&amp;"'!B2:B1000")=$B53) * (INDIRECT("'"&amp;G$1&amp;"'!C2:C1000")=$C53)
        ),
        5,
        FALSE
    )=0,
    "",
    VLOOKUP(
        $A53,
        _xlfn._xlws.FILTER(
            INDIRECT("'"&amp;G$1&amp;"'!A2:E1000"), (INDIRECT("'"&amp;G$1&amp;"'!B2:B1000")=$B53) * (INDIRECT("'"&amp;G$1&amp;"'!C2:C1000")=$C53)
        ),
        5,
        FALSE
    )
)</f>
        <v>Sem Técnico</v>
      </c>
      <c r="H53" s="113" t="str">
        <f t="array" aca="1" ref="H53" ca="1">IF(
    VLOOKUP(
        $A53,
        _xlfn._xlws.FILTER(
            INDIRECT("'"&amp;H$1&amp;"'!A2:E1000"), (INDIRECT("'"&amp;H$1&amp;"'!B2:B1000")=$B53) * (INDIRECT("'"&amp;H$1&amp;"'!C2:C1000")=$C53)
        ),
        5,
        FALSE
    )=0,
    "",
    VLOOKUP(
        $A53,
        _xlfn._xlws.FILTER(
            INDIRECT("'"&amp;H$1&amp;"'!A2:E1000"), (INDIRECT("'"&amp;H$1&amp;"'!B2:B1000")=$B53) * (INDIRECT("'"&amp;H$1&amp;"'!C2:C1000")=$C53)
        ),
        5,
        FALSE
    )
)</f>
        <v>Sem Técnico</v>
      </c>
      <c r="I53" s="113" t="str">
        <f t="array" aca="1" ref="I53" ca="1">IF(
    VLOOKUP(
        $A53,
        _xlfn._xlws.FILTER(
            INDIRECT("'"&amp;I$1&amp;"'!A2:E1000"), (INDIRECT("'"&amp;I$1&amp;"'!B2:B1000")=$B53) * (INDIRECT("'"&amp;I$1&amp;"'!C2:C1000")=$C53)
        ),
        5,
        FALSE
    )=0,
    "",
    VLOOKUP(
        $A53,
        _xlfn._xlws.FILTER(
            INDIRECT("'"&amp;I$1&amp;"'!A2:E1000"), (INDIRECT("'"&amp;I$1&amp;"'!B2:B1000")=$B53) * (INDIRECT("'"&amp;I$1&amp;"'!C2:C1000")=$C53)
        ),
        5,
        FALSE
    )
)</f>
        <v>Sem Técnico</v>
      </c>
      <c r="J53" s="113" t="str">
        <f t="array" aca="1" ref="J53" ca="1">IF(
    VLOOKUP(
        $A53,
        _xlfn._xlws.FILTER(
            INDIRECT("'"&amp;J$1&amp;"'!A2:E1000"), (INDIRECT("'"&amp;J$1&amp;"'!B2:B1000")=$B53) * (INDIRECT("'"&amp;J$1&amp;"'!C2:C1000")=$C53)
        ),
        5,
        FALSE
    )=0,
    "",
    VLOOKUP(
        $A53,
        _xlfn._xlws.FILTER(
            INDIRECT("'"&amp;J$1&amp;"'!A2:E1000"), (INDIRECT("'"&amp;J$1&amp;"'!B2:B1000")=$B53) * (INDIRECT("'"&amp;J$1&amp;"'!C2:C1000")=$C53)
        ),
        5,
        FALSE
    )
)</f>
        <v>Sem Técnico</v>
      </c>
      <c r="K53" s="113" t="str">
        <f t="array" aca="1" ref="K53" ca="1">IF(
    VLOOKUP(
        $A53,
        _xlfn._xlws.FILTER(
            INDIRECT("'"&amp;K$1&amp;"'!A2:E1000"), (INDIRECT("'"&amp;K$1&amp;"'!B2:B1000")=$B53) * (INDIRECT("'"&amp;K$1&amp;"'!C2:C1000")=$C53)
        ),
        5,
        FALSE
    )=0,
    "",
    VLOOKUP(
        $A53,
        _xlfn._xlws.FILTER(
            INDIRECT("'"&amp;K$1&amp;"'!A2:E1000"), (INDIRECT("'"&amp;K$1&amp;"'!B2:B1000")=$B53) * (INDIRECT("'"&amp;K$1&amp;"'!C2:C1000")=$C53)
        ),
        5,
        FALSE
    )
)</f>
        <v>Atrasado &gt;= 2</v>
      </c>
      <c r="L53" s="113" t="str">
        <f t="array" aca="1" ref="L53" ca="1">IF(
    VLOOKUP(
        $A53,
        _xlfn._xlws.FILTER(
            INDIRECT("'"&amp;L$1&amp;"'!A2:E1000"), (INDIRECT("'"&amp;L$1&amp;"'!B2:B1000")=$B53) * (INDIRECT("'"&amp;L$1&amp;"'!C2:C1000")=$C53)
        ),
        5,
        FALSE
    )=0,
    "",
    VLOOKUP(
        $A53,
        _xlfn._xlws.FILTER(
            INDIRECT("'"&amp;L$1&amp;"'!A2:E1000"), (INDIRECT("'"&amp;L$1&amp;"'!B2:B1000")=$B53) * (INDIRECT("'"&amp;L$1&amp;"'!C2:C1000")=$C53)
        ),
        5,
        FALSE
    )
)</f>
        <v>Atrasado &gt;= 2</v>
      </c>
      <c r="M53" s="113" t="str">
        <f t="array" aca="1" ref="M53" ca="1">IF(
    VLOOKUP(
        $A53,
        _xlfn._xlws.FILTER(
            INDIRECT("'"&amp;M$1&amp;"'!A2:E1000"), (INDIRECT("'"&amp;M$1&amp;"'!B2:B1000")=$B53) * (INDIRECT("'"&amp;M$1&amp;"'!C2:C1000")=$C53)
        ),
        5,
        FALSE
    )=0,
    "",
    VLOOKUP(
        $A53,
        _xlfn._xlws.FILTER(
            INDIRECT("'"&amp;M$1&amp;"'!A2:E1000"), (INDIRECT("'"&amp;M$1&amp;"'!B2:B1000")=$B53) * (INDIRECT("'"&amp;M$1&amp;"'!C2:C1000")=$C53)
        ),
        5,
        FALSE
    )
)</f>
        <v>Atrasado &gt;= 2</v>
      </c>
      <c r="N53" s="113" t="str">
        <f t="array" aca="1" ref="N53" ca="1">IF(
    VLOOKUP(
        $A53,
        _xlfn._xlws.FILTER(
            INDIRECT("'"&amp;N$1&amp;"'!A2:E1000"), (INDIRECT("'"&amp;N$1&amp;"'!B2:B1000")=$B53) * (INDIRECT("'"&amp;N$1&amp;"'!C2:C1000")=$C53)
        ),
        5,
        FALSE
    )=0,
    "",
    VLOOKUP(
        $A53,
        _xlfn._xlws.FILTER(
            INDIRECT("'"&amp;N$1&amp;"'!A2:E1000"), (INDIRECT("'"&amp;N$1&amp;"'!B2:B1000")=$B53) * (INDIRECT("'"&amp;N$1&amp;"'!C2:C1000")=$C53)
        ),
        5,
        FALSE
    )
)</f>
        <v>Atrasado</v>
      </c>
      <c r="O53" s="113" t="str">
        <f t="array" aca="1" ref="O53" ca="1">IF(
    VLOOKUP(
        $A53,
        _xlfn._xlws.FILTER(
            INDIRECT("'"&amp;O$1&amp;"'!A2:E1000"), (INDIRECT("'"&amp;O$1&amp;"'!B2:B1000")=$B53) * (INDIRECT("'"&amp;O$1&amp;"'!C2:C1000")=$C53)
        ),
        5,
        FALSE
    )=0,
    "",
    VLOOKUP(
        $A53,
        _xlfn._xlws.FILTER(
            INDIRECT("'"&amp;O$1&amp;"'!A2:E1000"), (INDIRECT("'"&amp;O$1&amp;"'!B2:B1000")=$B53) * (INDIRECT("'"&amp;O$1&amp;"'!C2:C1000")=$C53)
        ),
        5,
        FALSE
    )
)</f>
        <v/>
      </c>
    </row>
    <row r="54" spans="1:15">
      <c r="A54" s="96" t="s">
        <v>26</v>
      </c>
      <c r="B54" s="112" t="s">
        <v>94</v>
      </c>
      <c r="C54" s="39">
        <v>1</v>
      </c>
      <c r="D54" s="113" t="str">
        <f t="array" aca="1" ref="D54" ca="1">IF(
    VLOOKUP(
        $A54,
        _xlfn._xlws.FILTER(
            INDIRECT("'"&amp;D$1&amp;"'!A2:E1000"), (INDIRECT("'"&amp;D$1&amp;"'!B2:B1000")=$B54) * (INDIRECT("'"&amp;D$1&amp;"'!C2:C1000")=$C54)
        ),
        5,
        FALSE
    )=0,
    "",
    VLOOKUP(
        $A54,
        _xlfn._xlws.FILTER(
            INDIRECT("'"&amp;D$1&amp;"'!A2:E1000"), (INDIRECT("'"&amp;D$1&amp;"'!B2:B1000")=$B54) * (INDIRECT("'"&amp;D$1&amp;"'!C2:C1000")=$C54)
        ),
        5,
        FALSE
    )
)</f>
        <v>Sem Técnico</v>
      </c>
      <c r="E54" s="113" t="str">
        <f t="array" aca="1" ref="E54" ca="1">IF(
    VLOOKUP(
        $A54,
        _xlfn._xlws.FILTER(
            INDIRECT("'"&amp;E$1&amp;"'!A2:E1000"), (INDIRECT("'"&amp;E$1&amp;"'!B2:B1000")=$B54) * (INDIRECT("'"&amp;E$1&amp;"'!C2:C1000")=$C54)
        ),
        5,
        FALSE
    )=0,
    "",
    VLOOKUP(
        $A54,
        _xlfn._xlws.FILTER(
            INDIRECT("'"&amp;E$1&amp;"'!A2:E1000"), (INDIRECT("'"&amp;E$1&amp;"'!B2:B1000")=$B54) * (INDIRECT("'"&amp;E$1&amp;"'!C2:C1000")=$C54)
        ),
        5,
        FALSE
    )
)</f>
        <v>Sem Técnico</v>
      </c>
      <c r="F54" s="113" t="str">
        <f t="array" aca="1" ref="F54" ca="1">IF(
    VLOOKUP(
        $A54,
        _xlfn._xlws.FILTER(
            INDIRECT("'"&amp;F$1&amp;"'!A2:E1000"), (INDIRECT("'"&amp;F$1&amp;"'!B2:B1000")=$B54) * (INDIRECT("'"&amp;F$1&amp;"'!C2:C1000")=$C54)
        ),
        5,
        FALSE
    )=0,
    "",
    VLOOKUP(
        $A54,
        _xlfn._xlws.FILTER(
            INDIRECT("'"&amp;F$1&amp;"'!A2:E1000"), (INDIRECT("'"&amp;F$1&amp;"'!B2:B1000")=$B54) * (INDIRECT("'"&amp;F$1&amp;"'!C2:C1000")=$C54)
        ),
        5,
        FALSE
    )
)</f>
        <v>Sem Técnico</v>
      </c>
      <c r="G54" s="113" t="str">
        <f t="array" aca="1" ref="G54" ca="1">IF(
    VLOOKUP(
        $A54,
        _xlfn._xlws.FILTER(
            INDIRECT("'"&amp;G$1&amp;"'!A2:E1000"), (INDIRECT("'"&amp;G$1&amp;"'!B2:B1000")=$B54) * (INDIRECT("'"&amp;G$1&amp;"'!C2:C1000")=$C54)
        ),
        5,
        FALSE
    )=0,
    "",
    VLOOKUP(
        $A54,
        _xlfn._xlws.FILTER(
            INDIRECT("'"&amp;G$1&amp;"'!A2:E1000"), (INDIRECT("'"&amp;G$1&amp;"'!B2:B1000")=$B54) * (INDIRECT("'"&amp;G$1&amp;"'!C2:C1000")=$C54)
        ),
        5,
        FALSE
    )
)</f>
        <v>Sem Técnico</v>
      </c>
      <c r="H54" s="113" t="str">
        <f t="array" aca="1" ref="H54" ca="1">IF(
    VLOOKUP(
        $A54,
        _xlfn._xlws.FILTER(
            INDIRECT("'"&amp;H$1&amp;"'!A2:E1000"), (INDIRECT("'"&amp;H$1&amp;"'!B2:B1000")=$B54) * (INDIRECT("'"&amp;H$1&amp;"'!C2:C1000")=$C54)
        ),
        5,
        FALSE
    )=0,
    "",
    VLOOKUP(
        $A54,
        _xlfn._xlws.FILTER(
            INDIRECT("'"&amp;H$1&amp;"'!A2:E1000"), (INDIRECT("'"&amp;H$1&amp;"'!B2:B1000")=$B54) * (INDIRECT("'"&amp;H$1&amp;"'!C2:C1000")=$C54)
        ),
        5,
        FALSE
    )
)</f>
        <v>Sem Técnico</v>
      </c>
      <c r="I54" s="113" t="str">
        <f t="array" aca="1" ref="I54" ca="1">IF(
    VLOOKUP(
        $A54,
        _xlfn._xlws.FILTER(
            INDIRECT("'"&amp;I$1&amp;"'!A2:E1000"), (INDIRECT("'"&amp;I$1&amp;"'!B2:B1000")=$B54) * (INDIRECT("'"&amp;I$1&amp;"'!C2:C1000")=$C54)
        ),
        5,
        FALSE
    )=0,
    "",
    VLOOKUP(
        $A54,
        _xlfn._xlws.FILTER(
            INDIRECT("'"&amp;I$1&amp;"'!A2:E1000"), (INDIRECT("'"&amp;I$1&amp;"'!B2:B1000")=$B54) * (INDIRECT("'"&amp;I$1&amp;"'!C2:C1000")=$C54)
        ),
        5,
        FALSE
    )
)</f>
        <v>Sem Técnico</v>
      </c>
      <c r="J54" s="113" t="str">
        <f t="array" aca="1" ref="J54" ca="1">IF(
    VLOOKUP(
        $A54,
        _xlfn._xlws.FILTER(
            INDIRECT("'"&amp;J$1&amp;"'!A2:E1000"), (INDIRECT("'"&amp;J$1&amp;"'!B2:B1000")=$B54) * (INDIRECT("'"&amp;J$1&amp;"'!C2:C1000")=$C54)
        ),
        5,
        FALSE
    )=0,
    "",
    VLOOKUP(
        $A54,
        _xlfn._xlws.FILTER(
            INDIRECT("'"&amp;J$1&amp;"'!A2:E1000"), (INDIRECT("'"&amp;J$1&amp;"'!B2:B1000")=$B54) * (INDIRECT("'"&amp;J$1&amp;"'!C2:C1000")=$C54)
        ),
        5,
        FALSE
    )
)</f>
        <v>Sem Técnico</v>
      </c>
      <c r="K54" s="113" t="str">
        <f t="array" aca="1" ref="K54" ca="1">IF(
    VLOOKUP(
        $A54,
        _xlfn._xlws.FILTER(
            INDIRECT("'"&amp;K$1&amp;"'!A2:E1000"), (INDIRECT("'"&amp;K$1&amp;"'!B2:B1000")=$B54) * (INDIRECT("'"&amp;K$1&amp;"'!C2:C1000")=$C54)
        ),
        5,
        FALSE
    )=0,
    "",
    VLOOKUP(
        $A54,
        _xlfn._xlws.FILTER(
            INDIRECT("'"&amp;K$1&amp;"'!A2:E1000"), (INDIRECT("'"&amp;K$1&amp;"'!B2:B1000")=$B54) * (INDIRECT("'"&amp;K$1&amp;"'!C2:C1000")=$C54)
        ),
        5,
        FALSE
    )
)</f>
        <v>Sem Técnico</v>
      </c>
      <c r="L54" s="113" t="str">
        <f t="array" aca="1" ref="L54" ca="1">IF(
    VLOOKUP(
        $A54,
        _xlfn._xlws.FILTER(
            INDIRECT("'"&amp;L$1&amp;"'!A2:E1000"), (INDIRECT("'"&amp;L$1&amp;"'!B2:B1000")=$B54) * (INDIRECT("'"&amp;L$1&amp;"'!C2:C1000")=$C54)
        ),
        5,
        FALSE
    )=0,
    "",
    VLOOKUP(
        $A54,
        _xlfn._xlws.FILTER(
            INDIRECT("'"&amp;L$1&amp;"'!A2:E1000"), (INDIRECT("'"&amp;L$1&amp;"'!B2:B1000")=$B54) * (INDIRECT("'"&amp;L$1&amp;"'!C2:C1000")=$C54)
        ),
        5,
        FALSE
    )
)</f>
        <v>Sem Técnico</v>
      </c>
      <c r="M54" s="113" t="str">
        <f t="array" aca="1" ref="M54" ca="1">IF(
    VLOOKUP(
        $A54,
        _xlfn._xlws.FILTER(
            INDIRECT("'"&amp;M$1&amp;"'!A2:E1000"), (INDIRECT("'"&amp;M$1&amp;"'!B2:B1000")=$B54) * (INDIRECT("'"&amp;M$1&amp;"'!C2:C1000")=$C54)
        ),
        5,
        FALSE
    )=0,
    "",
    VLOOKUP(
        $A54,
        _xlfn._xlws.FILTER(
            INDIRECT("'"&amp;M$1&amp;"'!A2:E1000"), (INDIRECT("'"&amp;M$1&amp;"'!B2:B1000")=$B54) * (INDIRECT("'"&amp;M$1&amp;"'!C2:C1000")=$C54)
        ),
        5,
        FALSE
    )
)</f>
        <v>Sem Técnico</v>
      </c>
      <c r="N54" s="113" t="str">
        <f t="array" aca="1" ref="N54" ca="1">IF(
    VLOOKUP(
        $A54,
        _xlfn._xlws.FILTER(
            INDIRECT("'"&amp;N$1&amp;"'!A2:E1000"), (INDIRECT("'"&amp;N$1&amp;"'!B2:B1000")=$B54) * (INDIRECT("'"&amp;N$1&amp;"'!C2:C1000")=$C54)
        ),
        5,
        FALSE
    )=0,
    "",
    VLOOKUP(
        $A54,
        _xlfn._xlws.FILTER(
            INDIRECT("'"&amp;N$1&amp;"'!A2:E1000"), (INDIRECT("'"&amp;N$1&amp;"'!B2:B1000")=$B54) * (INDIRECT("'"&amp;N$1&amp;"'!C2:C1000")=$C54)
        ),
        5,
        FALSE
    )
)</f>
        <v>Sem Técnico</v>
      </c>
      <c r="O54" s="113" t="str">
        <f t="array" aca="1" ref="O54" ca="1">IF(
    VLOOKUP(
        $A54,
        _xlfn._xlws.FILTER(
            INDIRECT("'"&amp;O$1&amp;"'!A2:E1000"), (INDIRECT("'"&amp;O$1&amp;"'!B2:B1000")=$B54) * (INDIRECT("'"&amp;O$1&amp;"'!C2:C1000")=$C54)
        ),
        5,
        FALSE
    )=0,
    "",
    VLOOKUP(
        $A54,
        _xlfn._xlws.FILTER(
            INDIRECT("'"&amp;O$1&amp;"'!A2:E1000"), (INDIRECT("'"&amp;O$1&amp;"'!B2:B1000")=$B54) * (INDIRECT("'"&amp;O$1&amp;"'!C2:C1000")=$C54)
        ),
        5,
        FALSE
    )
)</f>
        <v>Sem Técnico</v>
      </c>
    </row>
    <row r="55" spans="1:15">
      <c r="A55" s="96" t="s">
        <v>26</v>
      </c>
      <c r="B55" s="112" t="s">
        <v>95</v>
      </c>
      <c r="C55" s="39">
        <v>1</v>
      </c>
      <c r="D55" s="113" t="str">
        <f t="array" aca="1" ref="D55" ca="1">IF(
    VLOOKUP(
        $A55,
        _xlfn._xlws.FILTER(
            INDIRECT("'"&amp;D$1&amp;"'!A2:E1000"), (INDIRECT("'"&amp;D$1&amp;"'!B2:B1000")=$B55) * (INDIRECT("'"&amp;D$1&amp;"'!C2:C1000")=$C55)
        ),
        5,
        FALSE
    )=0,
    "",
    VLOOKUP(
        $A55,
        _xlfn._xlws.FILTER(
            INDIRECT("'"&amp;D$1&amp;"'!A2:E1000"), (INDIRECT("'"&amp;D$1&amp;"'!B2:B1000")=$B55) * (INDIRECT("'"&amp;D$1&amp;"'!C2:C1000")=$C55)
        ),
        5,
        FALSE
    )
)</f>
        <v>Sem Técnico</v>
      </c>
      <c r="E55" s="113" t="str">
        <f t="array" aca="1" ref="E55" ca="1">IF(
    VLOOKUP(
        $A55,
        _xlfn._xlws.FILTER(
            INDIRECT("'"&amp;E$1&amp;"'!A2:E1000"), (INDIRECT("'"&amp;E$1&amp;"'!B2:B1000")=$B55) * (INDIRECT("'"&amp;E$1&amp;"'!C2:C1000")=$C55)
        ),
        5,
        FALSE
    )=0,
    "",
    VLOOKUP(
        $A55,
        _xlfn._xlws.FILTER(
            INDIRECT("'"&amp;E$1&amp;"'!A2:E1000"), (INDIRECT("'"&amp;E$1&amp;"'!B2:B1000")=$B55) * (INDIRECT("'"&amp;E$1&amp;"'!C2:C1000")=$C55)
        ),
        5,
        FALSE
    )
)</f>
        <v>Sem Técnico</v>
      </c>
      <c r="F55" s="113" t="str">
        <f t="array" aca="1" ref="F55" ca="1">IF(
    VLOOKUP(
        $A55,
        _xlfn._xlws.FILTER(
            INDIRECT("'"&amp;F$1&amp;"'!A2:E1000"), (INDIRECT("'"&amp;F$1&amp;"'!B2:B1000")=$B55) * (INDIRECT("'"&amp;F$1&amp;"'!C2:C1000")=$C55)
        ),
        5,
        FALSE
    )=0,
    "",
    VLOOKUP(
        $A55,
        _xlfn._xlws.FILTER(
            INDIRECT("'"&amp;F$1&amp;"'!A2:E1000"), (INDIRECT("'"&amp;F$1&amp;"'!B2:B1000")=$B55) * (INDIRECT("'"&amp;F$1&amp;"'!C2:C1000")=$C55)
        ),
        5,
        FALSE
    )
)</f>
        <v>Sem Técnico</v>
      </c>
      <c r="G55" s="113" t="str">
        <f t="array" aca="1" ref="G55" ca="1">IF(
    VLOOKUP(
        $A55,
        _xlfn._xlws.FILTER(
            INDIRECT("'"&amp;G$1&amp;"'!A2:E1000"), (INDIRECT("'"&amp;G$1&amp;"'!B2:B1000")=$B55) * (INDIRECT("'"&amp;G$1&amp;"'!C2:C1000")=$C55)
        ),
        5,
        FALSE
    )=0,
    "",
    VLOOKUP(
        $A55,
        _xlfn._xlws.FILTER(
            INDIRECT("'"&amp;G$1&amp;"'!A2:E1000"), (INDIRECT("'"&amp;G$1&amp;"'!B2:B1000")=$B55) * (INDIRECT("'"&amp;G$1&amp;"'!C2:C1000")=$C55)
        ),
        5,
        FALSE
    )
)</f>
        <v>Sem Técnico</v>
      </c>
      <c r="H55" s="113" t="str">
        <f t="array" aca="1" ref="H55" ca="1">IF(
    VLOOKUP(
        $A55,
        _xlfn._xlws.FILTER(
            INDIRECT("'"&amp;H$1&amp;"'!A2:E1000"), (INDIRECT("'"&amp;H$1&amp;"'!B2:B1000")=$B55) * (INDIRECT("'"&amp;H$1&amp;"'!C2:C1000")=$C55)
        ),
        5,
        FALSE
    )=0,
    "",
    VLOOKUP(
        $A55,
        _xlfn._xlws.FILTER(
            INDIRECT("'"&amp;H$1&amp;"'!A2:E1000"), (INDIRECT("'"&amp;H$1&amp;"'!B2:B1000")=$B55) * (INDIRECT("'"&amp;H$1&amp;"'!C2:C1000")=$C55)
        ),
        5,
        FALSE
    )
)</f>
        <v>Sem Técnico</v>
      </c>
      <c r="I55" s="113" t="str">
        <f t="array" aca="1" ref="I55" ca="1">IF(
    VLOOKUP(
        $A55,
        _xlfn._xlws.FILTER(
            INDIRECT("'"&amp;I$1&amp;"'!A2:E1000"), (INDIRECT("'"&amp;I$1&amp;"'!B2:B1000")=$B55) * (INDIRECT("'"&amp;I$1&amp;"'!C2:C1000")=$C55)
        ),
        5,
        FALSE
    )=0,
    "",
    VLOOKUP(
        $A55,
        _xlfn._xlws.FILTER(
            INDIRECT("'"&amp;I$1&amp;"'!A2:E1000"), (INDIRECT("'"&amp;I$1&amp;"'!B2:B1000")=$B55) * (INDIRECT("'"&amp;I$1&amp;"'!C2:C1000")=$C55)
        ),
        5,
        FALSE
    )
)</f>
        <v>Sem Técnico</v>
      </c>
      <c r="J55" s="113" t="str">
        <f t="array" aca="1" ref="J55" ca="1">IF(
    VLOOKUP(
        $A55,
        _xlfn._xlws.FILTER(
            INDIRECT("'"&amp;J$1&amp;"'!A2:E1000"), (INDIRECT("'"&amp;J$1&amp;"'!B2:B1000")=$B55) * (INDIRECT("'"&amp;J$1&amp;"'!C2:C1000")=$C55)
        ),
        5,
        FALSE
    )=0,
    "",
    VLOOKUP(
        $A55,
        _xlfn._xlws.FILTER(
            INDIRECT("'"&amp;J$1&amp;"'!A2:E1000"), (INDIRECT("'"&amp;J$1&amp;"'!B2:B1000")=$B55) * (INDIRECT("'"&amp;J$1&amp;"'!C2:C1000")=$C55)
        ),
        5,
        FALSE
    )
)</f>
        <v>Sem Técnico</v>
      </c>
      <c r="K55" s="113" t="str">
        <f t="array" aca="1" ref="K55" ca="1">IF(
    VLOOKUP(
        $A55,
        _xlfn._xlws.FILTER(
            INDIRECT("'"&amp;K$1&amp;"'!A2:E1000"), (INDIRECT("'"&amp;K$1&amp;"'!B2:B1000")=$B55) * (INDIRECT("'"&amp;K$1&amp;"'!C2:C1000")=$C55)
        ),
        5,
        FALSE
    )=0,
    "",
    VLOOKUP(
        $A55,
        _xlfn._xlws.FILTER(
            INDIRECT("'"&amp;K$1&amp;"'!A2:E1000"), (INDIRECT("'"&amp;K$1&amp;"'!B2:B1000")=$B55) * (INDIRECT("'"&amp;K$1&amp;"'!C2:C1000")=$C55)
        ),
        5,
        FALSE
    )
)</f>
        <v>Enviado</v>
      </c>
      <c r="L55" s="113" t="str">
        <f t="array" aca="1" ref="L55" ca="1">IF(
    VLOOKUP(
        $A55,
        _xlfn._xlws.FILTER(
            INDIRECT("'"&amp;L$1&amp;"'!A2:E1000"), (INDIRECT("'"&amp;L$1&amp;"'!B2:B1000")=$B55) * (INDIRECT("'"&amp;L$1&amp;"'!C2:C1000")=$C55)
        ),
        5,
        FALSE
    )=0,
    "",
    VLOOKUP(
        $A55,
        _xlfn._xlws.FILTER(
            INDIRECT("'"&amp;L$1&amp;"'!A2:E1000"), (INDIRECT("'"&amp;L$1&amp;"'!B2:B1000")=$B55) * (INDIRECT("'"&amp;L$1&amp;"'!C2:C1000")=$C55)
        ),
        5,
        FALSE
    )
)</f>
        <v>Enviado</v>
      </c>
      <c r="M55" s="113" t="str">
        <f t="array" aca="1" ref="M55" ca="1">IF(
    VLOOKUP(
        $A55,
        _xlfn._xlws.FILTER(
            INDIRECT("'"&amp;M$1&amp;"'!A2:E1000"), (INDIRECT("'"&amp;M$1&amp;"'!B2:B1000")=$B55) * (INDIRECT("'"&amp;M$1&amp;"'!C2:C1000")=$C55)
        ),
        5,
        FALSE
    )=0,
    "",
    VLOOKUP(
        $A55,
        _xlfn._xlws.FILTER(
            INDIRECT("'"&amp;M$1&amp;"'!A2:E1000"), (INDIRECT("'"&amp;M$1&amp;"'!B2:B1000")=$B55) * (INDIRECT("'"&amp;M$1&amp;"'!C2:C1000")=$C55)
        ),
        5,
        FALSE
    )
)</f>
        <v>Enviado</v>
      </c>
      <c r="N55" s="113" t="str">
        <f t="array" aca="1" ref="N55" ca="1">IF(
    VLOOKUP(
        $A55,
        _xlfn._xlws.FILTER(
            INDIRECT("'"&amp;N$1&amp;"'!A2:E1000"), (INDIRECT("'"&amp;N$1&amp;"'!B2:B1000")=$B55) * (INDIRECT("'"&amp;N$1&amp;"'!C2:C1000")=$C55)
        ),
        5,
        FALSE
    )=0,
    "",
    VLOOKUP(
        $A55,
        _xlfn._xlws.FILTER(
            INDIRECT("'"&amp;N$1&amp;"'!A2:E1000"), (INDIRECT("'"&amp;N$1&amp;"'!B2:B1000")=$B55) * (INDIRECT("'"&amp;N$1&amp;"'!C2:C1000")=$C55)
        ),
        5,
        FALSE
    )
)</f>
        <v>Atrasado</v>
      </c>
      <c r="O55" s="113" t="str">
        <f t="array" aca="1" ref="O55" ca="1">IF(
    VLOOKUP(
        $A55,
        _xlfn._xlws.FILTER(
            INDIRECT("'"&amp;O$1&amp;"'!A2:E1000"), (INDIRECT("'"&amp;O$1&amp;"'!B2:B1000")=$B55) * (INDIRECT("'"&amp;O$1&amp;"'!C2:C1000")=$C55)
        ),
        5,
        FALSE
    )=0,
    "",
    VLOOKUP(
        $A55,
        _xlfn._xlws.FILTER(
            INDIRECT("'"&amp;O$1&amp;"'!A2:E1000"), (INDIRECT("'"&amp;O$1&amp;"'!B2:B1000")=$B55) * (INDIRECT("'"&amp;O$1&amp;"'!C2:C1000")=$C55)
        ),
        5,
        FALSE
    )
)</f>
        <v/>
      </c>
    </row>
    <row r="66" ht="15.75" customHeight="1"/>
    <row r="79" ht="14.25" customHeight="1"/>
  </sheetData>
  <conditionalFormatting sqref="D2:O9 D12:O22 D25:O34 D37:O40 D43:O79">
    <cfRule type="cellIs" dxfId="145" priority="55" operator="equal">
      <formula>"Duplicado"</formula>
    </cfRule>
    <cfRule type="cellIs" dxfId="144" priority="56" operator="equal">
      <formula>"Sem Técnico"</formula>
    </cfRule>
    <cfRule type="cellIs" dxfId="143" priority="57" operator="equal">
      <formula>"Outras Ocorrências"</formula>
    </cfRule>
    <cfRule type="cellIs" dxfId="142" priority="58" operator="equal">
      <formula>"Atrasado &gt;= 2"</formula>
    </cfRule>
    <cfRule type="cellIs" dxfId="141" priority="59" operator="equal">
      <formula>"Atrasado"</formula>
    </cfRule>
    <cfRule type="cellIs" dxfId="140" priority="60" operator="equal">
      <formula>"Enviado"</formula>
    </cfRule>
  </conditionalFormatting>
  <conditionalFormatting sqref="J2:O9 J12:O22 J25:O34 J37:O40 J43:O55">
    <cfRule type="cellIs" dxfId="139" priority="49" operator="equal">
      <formula>"Duplicado"</formula>
    </cfRule>
    <cfRule type="cellIs" dxfId="138" priority="50" operator="equal">
      <formula>"Sem Técnico"</formula>
    </cfRule>
    <cfRule type="cellIs" dxfId="137" priority="51" operator="equal">
      <formula>"Outras Ocorrências"</formula>
    </cfRule>
    <cfRule type="cellIs" dxfId="136" priority="52" operator="equal">
      <formula>"Atrasado &gt;= 2"</formula>
    </cfRule>
    <cfRule type="cellIs" dxfId="135" priority="53" operator="equal">
      <formula>"Atrasado"</formula>
    </cfRule>
    <cfRule type="cellIs" dxfId="134" priority="54"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5"/>
  <sheetViews>
    <sheetView workbookViewId="0"/>
  </sheetViews>
  <sheetFormatPr defaultRowHeight="15"/>
  <cols>
    <col min="2" max="2" width="27" customWidth="1"/>
  </cols>
  <sheetData>
    <row r="1" spans="1:15" ht="15.75" customHeight="1">
      <c r="A1" s="34" t="s">
        <v>25</v>
      </c>
      <c r="B1" s="34" t="s">
        <v>48</v>
      </c>
      <c r="C1" s="34" t="s">
        <v>49</v>
      </c>
      <c r="D1" s="36" t="s">
        <v>1</v>
      </c>
      <c r="E1" s="36" t="s">
        <v>2</v>
      </c>
      <c r="F1" s="36" t="s">
        <v>3</v>
      </c>
      <c r="G1" s="36" t="s">
        <v>4</v>
      </c>
      <c r="H1" s="36" t="s">
        <v>5</v>
      </c>
      <c r="I1" s="36" t="s">
        <v>6</v>
      </c>
      <c r="J1" s="36" t="s">
        <v>7</v>
      </c>
      <c r="K1" s="36" t="s">
        <v>8</v>
      </c>
      <c r="L1" s="36" t="s">
        <v>9</v>
      </c>
      <c r="M1" s="36" t="s">
        <v>10</v>
      </c>
      <c r="N1" s="36" t="s">
        <v>11</v>
      </c>
      <c r="O1" s="36" t="s">
        <v>12</v>
      </c>
    </row>
    <row r="2" spans="1:15" ht="15.75" customHeight="1">
      <c r="A2" s="86" t="s">
        <v>33</v>
      </c>
      <c r="B2" s="112" t="s">
        <v>50</v>
      </c>
      <c r="C2" s="90">
        <v>1</v>
      </c>
      <c r="D2" s="90" t="str">
        <f t="array" aca="1" ref="D2" ca="1">IF(
    VLOOKUP(
        $A2,
        _xlfn._xlws.FILTER(
            INDIRECT("'"&amp;D$1&amp;"'!A2:G1000"), (INDIRECT("'"&amp;D$1&amp;"'!B2:B1000")=$B2) * (INDIRECT("'"&amp;D$1&amp;"'!C2:C1000")=$C2)
        ),
        5,
        FALSE
    )="",
    "",
    VLOOKUP(
        $A2,
        _xlfn._xlws.FILTER(
            INDIRECT("'"&amp;D$1&amp;"'!A2:G1000"), (INDIRECT("'"&amp;D$1&amp;"'!B2:B1000")=$B2) * (INDIRECT("'"&amp;D$1&amp;"'!C2:C1000")=$C2)
        ),7,
        FALSE
    )
)</f>
        <v>Sim</v>
      </c>
      <c r="E2" s="90" t="str">
        <f t="array" aca="1" ref="E2" ca="1">IF(
    VLOOKUP(
        $A2,
        _xlfn._xlws.FILTER(
            INDIRECT("'"&amp;E$1&amp;"'!A2:G1000"), (INDIRECT("'"&amp;E$1&amp;"'!B2:B1000")=$B2) * (INDIRECT("'"&amp;E$1&amp;"'!C2:C1000")=$C2)
        ),
        5,
        FALSE
    )="",
    "",
    VLOOKUP(
        $A2,
        _xlfn._xlws.FILTER(
            INDIRECT("'"&amp;E$1&amp;"'!A2:G1000"), (INDIRECT("'"&amp;E$1&amp;"'!B2:B1000")=$B2) * (INDIRECT("'"&amp;E$1&amp;"'!C2:C1000")=$C2)
        ),7,
        FALSE
    )
)</f>
        <v>Sim</v>
      </c>
      <c r="F2" s="90" t="str">
        <f t="array" aca="1" ref="F2" ca="1">IF(
    VLOOKUP(
        $A2,
        _xlfn._xlws.FILTER(
            INDIRECT("'"&amp;F$1&amp;"'!A2:G1000"), (INDIRECT("'"&amp;F$1&amp;"'!B2:B1000")=$B2) * (INDIRECT("'"&amp;F$1&amp;"'!C2:C1000")=$C2)
        ),
        5,
        FALSE
    )="",
    "",
    VLOOKUP(
        $A2,
        _xlfn._xlws.FILTER(
            INDIRECT("'"&amp;F$1&amp;"'!A2:G1000"), (INDIRECT("'"&amp;F$1&amp;"'!B2:B1000")=$B2) * (INDIRECT("'"&amp;F$1&amp;"'!C2:C1000")=$C2)
        ),7,
        FALSE
    )
)</f>
        <v>Sim</v>
      </c>
      <c r="G2" s="90" t="str">
        <f t="array" aca="1" ref="G2" ca="1">IF(
    VLOOKUP(
        $A2,
        _xlfn._xlws.FILTER(
            INDIRECT("'"&amp;G$1&amp;"'!A2:G1000"), (INDIRECT("'"&amp;G$1&amp;"'!B2:B1000")=$B2) * (INDIRECT("'"&amp;G$1&amp;"'!C2:C1000")=$C2)
        ),
        5,
        FALSE
    )="",
    "",
    VLOOKUP(
        $A2,
        _xlfn._xlws.FILTER(
            INDIRECT("'"&amp;G$1&amp;"'!A2:G1000"), (INDIRECT("'"&amp;G$1&amp;"'!B2:B1000")=$B2) * (INDIRECT("'"&amp;G$1&amp;"'!C2:C1000")=$C2)
        ),7,
        FALSE
    )
)</f>
        <v>Sim</v>
      </c>
      <c r="H2" s="90" t="str">
        <f t="array" aca="1" ref="H2" ca="1">IF(
    VLOOKUP(
        $A2,
        _xlfn._xlws.FILTER(
            INDIRECT("'"&amp;H$1&amp;"'!A2:G1000"), (INDIRECT("'"&amp;H$1&amp;"'!B2:B1000")=$B2) * (INDIRECT("'"&amp;H$1&amp;"'!C2:C1000")=$C2)
        ),
        5,
        FALSE
    )="",
    "",
    VLOOKUP(
        $A2,
        _xlfn._xlws.FILTER(
            INDIRECT("'"&amp;H$1&amp;"'!A2:G1000"), (INDIRECT("'"&amp;H$1&amp;"'!B2:B1000")=$B2) * (INDIRECT("'"&amp;H$1&amp;"'!C2:C1000")=$C2)
        ),7,
        FALSE
    )
)</f>
        <v>Sim</v>
      </c>
      <c r="I2" s="90" t="str">
        <f t="array" aca="1" ref="I2" ca="1">IF(
    VLOOKUP(
        $A2,
        _xlfn._xlws.FILTER(
            INDIRECT("'"&amp;I$1&amp;"'!A2:G1000"), (INDIRECT("'"&amp;I$1&amp;"'!B2:B1000")=$B2) * (INDIRECT("'"&amp;I$1&amp;"'!C2:C1000")=$C2)
        ),
        5,
        FALSE
    )="",
    "",
    VLOOKUP(
        $A2,
        _xlfn._xlws.FILTER(
            INDIRECT("'"&amp;I$1&amp;"'!A2:G1000"), (INDIRECT("'"&amp;I$1&amp;"'!B2:B1000")=$B2) * (INDIRECT("'"&amp;I$1&amp;"'!C2:C1000")=$C2)
        ),7,
        FALSE
    )
)</f>
        <v>Sim</v>
      </c>
      <c r="J2" s="90" t="str">
        <f t="array" aca="1" ref="J2" ca="1">IF(
    VLOOKUP(
        $A2,
        _xlfn._xlws.FILTER(
            INDIRECT("'"&amp;J$1&amp;"'!A2:G1000"), (INDIRECT("'"&amp;J$1&amp;"'!B2:B1000")=$B2) * (INDIRECT("'"&amp;J$1&amp;"'!C2:C1000")=$C2)
        ),
        5,
        FALSE
    )="",
    "",
    VLOOKUP(
        $A2,
        _xlfn._xlws.FILTER(
            INDIRECT("'"&amp;J$1&amp;"'!A2:G1000"), (INDIRECT("'"&amp;J$1&amp;"'!B2:B1000")=$B2) * (INDIRECT("'"&amp;J$1&amp;"'!C2:C1000")=$C2)
        ),7,
        FALSE
    )
)</f>
        <v>Sim</v>
      </c>
      <c r="K2" s="90" t="str">
        <f t="array" aca="1" ref="K2" ca="1">IF(
    VLOOKUP(
        $A2,
        _xlfn._xlws.FILTER(
            INDIRECT("'"&amp;K$1&amp;"'!A2:G1000"), (INDIRECT("'"&amp;K$1&amp;"'!B2:B1000")=$B2) * (INDIRECT("'"&amp;K$1&amp;"'!C2:C1000")=$C2)
        ),
        5,
        FALSE
    )="",
    "",
    VLOOKUP(
        $A2,
        _xlfn._xlws.FILTER(
            INDIRECT("'"&amp;K$1&amp;"'!A2:G1000"), (INDIRECT("'"&amp;K$1&amp;"'!B2:B1000")=$B2) * (INDIRECT("'"&amp;K$1&amp;"'!C2:C1000")=$C2)
        ),7,
        FALSE
    )
)</f>
        <v>Não</v>
      </c>
      <c r="L2" s="90" t="str">
        <f t="array" aca="1" ref="L2" ca="1">IF(
    VLOOKUP(
        $A2,
        _xlfn._xlws.FILTER(
            INDIRECT("'"&amp;L$1&amp;"'!A2:G1000"), (INDIRECT("'"&amp;L$1&amp;"'!B2:B1000")=$B2) * (INDIRECT("'"&amp;L$1&amp;"'!C2:C1000")=$C2)
        ),
        5,
        FALSE
    )="",
    "",
    VLOOKUP(
        $A2,
        _xlfn._xlws.FILTER(
            INDIRECT("'"&amp;L$1&amp;"'!A2:G1000"), (INDIRECT("'"&amp;L$1&amp;"'!B2:B1000")=$B2) * (INDIRECT("'"&amp;L$1&amp;"'!C2:C1000")=$C2)
        ),7,
        FALSE
    )
)</f>
        <v>Não</v>
      </c>
      <c r="M2" s="90" t="str">
        <f t="array" aca="1" ref="M2" ca="1">IF(
    VLOOKUP(
        $A2,
        _xlfn._xlws.FILTER(
            INDIRECT("'"&amp;M$1&amp;"'!A2:G1000"), (INDIRECT("'"&amp;M$1&amp;"'!B2:B1000")=$B2) * (INDIRECT("'"&amp;M$1&amp;"'!C2:C1000")=$C2)
        ),
        5,
        FALSE
    )="",
    "",
    VLOOKUP(
        $A2,
        _xlfn._xlws.FILTER(
            INDIRECT("'"&amp;M$1&amp;"'!A2:G1000"), (INDIRECT("'"&amp;M$1&amp;"'!B2:B1000")=$B2) * (INDIRECT("'"&amp;M$1&amp;"'!C2:C1000")=$C2)
        ),7,
        FALSE
    )
)</f>
        <v>Não</v>
      </c>
      <c r="N2" s="90" t="str">
        <f t="array" aca="1" ref="N2" ca="1">IF(
    VLOOKUP(
        $A2,
        _xlfn._xlws.FILTER(
            INDIRECT("'"&amp;N$1&amp;"'!A2:G1000"), (INDIRECT("'"&amp;N$1&amp;"'!B2:B1000")=$B2) * (INDIRECT("'"&amp;N$1&amp;"'!C2:C1000")=$C2)
        ),
        5,
        FALSE
    )="",
    "",
    VLOOKUP(
        $A2,
        _xlfn._xlws.FILTER(
            INDIRECT("'"&amp;N$1&amp;"'!A2:G1000"), (INDIRECT("'"&amp;N$1&amp;"'!B2:B1000")=$B2) * (INDIRECT("'"&amp;N$1&amp;"'!C2:C1000")=$C2)
        ),7,
        FALSE
    )
)</f>
        <v>Não</v>
      </c>
      <c r="O2" s="90" t="str">
        <f t="array" aca="1" ref="O2" ca="1">IF(
    VLOOKUP(
        $A2,
        _xlfn._xlws.FILTER(
            INDIRECT("'"&amp;O$1&amp;"'!A2:G1000"), (INDIRECT("'"&amp;O$1&amp;"'!B2:B1000")=$B2) * (INDIRECT("'"&amp;O$1&amp;"'!C2:C1000")=$C2)
        ),
        5,
        FALSE
    )="",
    "",
    VLOOKUP(
        $A2,
        _xlfn._xlws.FILTER(
            INDIRECT("'"&amp;O$1&amp;"'!A2:G1000"), (INDIRECT("'"&amp;O$1&amp;"'!B2:B1000")=$B2) * (INDIRECT("'"&amp;O$1&amp;"'!C2:C1000")=$C2)
        ),7,
        FALSE
    )
)</f>
        <v>Não</v>
      </c>
    </row>
    <row r="3" spans="1:15" ht="15.75" customHeight="1">
      <c r="A3" s="86" t="s">
        <v>33</v>
      </c>
      <c r="B3" s="112" t="s">
        <v>51</v>
      </c>
      <c r="C3" s="90">
        <v>1</v>
      </c>
      <c r="D3" s="90" t="str">
        <f t="array" aca="1" ref="D3" ca="1">IF(
    VLOOKUP(
        $A3,
        _xlfn._xlws.FILTER(
            INDIRECT("'"&amp;D$1&amp;"'!A2:G1000"), (INDIRECT("'"&amp;D$1&amp;"'!B2:B1000")=$B3) * (INDIRECT("'"&amp;D$1&amp;"'!C2:C1000")=$C3)
        ),
        5,
        FALSE
    )="",
    "",
    VLOOKUP(
        $A3,
        _xlfn._xlws.FILTER(
            INDIRECT("'"&amp;D$1&amp;"'!A2:G1000"), (INDIRECT("'"&amp;D$1&amp;"'!B2:B1000")=$B3) * (INDIRECT("'"&amp;D$1&amp;"'!C2:C1000")=$C3)
        ),7,
        FALSE
    )
)</f>
        <v>Sim</v>
      </c>
      <c r="E3" s="90" t="str">
        <f t="array" aca="1" ref="E3" ca="1">IF(
    VLOOKUP(
        $A3,
        _xlfn._xlws.FILTER(
            INDIRECT("'"&amp;E$1&amp;"'!A2:G1000"), (INDIRECT("'"&amp;E$1&amp;"'!B2:B1000")=$B3) * (INDIRECT("'"&amp;E$1&amp;"'!C2:C1000")=$C3)
        ),
        5,
        FALSE
    )="",
    "",
    VLOOKUP(
        $A3,
        _xlfn._xlws.FILTER(
            INDIRECT("'"&amp;E$1&amp;"'!A2:G1000"), (INDIRECT("'"&amp;E$1&amp;"'!B2:B1000")=$B3) * (INDIRECT("'"&amp;E$1&amp;"'!C2:C1000")=$C3)
        ),7,
        FALSE
    )
)</f>
        <v>Sim</v>
      </c>
      <c r="F3" s="90" t="str">
        <f t="array" aca="1" ref="F3" ca="1">IF(
    VLOOKUP(
        $A3,
        _xlfn._xlws.FILTER(
            INDIRECT("'"&amp;F$1&amp;"'!A2:G1000"), (INDIRECT("'"&amp;F$1&amp;"'!B2:B1000")=$B3) * (INDIRECT("'"&amp;F$1&amp;"'!C2:C1000")=$C3)
        ),
        5,
        FALSE
    )="",
    "",
    VLOOKUP(
        $A3,
        _xlfn._xlws.FILTER(
            INDIRECT("'"&amp;F$1&amp;"'!A2:G1000"), (INDIRECT("'"&amp;F$1&amp;"'!B2:B1000")=$B3) * (INDIRECT("'"&amp;F$1&amp;"'!C2:C1000")=$C3)
        ),7,
        FALSE
    )
)</f>
        <v>Sim</v>
      </c>
      <c r="G3" s="90" t="str">
        <f t="array" aca="1" ref="G3" ca="1">IF(
    VLOOKUP(
        $A3,
        _xlfn._xlws.FILTER(
            INDIRECT("'"&amp;G$1&amp;"'!A2:G1000"), (INDIRECT("'"&amp;G$1&amp;"'!B2:B1000")=$B3) * (INDIRECT("'"&amp;G$1&amp;"'!C2:C1000")=$C3)
        ),
        5,
        FALSE
    )="",
    "",
    VLOOKUP(
        $A3,
        _xlfn._xlws.FILTER(
            INDIRECT("'"&amp;G$1&amp;"'!A2:G1000"), (INDIRECT("'"&amp;G$1&amp;"'!B2:B1000")=$B3) * (INDIRECT("'"&amp;G$1&amp;"'!C2:C1000")=$C3)
        ),7,
        FALSE
    )
)</f>
        <v>Sim</v>
      </c>
      <c r="H3" s="90" t="str">
        <f t="array" aca="1" ref="H3" ca="1">IF(
    VLOOKUP(
        $A3,
        _xlfn._xlws.FILTER(
            INDIRECT("'"&amp;H$1&amp;"'!A2:G1000"), (INDIRECT("'"&amp;H$1&amp;"'!B2:B1000")=$B3) * (INDIRECT("'"&amp;H$1&amp;"'!C2:C1000")=$C3)
        ),
        5,
        FALSE
    )="",
    "",
    VLOOKUP(
        $A3,
        _xlfn._xlws.FILTER(
            INDIRECT("'"&amp;H$1&amp;"'!A2:G1000"), (INDIRECT("'"&amp;H$1&amp;"'!B2:B1000")=$B3) * (INDIRECT("'"&amp;H$1&amp;"'!C2:C1000")=$C3)
        ),7,
        FALSE
    )
)</f>
        <v>Sim</v>
      </c>
      <c r="I3" s="90" t="str">
        <f t="array" aca="1" ref="I3" ca="1">IF(
    VLOOKUP(
        $A3,
        _xlfn._xlws.FILTER(
            INDIRECT("'"&amp;I$1&amp;"'!A2:G1000"), (INDIRECT("'"&amp;I$1&amp;"'!B2:B1000")=$B3) * (INDIRECT("'"&amp;I$1&amp;"'!C2:C1000")=$C3)
        ),
        5,
        FALSE
    )="",
    "",
    VLOOKUP(
        $A3,
        _xlfn._xlws.FILTER(
            INDIRECT("'"&amp;I$1&amp;"'!A2:G1000"), (INDIRECT("'"&amp;I$1&amp;"'!B2:B1000")=$B3) * (INDIRECT("'"&amp;I$1&amp;"'!C2:C1000")=$C3)
        ),7,
        FALSE
    )
)</f>
        <v>Sim</v>
      </c>
      <c r="J3" s="90" t="str">
        <f t="array" aca="1" ref="J3" ca="1">IF(
    VLOOKUP(
        $A3,
        _xlfn._xlws.FILTER(
            INDIRECT("'"&amp;J$1&amp;"'!A2:G1000"), (INDIRECT("'"&amp;J$1&amp;"'!B2:B1000")=$B3) * (INDIRECT("'"&amp;J$1&amp;"'!C2:C1000")=$C3)
        ),
        5,
        FALSE
    )="",
    "",
    VLOOKUP(
        $A3,
        _xlfn._xlws.FILTER(
            INDIRECT("'"&amp;J$1&amp;"'!A2:G1000"), (INDIRECT("'"&amp;J$1&amp;"'!B2:B1000")=$B3) * (INDIRECT("'"&amp;J$1&amp;"'!C2:C1000")=$C3)
        ),7,
        FALSE
    )
)</f>
        <v>Sim</v>
      </c>
      <c r="K3" s="90" t="str">
        <f t="array" aca="1" ref="K3" ca="1">IF(
    VLOOKUP(
        $A3,
        _xlfn._xlws.FILTER(
            INDIRECT("'"&amp;K$1&amp;"'!A2:G1000"), (INDIRECT("'"&amp;K$1&amp;"'!B2:B1000")=$B3) * (INDIRECT("'"&amp;K$1&amp;"'!C2:C1000")=$C3)
        ),
        5,
        FALSE
    )="",
    "",
    VLOOKUP(
        $A3,
        _xlfn._xlws.FILTER(
            INDIRECT("'"&amp;K$1&amp;"'!A2:G1000"), (INDIRECT("'"&amp;K$1&amp;"'!B2:B1000")=$B3) * (INDIRECT("'"&amp;K$1&amp;"'!C2:C1000")=$C3)
        ),7,
        FALSE
    )
)</f>
        <v>Não</v>
      </c>
      <c r="L3" s="90" t="str">
        <f t="array" aca="1" ref="L3" ca="1">IF(
    VLOOKUP(
        $A3,
        _xlfn._xlws.FILTER(
            INDIRECT("'"&amp;L$1&amp;"'!A2:G1000"), (INDIRECT("'"&amp;L$1&amp;"'!B2:B1000")=$B3) * (INDIRECT("'"&amp;L$1&amp;"'!C2:C1000")=$C3)
        ),
        5,
        FALSE
    )="",
    "",
    VLOOKUP(
        $A3,
        _xlfn._xlws.FILTER(
            INDIRECT("'"&amp;L$1&amp;"'!A2:G1000"), (INDIRECT("'"&amp;L$1&amp;"'!B2:B1000")=$B3) * (INDIRECT("'"&amp;L$1&amp;"'!C2:C1000")=$C3)
        ),7,
        FALSE
    )
)</f>
        <v>Não</v>
      </c>
      <c r="M3" s="90" t="str">
        <f t="array" aca="1" ref="M3" ca="1">IF(
    VLOOKUP(
        $A3,
        _xlfn._xlws.FILTER(
            INDIRECT("'"&amp;M$1&amp;"'!A2:G1000"), (INDIRECT("'"&amp;M$1&amp;"'!B2:B1000")=$B3) * (INDIRECT("'"&amp;M$1&amp;"'!C2:C1000")=$C3)
        ),
        5,
        FALSE
    )="",
    "",
    VLOOKUP(
        $A3,
        _xlfn._xlws.FILTER(
            INDIRECT("'"&amp;M$1&amp;"'!A2:G1000"), (INDIRECT("'"&amp;M$1&amp;"'!B2:B1000")=$B3) * (INDIRECT("'"&amp;M$1&amp;"'!C2:C1000")=$C3)
        ),7,
        FALSE
    )
)</f>
        <v>Não</v>
      </c>
      <c r="N3" s="90" t="str">
        <f t="array" aca="1" ref="N3" ca="1">IF(
    VLOOKUP(
        $A3,
        _xlfn._xlws.FILTER(
            INDIRECT("'"&amp;N$1&amp;"'!A2:G1000"), (INDIRECT("'"&amp;N$1&amp;"'!B2:B1000")=$B3) * (INDIRECT("'"&amp;N$1&amp;"'!C2:C1000")=$C3)
        ),
        5,
        FALSE
    )="",
    "",
    VLOOKUP(
        $A3,
        _xlfn._xlws.FILTER(
            INDIRECT("'"&amp;N$1&amp;"'!A2:G1000"), (INDIRECT("'"&amp;N$1&amp;"'!B2:B1000")=$B3) * (INDIRECT("'"&amp;N$1&amp;"'!C2:C1000")=$C3)
        ),7,
        FALSE
    )
)</f>
        <v>Não</v>
      </c>
      <c r="O3" s="90" t="str">
        <f t="array" aca="1" ref="O3" ca="1">IF(
    VLOOKUP(
        $A3,
        _xlfn._xlws.FILTER(
            INDIRECT("'"&amp;O$1&amp;"'!A2:G1000"), (INDIRECT("'"&amp;O$1&amp;"'!B2:B1000")=$B3) * (INDIRECT("'"&amp;O$1&amp;"'!C2:C1000")=$C3)
        ),
        5,
        FALSE
    )="",
    "",
    VLOOKUP(
        $A3,
        _xlfn._xlws.FILTER(
            INDIRECT("'"&amp;O$1&amp;"'!A2:G1000"), (INDIRECT("'"&amp;O$1&amp;"'!B2:B1000")=$B3) * (INDIRECT("'"&amp;O$1&amp;"'!C2:C1000")=$C3)
        ),7,
        FALSE
    )
)</f>
        <v/>
      </c>
    </row>
    <row r="4" spans="1:15" ht="15.75" customHeight="1">
      <c r="A4" s="86" t="s">
        <v>33</v>
      </c>
      <c r="B4" s="112" t="s">
        <v>52</v>
      </c>
      <c r="C4" s="90">
        <v>1</v>
      </c>
      <c r="D4" s="90" t="str">
        <f t="array" aca="1" ref="D4" ca="1">IF(
    VLOOKUP(
        $A4,
        _xlfn._xlws.FILTER(
            INDIRECT("'"&amp;D$1&amp;"'!A2:G1000"), (INDIRECT("'"&amp;D$1&amp;"'!B2:B1000")=$B4) * (INDIRECT("'"&amp;D$1&amp;"'!C2:C1000")=$C4)
        ),
        5,
        FALSE
    )="",
    "",
    VLOOKUP(
        $A4,
        _xlfn._xlws.FILTER(
            INDIRECT("'"&amp;D$1&amp;"'!A2:G1000"), (INDIRECT("'"&amp;D$1&amp;"'!B2:B1000")=$B4) * (INDIRECT("'"&amp;D$1&amp;"'!C2:C1000")=$C4)
        ),7,
        FALSE
    )
)</f>
        <v>Sim</v>
      </c>
      <c r="E4" s="90" t="str">
        <f t="array" aca="1" ref="E4" ca="1">IF(
    VLOOKUP(
        $A4,
        _xlfn._xlws.FILTER(
            INDIRECT("'"&amp;E$1&amp;"'!A2:G1000"), (INDIRECT("'"&amp;E$1&amp;"'!B2:B1000")=$B4) * (INDIRECT("'"&amp;E$1&amp;"'!C2:C1000")=$C4)
        ),
        5,
        FALSE
    )="",
    "",
    VLOOKUP(
        $A4,
        _xlfn._xlws.FILTER(
            INDIRECT("'"&amp;E$1&amp;"'!A2:G1000"), (INDIRECT("'"&amp;E$1&amp;"'!B2:B1000")=$B4) * (INDIRECT("'"&amp;E$1&amp;"'!C2:C1000")=$C4)
        ),7,
        FALSE
    )
)</f>
        <v>Sim</v>
      </c>
      <c r="F4" s="90" t="str">
        <f t="array" aca="1" ref="F4" ca="1">IF(
    VLOOKUP(
        $A4,
        _xlfn._xlws.FILTER(
            INDIRECT("'"&amp;F$1&amp;"'!A2:G1000"), (INDIRECT("'"&amp;F$1&amp;"'!B2:B1000")=$B4) * (INDIRECT("'"&amp;F$1&amp;"'!C2:C1000")=$C4)
        ),
        5,
        FALSE
    )="",
    "",
    VLOOKUP(
        $A4,
        _xlfn._xlws.FILTER(
            INDIRECT("'"&amp;F$1&amp;"'!A2:G1000"), (INDIRECT("'"&amp;F$1&amp;"'!B2:B1000")=$B4) * (INDIRECT("'"&amp;F$1&amp;"'!C2:C1000")=$C4)
        ),7,
        FALSE
    )
)</f>
        <v>Sim</v>
      </c>
      <c r="G4" s="90" t="str">
        <f t="array" aca="1" ref="G4" ca="1">IF(
    VLOOKUP(
        $A4,
        _xlfn._xlws.FILTER(
            INDIRECT("'"&amp;G$1&amp;"'!A2:G1000"), (INDIRECT("'"&amp;G$1&amp;"'!B2:B1000")=$B4) * (INDIRECT("'"&amp;G$1&amp;"'!C2:C1000")=$C4)
        ),
        5,
        FALSE
    )="",
    "",
    VLOOKUP(
        $A4,
        _xlfn._xlws.FILTER(
            INDIRECT("'"&amp;G$1&amp;"'!A2:G1000"), (INDIRECT("'"&amp;G$1&amp;"'!B2:B1000")=$B4) * (INDIRECT("'"&amp;G$1&amp;"'!C2:C1000")=$C4)
        ),7,
        FALSE
    )
)</f>
        <v>Sim</v>
      </c>
      <c r="H4" s="90" t="str">
        <f t="array" aca="1" ref="H4" ca="1">IF(
    VLOOKUP(
        $A4,
        _xlfn._xlws.FILTER(
            INDIRECT("'"&amp;H$1&amp;"'!A2:G1000"), (INDIRECT("'"&amp;H$1&amp;"'!B2:B1000")=$B4) * (INDIRECT("'"&amp;H$1&amp;"'!C2:C1000")=$C4)
        ),
        5,
        FALSE
    )="",
    "",
    VLOOKUP(
        $A4,
        _xlfn._xlws.FILTER(
            INDIRECT("'"&amp;H$1&amp;"'!A2:G1000"), (INDIRECT("'"&amp;H$1&amp;"'!B2:B1000")=$B4) * (INDIRECT("'"&amp;H$1&amp;"'!C2:C1000")=$C4)
        ),7,
        FALSE
    )
)</f>
        <v>Sim</v>
      </c>
      <c r="I4" s="90" t="str">
        <f t="array" aca="1" ref="I4" ca="1">IF(
    VLOOKUP(
        $A4,
        _xlfn._xlws.FILTER(
            INDIRECT("'"&amp;I$1&amp;"'!A2:G1000"), (INDIRECT("'"&amp;I$1&amp;"'!B2:B1000")=$B4) * (INDIRECT("'"&amp;I$1&amp;"'!C2:C1000")=$C4)
        ),
        5,
        FALSE
    )="",
    "",
    VLOOKUP(
        $A4,
        _xlfn._xlws.FILTER(
            INDIRECT("'"&amp;I$1&amp;"'!A2:G1000"), (INDIRECT("'"&amp;I$1&amp;"'!B2:B1000")=$B4) * (INDIRECT("'"&amp;I$1&amp;"'!C2:C1000")=$C4)
        ),7,
        FALSE
    )
)</f>
        <v>Sim</v>
      </c>
      <c r="J4" s="90" t="str">
        <f t="array" aca="1" ref="J4" ca="1">IF(
    VLOOKUP(
        $A4,
        _xlfn._xlws.FILTER(
            INDIRECT("'"&amp;J$1&amp;"'!A2:G1000"), (INDIRECT("'"&amp;J$1&amp;"'!B2:B1000")=$B4) * (INDIRECT("'"&amp;J$1&amp;"'!C2:C1000")=$C4)
        ),
        5,
        FALSE
    )="",
    "",
    VLOOKUP(
        $A4,
        _xlfn._xlws.FILTER(
            INDIRECT("'"&amp;J$1&amp;"'!A2:G1000"), (INDIRECT("'"&amp;J$1&amp;"'!B2:B1000")=$B4) * (INDIRECT("'"&amp;J$1&amp;"'!C2:C1000")=$C4)
        ),7,
        FALSE
    )
)</f>
        <v>Sim</v>
      </c>
      <c r="K4" s="90" t="str">
        <f t="array" aca="1" ref="K4" ca="1">IF(
    VLOOKUP(
        $A4,
        _xlfn._xlws.FILTER(
            INDIRECT("'"&amp;K$1&amp;"'!A2:G1000"), (INDIRECT("'"&amp;K$1&amp;"'!B2:B1000")=$B4) * (INDIRECT("'"&amp;K$1&amp;"'!C2:C1000")=$C4)
        ),
        5,
        FALSE
    )="",
    "",
    VLOOKUP(
        $A4,
        _xlfn._xlws.FILTER(
            INDIRECT("'"&amp;K$1&amp;"'!A2:G1000"), (INDIRECT("'"&amp;K$1&amp;"'!B2:B1000")=$B4) * (INDIRECT("'"&amp;K$1&amp;"'!C2:C1000")=$C4)
        ),7,
        FALSE
    )
)</f>
        <v>Não</v>
      </c>
      <c r="L4" s="90" t="str">
        <f t="array" aca="1" ref="L4" ca="1">IF(
    VLOOKUP(
        $A4,
        _xlfn._xlws.FILTER(
            INDIRECT("'"&amp;L$1&amp;"'!A2:G1000"), (INDIRECT("'"&amp;L$1&amp;"'!B2:B1000")=$B4) * (INDIRECT("'"&amp;L$1&amp;"'!C2:C1000")=$C4)
        ),
        5,
        FALSE
    )="",
    "",
    VLOOKUP(
        $A4,
        _xlfn._xlws.FILTER(
            INDIRECT("'"&amp;L$1&amp;"'!A2:G1000"), (INDIRECT("'"&amp;L$1&amp;"'!B2:B1000")=$B4) * (INDIRECT("'"&amp;L$1&amp;"'!C2:C1000")=$C4)
        ),7,
        FALSE
    )
)</f>
        <v>Não</v>
      </c>
      <c r="M4" s="90" t="str">
        <f t="array" aca="1" ref="M4" ca="1">IF(
    VLOOKUP(
        $A4,
        _xlfn._xlws.FILTER(
            INDIRECT("'"&amp;M$1&amp;"'!A2:G1000"), (INDIRECT("'"&amp;M$1&amp;"'!B2:B1000")=$B4) * (INDIRECT("'"&amp;M$1&amp;"'!C2:C1000")=$C4)
        ),
        5,
        FALSE
    )="",
    "",
    VLOOKUP(
        $A4,
        _xlfn._xlws.FILTER(
            INDIRECT("'"&amp;M$1&amp;"'!A2:G1000"), (INDIRECT("'"&amp;M$1&amp;"'!B2:B1000")=$B4) * (INDIRECT("'"&amp;M$1&amp;"'!C2:C1000")=$C4)
        ),7,
        FALSE
    )
)</f>
        <v>Não</v>
      </c>
      <c r="N4" s="90" t="str">
        <f t="array" aca="1" ref="N4" ca="1">IF(
    VLOOKUP(
        $A4,
        _xlfn._xlws.FILTER(
            INDIRECT("'"&amp;N$1&amp;"'!A2:G1000"), (INDIRECT("'"&amp;N$1&amp;"'!B2:B1000")=$B4) * (INDIRECT("'"&amp;N$1&amp;"'!C2:C1000")=$C4)
        ),
        5,
        FALSE
    )="",
    "",
    VLOOKUP(
        $A4,
        _xlfn._xlws.FILTER(
            INDIRECT("'"&amp;N$1&amp;"'!A2:G1000"), (INDIRECT("'"&amp;N$1&amp;"'!B2:B1000")=$B4) * (INDIRECT("'"&amp;N$1&amp;"'!C2:C1000")=$C4)
        ),7,
        FALSE
    )
)</f>
        <v>Não</v>
      </c>
      <c r="O4" s="90" t="str">
        <f t="array" aca="1" ref="O4" ca="1">IF(
    VLOOKUP(
        $A4,
        _xlfn._xlws.FILTER(
            INDIRECT("'"&amp;O$1&amp;"'!A2:G1000"), (INDIRECT("'"&amp;O$1&amp;"'!B2:B1000")=$B4) * (INDIRECT("'"&amp;O$1&amp;"'!C2:C1000")=$C4)
        ),
        5,
        FALSE
    )="",
    "",
    VLOOKUP(
        $A4,
        _xlfn._xlws.FILTER(
            INDIRECT("'"&amp;O$1&amp;"'!A2:G1000"), (INDIRECT("'"&amp;O$1&amp;"'!B2:B1000")=$B4) * (INDIRECT("'"&amp;O$1&amp;"'!C2:C1000")=$C4)
        ),7,
        FALSE
    )
)</f>
        <v/>
      </c>
    </row>
    <row r="5" spans="1:15" ht="15.75" customHeight="1">
      <c r="A5" s="86" t="s">
        <v>33</v>
      </c>
      <c r="B5" s="112" t="s">
        <v>53</v>
      </c>
      <c r="C5" s="90">
        <v>1</v>
      </c>
      <c r="D5" s="90" t="str">
        <f t="array" aca="1" ref="D5" ca="1">IF(
    VLOOKUP(
        $A5,
        _xlfn._xlws.FILTER(
            INDIRECT("'"&amp;D$1&amp;"'!A2:G1000"), (INDIRECT("'"&amp;D$1&amp;"'!B2:B1000")=$B5) * (INDIRECT("'"&amp;D$1&amp;"'!C2:C1000")=$C5)
        ),
        5,
        FALSE
    )="",
    "",
    VLOOKUP(
        $A5,
        _xlfn._xlws.FILTER(
            INDIRECT("'"&amp;D$1&amp;"'!A2:G1000"), (INDIRECT("'"&amp;D$1&amp;"'!B2:B1000")=$B5) * (INDIRECT("'"&amp;D$1&amp;"'!C2:C1000")=$C5)
        ),7,
        FALSE
    )
)</f>
        <v>Sim</v>
      </c>
      <c r="E5" s="90" t="str">
        <f t="array" aca="1" ref="E5" ca="1">IF(
    VLOOKUP(
        $A5,
        _xlfn._xlws.FILTER(
            INDIRECT("'"&amp;E$1&amp;"'!A2:G1000"), (INDIRECT("'"&amp;E$1&amp;"'!B2:B1000")=$B5) * (INDIRECT("'"&amp;E$1&amp;"'!C2:C1000")=$C5)
        ),
        5,
        FALSE
    )="",
    "",
    VLOOKUP(
        $A5,
        _xlfn._xlws.FILTER(
            INDIRECT("'"&amp;E$1&amp;"'!A2:G1000"), (INDIRECT("'"&amp;E$1&amp;"'!B2:B1000")=$B5) * (INDIRECT("'"&amp;E$1&amp;"'!C2:C1000")=$C5)
        ),7,
        FALSE
    )
)</f>
        <v>Sim</v>
      </c>
      <c r="F5" s="90" t="str">
        <f t="array" aca="1" ref="F5" ca="1">IF(
    VLOOKUP(
        $A5,
        _xlfn._xlws.FILTER(
            INDIRECT("'"&amp;F$1&amp;"'!A2:G1000"), (INDIRECT("'"&amp;F$1&amp;"'!B2:B1000")=$B5) * (INDIRECT("'"&amp;F$1&amp;"'!C2:C1000")=$C5)
        ),
        5,
        FALSE
    )="",
    "",
    VLOOKUP(
        $A5,
        _xlfn._xlws.FILTER(
            INDIRECT("'"&amp;F$1&amp;"'!A2:G1000"), (INDIRECT("'"&amp;F$1&amp;"'!B2:B1000")=$B5) * (INDIRECT("'"&amp;F$1&amp;"'!C2:C1000")=$C5)
        ),7,
        FALSE
    )
)</f>
        <v>Sim</v>
      </c>
      <c r="G5" s="90" t="str">
        <f t="array" aca="1" ref="G5" ca="1">IF(
    VLOOKUP(
        $A5,
        _xlfn._xlws.FILTER(
            INDIRECT("'"&amp;G$1&amp;"'!A2:G1000"), (INDIRECT("'"&amp;G$1&amp;"'!B2:B1000")=$B5) * (INDIRECT("'"&amp;G$1&amp;"'!C2:C1000")=$C5)
        ),
        5,
        FALSE
    )="",
    "",
    VLOOKUP(
        $A5,
        _xlfn._xlws.FILTER(
            INDIRECT("'"&amp;G$1&amp;"'!A2:G1000"), (INDIRECT("'"&amp;G$1&amp;"'!B2:B1000")=$B5) * (INDIRECT("'"&amp;G$1&amp;"'!C2:C1000")=$C5)
        ),7,
        FALSE
    )
)</f>
        <v>Sim</v>
      </c>
      <c r="H5" s="90" t="str">
        <f t="array" aca="1" ref="H5" ca="1">IF(
    VLOOKUP(
        $A5,
        _xlfn._xlws.FILTER(
            INDIRECT("'"&amp;H$1&amp;"'!A2:G1000"), (INDIRECT("'"&amp;H$1&amp;"'!B2:B1000")=$B5) * (INDIRECT("'"&amp;H$1&amp;"'!C2:C1000")=$C5)
        ),
        5,
        FALSE
    )="",
    "",
    VLOOKUP(
        $A5,
        _xlfn._xlws.FILTER(
            INDIRECT("'"&amp;H$1&amp;"'!A2:G1000"), (INDIRECT("'"&amp;H$1&amp;"'!B2:B1000")=$B5) * (INDIRECT("'"&amp;H$1&amp;"'!C2:C1000")=$C5)
        ),7,
        FALSE
    )
)</f>
        <v>Sim</v>
      </c>
      <c r="I5" s="90" t="str">
        <f t="array" aca="1" ref="I5" ca="1">IF(
    VLOOKUP(
        $A5,
        _xlfn._xlws.FILTER(
            INDIRECT("'"&amp;I$1&amp;"'!A2:G1000"), (INDIRECT("'"&amp;I$1&amp;"'!B2:B1000")=$B5) * (INDIRECT("'"&amp;I$1&amp;"'!C2:C1000")=$C5)
        ),
        5,
        FALSE
    )="",
    "",
    VLOOKUP(
        $A5,
        _xlfn._xlws.FILTER(
            INDIRECT("'"&amp;I$1&amp;"'!A2:G1000"), (INDIRECT("'"&amp;I$1&amp;"'!B2:B1000")=$B5) * (INDIRECT("'"&amp;I$1&amp;"'!C2:C1000")=$C5)
        ),7,
        FALSE
    )
)</f>
        <v>Sim</v>
      </c>
      <c r="J5" s="90" t="str">
        <f t="array" aca="1" ref="J5" ca="1">IF(
    VLOOKUP(
        $A5,
        _xlfn._xlws.FILTER(
            INDIRECT("'"&amp;J$1&amp;"'!A2:G1000"), (INDIRECT("'"&amp;J$1&amp;"'!B2:B1000")=$B5) * (INDIRECT("'"&amp;J$1&amp;"'!C2:C1000")=$C5)
        ),
        5,
        FALSE
    )="",
    "",
    VLOOKUP(
        $A5,
        _xlfn._xlws.FILTER(
            INDIRECT("'"&amp;J$1&amp;"'!A2:G1000"), (INDIRECT("'"&amp;J$1&amp;"'!B2:B1000")=$B5) * (INDIRECT("'"&amp;J$1&amp;"'!C2:C1000")=$C5)
        ),7,
        FALSE
    )
)</f>
        <v>Sim</v>
      </c>
      <c r="K5" s="90" t="str">
        <f t="array" aca="1" ref="K5" ca="1">IF(
    VLOOKUP(
        $A5,
        _xlfn._xlws.FILTER(
            INDIRECT("'"&amp;K$1&amp;"'!A2:G1000"), (INDIRECT("'"&amp;K$1&amp;"'!B2:B1000")=$B5) * (INDIRECT("'"&amp;K$1&amp;"'!C2:C1000")=$C5)
        ),
        5,
        FALSE
    )="",
    "",
    VLOOKUP(
        $A5,
        _xlfn._xlws.FILTER(
            INDIRECT("'"&amp;K$1&amp;"'!A2:G1000"), (INDIRECT("'"&amp;K$1&amp;"'!B2:B1000")=$B5) * (INDIRECT("'"&amp;K$1&amp;"'!C2:C1000")=$C5)
        ),7,
        FALSE
    )
)</f>
        <v>Não</v>
      </c>
      <c r="L5" s="90" t="str">
        <f t="array" aca="1" ref="L5" ca="1">IF(
    VLOOKUP(
        $A5,
        _xlfn._xlws.FILTER(
            INDIRECT("'"&amp;L$1&amp;"'!A2:G1000"), (INDIRECT("'"&amp;L$1&amp;"'!B2:B1000")=$B5) * (INDIRECT("'"&amp;L$1&amp;"'!C2:C1000")=$C5)
        ),
        5,
        FALSE
    )="",
    "",
    VLOOKUP(
        $A5,
        _xlfn._xlws.FILTER(
            INDIRECT("'"&amp;L$1&amp;"'!A2:G1000"), (INDIRECT("'"&amp;L$1&amp;"'!B2:B1000")=$B5) * (INDIRECT("'"&amp;L$1&amp;"'!C2:C1000")=$C5)
        ),7,
        FALSE
    )
)</f>
        <v>Não</v>
      </c>
      <c r="M5" s="90" t="str">
        <f t="array" aca="1" ref="M5" ca="1">IF(
    VLOOKUP(
        $A5,
        _xlfn._xlws.FILTER(
            INDIRECT("'"&amp;M$1&amp;"'!A2:G1000"), (INDIRECT("'"&amp;M$1&amp;"'!B2:B1000")=$B5) * (INDIRECT("'"&amp;M$1&amp;"'!C2:C1000")=$C5)
        ),
        5,
        FALSE
    )="",
    "",
    VLOOKUP(
        $A5,
        _xlfn._xlws.FILTER(
            INDIRECT("'"&amp;M$1&amp;"'!A2:G1000"), (INDIRECT("'"&amp;M$1&amp;"'!B2:B1000")=$B5) * (INDIRECT("'"&amp;M$1&amp;"'!C2:C1000")=$C5)
        ),7,
        FALSE
    )
)</f>
        <v>Não</v>
      </c>
      <c r="N5" s="90" t="str">
        <f t="array" aca="1" ref="N5" ca="1">IF(
    VLOOKUP(
        $A5,
        _xlfn._xlws.FILTER(
            INDIRECT("'"&amp;N$1&amp;"'!A2:G1000"), (INDIRECT("'"&amp;N$1&amp;"'!B2:B1000")=$B5) * (INDIRECT("'"&amp;N$1&amp;"'!C2:C1000")=$C5)
        ),
        5,
        FALSE
    )="",
    "",
    VLOOKUP(
        $A5,
        _xlfn._xlws.FILTER(
            INDIRECT("'"&amp;N$1&amp;"'!A2:G1000"), (INDIRECT("'"&amp;N$1&amp;"'!B2:B1000")=$B5) * (INDIRECT("'"&amp;N$1&amp;"'!C2:C1000")=$C5)
        ),7,
        FALSE
    )
)</f>
        <v>Não</v>
      </c>
      <c r="O5" s="90" t="str">
        <f t="array" aca="1" ref="O5" ca="1">IF(
    VLOOKUP(
        $A5,
        _xlfn._xlws.FILTER(
            INDIRECT("'"&amp;O$1&amp;"'!A2:G1000"), (INDIRECT("'"&amp;O$1&amp;"'!B2:B1000")=$B5) * (INDIRECT("'"&amp;O$1&amp;"'!C2:C1000")=$C5)
        ),
        5,
        FALSE
    )="",
    "",
    VLOOKUP(
        $A5,
        _xlfn._xlws.FILTER(
            INDIRECT("'"&amp;O$1&amp;"'!A2:G1000"), (INDIRECT("'"&amp;O$1&amp;"'!B2:B1000")=$B5) * (INDIRECT("'"&amp;O$1&amp;"'!C2:C1000")=$C5)
        ),7,
        FALSE
    )
)</f>
        <v/>
      </c>
    </row>
    <row r="6" spans="1:15" ht="15.75" customHeight="1">
      <c r="A6" s="86" t="s">
        <v>33</v>
      </c>
      <c r="B6" s="112" t="s">
        <v>54</v>
      </c>
      <c r="C6" s="90">
        <v>1</v>
      </c>
      <c r="D6" s="90" t="str">
        <f t="array" aca="1" ref="D6" ca="1">IF(
    VLOOKUP(
        $A6,
        _xlfn._xlws.FILTER(
            INDIRECT("'"&amp;D$1&amp;"'!A2:G1000"), (INDIRECT("'"&amp;D$1&amp;"'!B2:B1000")=$B6) * (INDIRECT("'"&amp;D$1&amp;"'!C2:C1000")=$C6)
        ),
        5,
        FALSE
    )="",
    "",
    VLOOKUP(
        $A6,
        _xlfn._xlws.FILTER(
            INDIRECT("'"&amp;D$1&amp;"'!A2:G1000"), (INDIRECT("'"&amp;D$1&amp;"'!B2:B1000")=$B6) * (INDIRECT("'"&amp;D$1&amp;"'!C2:C1000")=$C6)
        ),7,
        FALSE
    )
)</f>
        <v>Sim</v>
      </c>
      <c r="E6" s="90" t="str">
        <f t="array" aca="1" ref="E6" ca="1">IF(
    VLOOKUP(
        $A6,
        _xlfn._xlws.FILTER(
            INDIRECT("'"&amp;E$1&amp;"'!A2:G1000"), (INDIRECT("'"&amp;E$1&amp;"'!B2:B1000")=$B6) * (INDIRECT("'"&amp;E$1&amp;"'!C2:C1000")=$C6)
        ),
        5,
        FALSE
    )="",
    "",
    VLOOKUP(
        $A6,
        _xlfn._xlws.FILTER(
            INDIRECT("'"&amp;E$1&amp;"'!A2:G1000"), (INDIRECT("'"&amp;E$1&amp;"'!B2:B1000")=$B6) * (INDIRECT("'"&amp;E$1&amp;"'!C2:C1000")=$C6)
        ),7,
        FALSE
    )
)</f>
        <v>Sim</v>
      </c>
      <c r="F6" s="90" t="str">
        <f t="array" aca="1" ref="F6" ca="1">IF(
    VLOOKUP(
        $A6,
        _xlfn._xlws.FILTER(
            INDIRECT("'"&amp;F$1&amp;"'!A2:G1000"), (INDIRECT("'"&amp;F$1&amp;"'!B2:B1000")=$B6) * (INDIRECT("'"&amp;F$1&amp;"'!C2:C1000")=$C6)
        ),
        5,
        FALSE
    )="",
    "",
    VLOOKUP(
        $A6,
        _xlfn._xlws.FILTER(
            INDIRECT("'"&amp;F$1&amp;"'!A2:G1000"), (INDIRECT("'"&amp;F$1&amp;"'!B2:B1000")=$B6) * (INDIRECT("'"&amp;F$1&amp;"'!C2:C1000")=$C6)
        ),7,
        FALSE
    )
)</f>
        <v>Sim</v>
      </c>
      <c r="G6" s="90" t="str">
        <f t="array" aca="1" ref="G6" ca="1">IF(
    VLOOKUP(
        $A6,
        _xlfn._xlws.FILTER(
            INDIRECT("'"&amp;G$1&amp;"'!A2:G1000"), (INDIRECT("'"&amp;G$1&amp;"'!B2:B1000")=$B6) * (INDIRECT("'"&amp;G$1&amp;"'!C2:C1000")=$C6)
        ),
        5,
        FALSE
    )="",
    "",
    VLOOKUP(
        $A6,
        _xlfn._xlws.FILTER(
            INDIRECT("'"&amp;G$1&amp;"'!A2:G1000"), (INDIRECT("'"&amp;G$1&amp;"'!B2:B1000")=$B6) * (INDIRECT("'"&amp;G$1&amp;"'!C2:C1000")=$C6)
        ),7,
        FALSE
    )
)</f>
        <v>Sim</v>
      </c>
      <c r="H6" s="90" t="str">
        <f t="array" aca="1" ref="H6" ca="1">IF(
    VLOOKUP(
        $A6,
        _xlfn._xlws.FILTER(
            INDIRECT("'"&amp;H$1&amp;"'!A2:G1000"), (INDIRECT("'"&amp;H$1&amp;"'!B2:B1000")=$B6) * (INDIRECT("'"&amp;H$1&amp;"'!C2:C1000")=$C6)
        ),
        5,
        FALSE
    )="",
    "",
    VLOOKUP(
        $A6,
        _xlfn._xlws.FILTER(
            INDIRECT("'"&amp;H$1&amp;"'!A2:G1000"), (INDIRECT("'"&amp;H$1&amp;"'!B2:B1000")=$B6) * (INDIRECT("'"&amp;H$1&amp;"'!C2:C1000")=$C6)
        ),7,
        FALSE
    )
)</f>
        <v>Sim</v>
      </c>
      <c r="I6" s="90" t="str">
        <f t="array" aca="1" ref="I6" ca="1">IF(
    VLOOKUP(
        $A6,
        _xlfn._xlws.FILTER(
            INDIRECT("'"&amp;I$1&amp;"'!A2:G1000"), (INDIRECT("'"&amp;I$1&amp;"'!B2:B1000")=$B6) * (INDIRECT("'"&amp;I$1&amp;"'!C2:C1000")=$C6)
        ),
        5,
        FALSE
    )="",
    "",
    VLOOKUP(
        $A6,
        _xlfn._xlws.FILTER(
            INDIRECT("'"&amp;I$1&amp;"'!A2:G1000"), (INDIRECT("'"&amp;I$1&amp;"'!B2:B1000")=$B6) * (INDIRECT("'"&amp;I$1&amp;"'!C2:C1000")=$C6)
        ),7,
        FALSE
    )
)</f>
        <v>Sim</v>
      </c>
      <c r="J6" s="90" t="str">
        <f t="array" aca="1" ref="J6" ca="1">IF(
    VLOOKUP(
        $A6,
        _xlfn._xlws.FILTER(
            INDIRECT("'"&amp;J$1&amp;"'!A2:G1000"), (INDIRECT("'"&amp;J$1&amp;"'!B2:B1000")=$B6) * (INDIRECT("'"&amp;J$1&amp;"'!C2:C1000")=$C6)
        ),
        5,
        FALSE
    )="",
    "",
    VLOOKUP(
        $A6,
        _xlfn._xlws.FILTER(
            INDIRECT("'"&amp;J$1&amp;"'!A2:G1000"), (INDIRECT("'"&amp;J$1&amp;"'!B2:B1000")=$B6) * (INDIRECT("'"&amp;J$1&amp;"'!C2:C1000")=$C6)
        ),7,
        FALSE
    )
)</f>
        <v>Sim</v>
      </c>
      <c r="K6" s="90" t="str">
        <f t="array" aca="1" ref="K6" ca="1">IF(
    VLOOKUP(
        $A6,
        _xlfn._xlws.FILTER(
            INDIRECT("'"&amp;K$1&amp;"'!A2:G1000"), (INDIRECT("'"&amp;K$1&amp;"'!B2:B1000")=$B6) * (INDIRECT("'"&amp;K$1&amp;"'!C2:C1000")=$C6)
        ),
        5,
        FALSE
    )="",
    "",
    VLOOKUP(
        $A6,
        _xlfn._xlws.FILTER(
            INDIRECT("'"&amp;K$1&amp;"'!A2:G1000"), (INDIRECT("'"&amp;K$1&amp;"'!B2:B1000")=$B6) * (INDIRECT("'"&amp;K$1&amp;"'!C2:C1000")=$C6)
        ),7,
        FALSE
    )
)</f>
        <v>Não</v>
      </c>
      <c r="L6" s="90" t="str">
        <f t="array" aca="1" ref="L6" ca="1">IF(
    VLOOKUP(
        $A6,
        _xlfn._xlws.FILTER(
            INDIRECT("'"&amp;L$1&amp;"'!A2:G1000"), (INDIRECT("'"&amp;L$1&amp;"'!B2:B1000")=$B6) * (INDIRECT("'"&amp;L$1&amp;"'!C2:C1000")=$C6)
        ),
        5,
        FALSE
    )="",
    "",
    VLOOKUP(
        $A6,
        _xlfn._xlws.FILTER(
            INDIRECT("'"&amp;L$1&amp;"'!A2:G1000"), (INDIRECT("'"&amp;L$1&amp;"'!B2:B1000")=$B6) * (INDIRECT("'"&amp;L$1&amp;"'!C2:C1000")=$C6)
        ),7,
        FALSE
    )
)</f>
        <v>Não</v>
      </c>
      <c r="M6" s="90" t="str">
        <f t="array" aca="1" ref="M6" ca="1">IF(
    VLOOKUP(
        $A6,
        _xlfn._xlws.FILTER(
            INDIRECT("'"&amp;M$1&amp;"'!A2:G1000"), (INDIRECT("'"&amp;M$1&amp;"'!B2:B1000")=$B6) * (INDIRECT("'"&amp;M$1&amp;"'!C2:C1000")=$C6)
        ),
        5,
        FALSE
    )="",
    "",
    VLOOKUP(
        $A6,
        _xlfn._xlws.FILTER(
            INDIRECT("'"&amp;M$1&amp;"'!A2:G1000"), (INDIRECT("'"&amp;M$1&amp;"'!B2:B1000")=$B6) * (INDIRECT("'"&amp;M$1&amp;"'!C2:C1000")=$C6)
        ),7,
        FALSE
    )
)</f>
        <v>Não</v>
      </c>
      <c r="N6" s="90" t="str">
        <f t="array" aca="1" ref="N6" ca="1">IF(
    VLOOKUP(
        $A6,
        _xlfn._xlws.FILTER(
            INDIRECT("'"&amp;N$1&amp;"'!A2:G1000"), (INDIRECT("'"&amp;N$1&amp;"'!B2:B1000")=$B6) * (INDIRECT("'"&amp;N$1&amp;"'!C2:C1000")=$C6)
        ),
        5,
        FALSE
    )="",
    "",
    VLOOKUP(
        $A6,
        _xlfn._xlws.FILTER(
            INDIRECT("'"&amp;N$1&amp;"'!A2:G1000"), (INDIRECT("'"&amp;N$1&amp;"'!B2:B1000")=$B6) * (INDIRECT("'"&amp;N$1&amp;"'!C2:C1000")=$C6)
        ),7,
        FALSE
    )
)</f>
        <v>Não</v>
      </c>
      <c r="O6" s="90" t="str">
        <f t="array" aca="1" ref="O6" ca="1">IF(
    VLOOKUP(
        $A6,
        _xlfn._xlws.FILTER(
            INDIRECT("'"&amp;O$1&amp;"'!A2:G1000"), (INDIRECT("'"&amp;O$1&amp;"'!B2:B1000")=$B6) * (INDIRECT("'"&amp;O$1&amp;"'!C2:C1000")=$C6)
        ),
        5,
        FALSE
    )="",
    "",
    VLOOKUP(
        $A6,
        _xlfn._xlws.FILTER(
            INDIRECT("'"&amp;O$1&amp;"'!A2:G1000"), (INDIRECT("'"&amp;O$1&amp;"'!B2:B1000")=$B6) * (INDIRECT("'"&amp;O$1&amp;"'!C2:C1000")=$C6)
        ),7,
        FALSE
    )
)</f>
        <v/>
      </c>
    </row>
    <row r="7" spans="1:15" ht="15.75" customHeight="1">
      <c r="A7" s="86" t="s">
        <v>33</v>
      </c>
      <c r="B7" s="112" t="s">
        <v>55</v>
      </c>
      <c r="C7" s="90">
        <v>1</v>
      </c>
      <c r="D7" s="90" t="str">
        <f t="array" aca="1" ref="D7" ca="1">IF(
    VLOOKUP(
        $A7,
        _xlfn._xlws.FILTER(
            INDIRECT("'"&amp;D$1&amp;"'!A2:G1000"), (INDIRECT("'"&amp;D$1&amp;"'!B2:B1000")=$B7) * (INDIRECT("'"&amp;D$1&amp;"'!C2:C1000")=$C7)
        ),
        5,
        FALSE
    )="",
    "",
    VLOOKUP(
        $A7,
        _xlfn._xlws.FILTER(
            INDIRECT("'"&amp;D$1&amp;"'!A2:G1000"), (INDIRECT("'"&amp;D$1&amp;"'!B2:B1000")=$B7) * (INDIRECT("'"&amp;D$1&amp;"'!C2:C1000")=$C7)
        ),7,
        FALSE
    )
)</f>
        <v>Sim</v>
      </c>
      <c r="E7" s="90" t="str">
        <f t="array" aca="1" ref="E7" ca="1">IF(
    VLOOKUP(
        $A7,
        _xlfn._xlws.FILTER(
            INDIRECT("'"&amp;E$1&amp;"'!A2:G1000"), (INDIRECT("'"&amp;E$1&amp;"'!B2:B1000")=$B7) * (INDIRECT("'"&amp;E$1&amp;"'!C2:C1000")=$C7)
        ),
        5,
        FALSE
    )="",
    "",
    VLOOKUP(
        $A7,
        _xlfn._xlws.FILTER(
            INDIRECT("'"&amp;E$1&amp;"'!A2:G1000"), (INDIRECT("'"&amp;E$1&amp;"'!B2:B1000")=$B7) * (INDIRECT("'"&amp;E$1&amp;"'!C2:C1000")=$C7)
        ),7,
        FALSE
    )
)</f>
        <v>Sim</v>
      </c>
      <c r="F7" s="90" t="str">
        <f t="array" aca="1" ref="F7" ca="1">IF(
    VLOOKUP(
        $A7,
        _xlfn._xlws.FILTER(
            INDIRECT("'"&amp;F$1&amp;"'!A2:G1000"), (INDIRECT("'"&amp;F$1&amp;"'!B2:B1000")=$B7) * (INDIRECT("'"&amp;F$1&amp;"'!C2:C1000")=$C7)
        ),
        5,
        FALSE
    )="",
    "",
    VLOOKUP(
        $A7,
        _xlfn._xlws.FILTER(
            INDIRECT("'"&amp;F$1&amp;"'!A2:G1000"), (INDIRECT("'"&amp;F$1&amp;"'!B2:B1000")=$B7) * (INDIRECT("'"&amp;F$1&amp;"'!C2:C1000")=$C7)
        ),7,
        FALSE
    )
)</f>
        <v>Sim</v>
      </c>
      <c r="G7" s="90" t="str">
        <f t="array" aca="1" ref="G7" ca="1">IF(
    VLOOKUP(
        $A7,
        _xlfn._xlws.FILTER(
            INDIRECT("'"&amp;G$1&amp;"'!A2:G1000"), (INDIRECT("'"&amp;G$1&amp;"'!B2:B1000")=$B7) * (INDIRECT("'"&amp;G$1&amp;"'!C2:C1000")=$C7)
        ),
        5,
        FALSE
    )="",
    "",
    VLOOKUP(
        $A7,
        _xlfn._xlws.FILTER(
            INDIRECT("'"&amp;G$1&amp;"'!A2:G1000"), (INDIRECT("'"&amp;G$1&amp;"'!B2:B1000")=$B7) * (INDIRECT("'"&amp;G$1&amp;"'!C2:C1000")=$C7)
        ),7,
        FALSE
    )
)</f>
        <v>Sim</v>
      </c>
      <c r="H7" s="90" t="str">
        <f t="array" aca="1" ref="H7" ca="1">IF(
    VLOOKUP(
        $A7,
        _xlfn._xlws.FILTER(
            INDIRECT("'"&amp;H$1&amp;"'!A2:G1000"), (INDIRECT("'"&amp;H$1&amp;"'!B2:B1000")=$B7) * (INDIRECT("'"&amp;H$1&amp;"'!C2:C1000")=$C7)
        ),
        5,
        FALSE
    )="",
    "",
    VLOOKUP(
        $A7,
        _xlfn._xlws.FILTER(
            INDIRECT("'"&amp;H$1&amp;"'!A2:G1000"), (INDIRECT("'"&amp;H$1&amp;"'!B2:B1000")=$B7) * (INDIRECT("'"&amp;H$1&amp;"'!C2:C1000")=$C7)
        ),7,
        FALSE
    )
)</f>
        <v>Sim</v>
      </c>
      <c r="I7" s="90" t="str">
        <f t="array" aca="1" ref="I7" ca="1">IF(
    VLOOKUP(
        $A7,
        _xlfn._xlws.FILTER(
            INDIRECT("'"&amp;I$1&amp;"'!A2:G1000"), (INDIRECT("'"&amp;I$1&amp;"'!B2:B1000")=$B7) * (INDIRECT("'"&amp;I$1&amp;"'!C2:C1000")=$C7)
        ),
        5,
        FALSE
    )="",
    "",
    VLOOKUP(
        $A7,
        _xlfn._xlws.FILTER(
            INDIRECT("'"&amp;I$1&amp;"'!A2:G1000"), (INDIRECT("'"&amp;I$1&amp;"'!B2:B1000")=$B7) * (INDIRECT("'"&amp;I$1&amp;"'!C2:C1000")=$C7)
        ),7,
        FALSE
    )
)</f>
        <v>Sim</v>
      </c>
      <c r="J7" s="90" t="str">
        <f t="array" aca="1" ref="J7" ca="1">IF(
    VLOOKUP(
        $A7,
        _xlfn._xlws.FILTER(
            INDIRECT("'"&amp;J$1&amp;"'!A2:G1000"), (INDIRECT("'"&amp;J$1&amp;"'!B2:B1000")=$B7) * (INDIRECT("'"&amp;J$1&amp;"'!C2:C1000")=$C7)
        ),
        5,
        FALSE
    )="",
    "",
    VLOOKUP(
        $A7,
        _xlfn._xlws.FILTER(
            INDIRECT("'"&amp;J$1&amp;"'!A2:G1000"), (INDIRECT("'"&amp;J$1&amp;"'!B2:B1000")=$B7) * (INDIRECT("'"&amp;J$1&amp;"'!C2:C1000")=$C7)
        ),7,
        FALSE
    )
)</f>
        <v>Sim</v>
      </c>
      <c r="K7" s="90" t="str">
        <f t="array" aca="1" ref="K7" ca="1">IF(
    VLOOKUP(
        $A7,
        _xlfn._xlws.FILTER(
            INDIRECT("'"&amp;K$1&amp;"'!A2:G1000"), (INDIRECT("'"&amp;K$1&amp;"'!B2:B1000")=$B7) * (INDIRECT("'"&amp;K$1&amp;"'!C2:C1000")=$C7)
        ),
        5,
        FALSE
    )="",
    "",
    VLOOKUP(
        $A7,
        _xlfn._xlws.FILTER(
            INDIRECT("'"&amp;K$1&amp;"'!A2:G1000"), (INDIRECT("'"&amp;K$1&amp;"'!B2:B1000")=$B7) * (INDIRECT("'"&amp;K$1&amp;"'!C2:C1000")=$C7)
        ),7,
        FALSE
    )
)</f>
        <v>Não</v>
      </c>
      <c r="L7" s="90" t="str">
        <f t="array" aca="1" ref="L7" ca="1">IF(
    VLOOKUP(
        $A7,
        _xlfn._xlws.FILTER(
            INDIRECT("'"&amp;L$1&amp;"'!A2:G1000"), (INDIRECT("'"&amp;L$1&amp;"'!B2:B1000")=$B7) * (INDIRECT("'"&amp;L$1&amp;"'!C2:C1000")=$C7)
        ),
        5,
        FALSE
    )="",
    "",
    VLOOKUP(
        $A7,
        _xlfn._xlws.FILTER(
            INDIRECT("'"&amp;L$1&amp;"'!A2:G1000"), (INDIRECT("'"&amp;L$1&amp;"'!B2:B1000")=$B7) * (INDIRECT("'"&amp;L$1&amp;"'!C2:C1000")=$C7)
        ),7,
        FALSE
    )
)</f>
        <v>Não</v>
      </c>
      <c r="M7" s="90" t="str">
        <f t="array" aca="1" ref="M7" ca="1">IF(
    VLOOKUP(
        $A7,
        _xlfn._xlws.FILTER(
            INDIRECT("'"&amp;M$1&amp;"'!A2:G1000"), (INDIRECT("'"&amp;M$1&amp;"'!B2:B1000")=$B7) * (INDIRECT("'"&amp;M$1&amp;"'!C2:C1000")=$C7)
        ),
        5,
        FALSE
    )="",
    "",
    VLOOKUP(
        $A7,
        _xlfn._xlws.FILTER(
            INDIRECT("'"&amp;M$1&amp;"'!A2:G1000"), (INDIRECT("'"&amp;M$1&amp;"'!B2:B1000")=$B7) * (INDIRECT("'"&amp;M$1&amp;"'!C2:C1000")=$C7)
        ),7,
        FALSE
    )
)</f>
        <v>Não</v>
      </c>
      <c r="N7" s="90" t="str">
        <f t="array" aca="1" ref="N7" ca="1">IF(
    VLOOKUP(
        $A7,
        _xlfn._xlws.FILTER(
            INDIRECT("'"&amp;N$1&amp;"'!A2:G1000"), (INDIRECT("'"&amp;N$1&amp;"'!B2:B1000")=$B7) * (INDIRECT("'"&amp;N$1&amp;"'!C2:C1000")=$C7)
        ),
        5,
        FALSE
    )="",
    "",
    VLOOKUP(
        $A7,
        _xlfn._xlws.FILTER(
            INDIRECT("'"&amp;N$1&amp;"'!A2:G1000"), (INDIRECT("'"&amp;N$1&amp;"'!B2:B1000")=$B7) * (INDIRECT("'"&amp;N$1&amp;"'!C2:C1000")=$C7)
        ),7,
        FALSE
    )
)</f>
        <v>Não</v>
      </c>
      <c r="O7" s="90" t="str">
        <f t="array" aca="1" ref="O7" ca="1">IF(
    VLOOKUP(
        $A7,
        _xlfn._xlws.FILTER(
            INDIRECT("'"&amp;O$1&amp;"'!A2:G1000"), (INDIRECT("'"&amp;O$1&amp;"'!B2:B1000")=$B7) * (INDIRECT("'"&amp;O$1&amp;"'!C2:C1000")=$C7)
        ),
        5,
        FALSE
    )="",
    "",
    VLOOKUP(
        $A7,
        _xlfn._xlws.FILTER(
            INDIRECT("'"&amp;O$1&amp;"'!A2:G1000"), (INDIRECT("'"&amp;O$1&amp;"'!B2:B1000")=$B7) * (INDIRECT("'"&amp;O$1&amp;"'!C2:C1000")=$C7)
        ),7,
        FALSE
    )
)</f>
        <v/>
      </c>
    </row>
    <row r="8" spans="1:15" ht="15.75" customHeight="1">
      <c r="A8" s="86" t="s">
        <v>33</v>
      </c>
      <c r="B8" s="112" t="s">
        <v>56</v>
      </c>
      <c r="C8" s="90">
        <v>1</v>
      </c>
      <c r="D8" s="90" t="str">
        <f t="array" aca="1" ref="D8" ca="1">IF(
    VLOOKUP(
        $A8,
        _xlfn._xlws.FILTER(
            INDIRECT("'"&amp;D$1&amp;"'!A2:G1000"), (INDIRECT("'"&amp;D$1&amp;"'!B2:B1000")=$B8) * (INDIRECT("'"&amp;D$1&amp;"'!C2:C1000")=$C8)
        ),
        5,
        FALSE
    )="",
    "",
    VLOOKUP(
        $A8,
        _xlfn._xlws.FILTER(
            INDIRECT("'"&amp;D$1&amp;"'!A2:G1000"), (INDIRECT("'"&amp;D$1&amp;"'!B2:B1000")=$B8) * (INDIRECT("'"&amp;D$1&amp;"'!C2:C1000")=$C8)
        ),7,
        FALSE
    )
)</f>
        <v>Sim</v>
      </c>
      <c r="E8" s="90" t="str">
        <f t="array" aca="1" ref="E8" ca="1">IF(
    VLOOKUP(
        $A8,
        _xlfn._xlws.FILTER(
            INDIRECT("'"&amp;E$1&amp;"'!A2:G1000"), (INDIRECT("'"&amp;E$1&amp;"'!B2:B1000")=$B8) * (INDIRECT("'"&amp;E$1&amp;"'!C2:C1000")=$C8)
        ),
        5,
        FALSE
    )="",
    "",
    VLOOKUP(
        $A8,
        _xlfn._xlws.FILTER(
            INDIRECT("'"&amp;E$1&amp;"'!A2:G1000"), (INDIRECT("'"&amp;E$1&amp;"'!B2:B1000")=$B8) * (INDIRECT("'"&amp;E$1&amp;"'!C2:C1000")=$C8)
        ),7,
        FALSE
    )
)</f>
        <v>Sim</v>
      </c>
      <c r="F8" s="90" t="str">
        <f t="array" aca="1" ref="F8" ca="1">IF(
    VLOOKUP(
        $A8,
        _xlfn._xlws.FILTER(
            INDIRECT("'"&amp;F$1&amp;"'!A2:G1000"), (INDIRECT("'"&amp;F$1&amp;"'!B2:B1000")=$B8) * (INDIRECT("'"&amp;F$1&amp;"'!C2:C1000")=$C8)
        ),
        5,
        FALSE
    )="",
    "",
    VLOOKUP(
        $A8,
        _xlfn._xlws.FILTER(
            INDIRECT("'"&amp;F$1&amp;"'!A2:G1000"), (INDIRECT("'"&amp;F$1&amp;"'!B2:B1000")=$B8) * (INDIRECT("'"&amp;F$1&amp;"'!C2:C1000")=$C8)
        ),7,
        FALSE
    )
)</f>
        <v>Sim</v>
      </c>
      <c r="G8" s="90" t="str">
        <f t="array" aca="1" ref="G8" ca="1">IF(
    VLOOKUP(
        $A8,
        _xlfn._xlws.FILTER(
            INDIRECT("'"&amp;G$1&amp;"'!A2:G1000"), (INDIRECT("'"&amp;G$1&amp;"'!B2:B1000")=$B8) * (INDIRECT("'"&amp;G$1&amp;"'!C2:C1000")=$C8)
        ),
        5,
        FALSE
    )="",
    "",
    VLOOKUP(
        $A8,
        _xlfn._xlws.FILTER(
            INDIRECT("'"&amp;G$1&amp;"'!A2:G1000"), (INDIRECT("'"&amp;G$1&amp;"'!B2:B1000")=$B8) * (INDIRECT("'"&amp;G$1&amp;"'!C2:C1000")=$C8)
        ),7,
        FALSE
    )
)</f>
        <v>Sim</v>
      </c>
      <c r="H8" s="90" t="str">
        <f t="array" aca="1" ref="H8" ca="1">IF(
    VLOOKUP(
        $A8,
        _xlfn._xlws.FILTER(
            INDIRECT("'"&amp;H$1&amp;"'!A2:G1000"), (INDIRECT("'"&amp;H$1&amp;"'!B2:B1000")=$B8) * (INDIRECT("'"&amp;H$1&amp;"'!C2:C1000")=$C8)
        ),
        5,
        FALSE
    )="",
    "",
    VLOOKUP(
        $A8,
        _xlfn._xlws.FILTER(
            INDIRECT("'"&amp;H$1&amp;"'!A2:G1000"), (INDIRECT("'"&amp;H$1&amp;"'!B2:B1000")=$B8) * (INDIRECT("'"&amp;H$1&amp;"'!C2:C1000")=$C8)
        ),7,
        FALSE
    )
)</f>
        <v>Sim</v>
      </c>
      <c r="I8" s="90" t="str">
        <f t="array" aca="1" ref="I8" ca="1">IF(
    VLOOKUP(
        $A8,
        _xlfn._xlws.FILTER(
            INDIRECT("'"&amp;I$1&amp;"'!A2:G1000"), (INDIRECT("'"&amp;I$1&amp;"'!B2:B1000")=$B8) * (INDIRECT("'"&amp;I$1&amp;"'!C2:C1000")=$C8)
        ),
        5,
        FALSE
    )="",
    "",
    VLOOKUP(
        $A8,
        _xlfn._xlws.FILTER(
            INDIRECT("'"&amp;I$1&amp;"'!A2:G1000"), (INDIRECT("'"&amp;I$1&amp;"'!B2:B1000")=$B8) * (INDIRECT("'"&amp;I$1&amp;"'!C2:C1000")=$C8)
        ),7,
        FALSE
    )
)</f>
        <v>Sim</v>
      </c>
      <c r="J8" s="90" t="str">
        <f t="array" aca="1" ref="J8" ca="1">IF(
    VLOOKUP(
        $A8,
        _xlfn._xlws.FILTER(
            INDIRECT("'"&amp;J$1&amp;"'!A2:G1000"), (INDIRECT("'"&amp;J$1&amp;"'!B2:B1000")=$B8) * (INDIRECT("'"&amp;J$1&amp;"'!C2:C1000")=$C8)
        ),
        5,
        FALSE
    )="",
    "",
    VLOOKUP(
        $A8,
        _xlfn._xlws.FILTER(
            INDIRECT("'"&amp;J$1&amp;"'!A2:G1000"), (INDIRECT("'"&amp;J$1&amp;"'!B2:B1000")=$B8) * (INDIRECT("'"&amp;J$1&amp;"'!C2:C1000")=$C8)
        ),7,
        FALSE
    )
)</f>
        <v>Sim</v>
      </c>
      <c r="K8" s="90" t="str">
        <f t="array" aca="1" ref="K8" ca="1">IF(
    VLOOKUP(
        $A8,
        _xlfn._xlws.FILTER(
            INDIRECT("'"&amp;K$1&amp;"'!A2:G1000"), (INDIRECT("'"&amp;K$1&amp;"'!B2:B1000")=$B8) * (INDIRECT("'"&amp;K$1&amp;"'!C2:C1000")=$C8)
        ),
        5,
        FALSE
    )="",
    "",
    VLOOKUP(
        $A8,
        _xlfn._xlws.FILTER(
            INDIRECT("'"&amp;K$1&amp;"'!A2:G1000"), (INDIRECT("'"&amp;K$1&amp;"'!B2:B1000")=$B8) * (INDIRECT("'"&amp;K$1&amp;"'!C2:C1000")=$C8)
        ),7,
        FALSE
    )
)</f>
        <v>Não</v>
      </c>
      <c r="L8" s="90" t="str">
        <f t="array" aca="1" ref="L8" ca="1">IF(
    VLOOKUP(
        $A8,
        _xlfn._xlws.FILTER(
            INDIRECT("'"&amp;L$1&amp;"'!A2:G1000"), (INDIRECT("'"&amp;L$1&amp;"'!B2:B1000")=$B8) * (INDIRECT("'"&amp;L$1&amp;"'!C2:C1000")=$C8)
        ),
        5,
        FALSE
    )="",
    "",
    VLOOKUP(
        $A8,
        _xlfn._xlws.FILTER(
            INDIRECT("'"&amp;L$1&amp;"'!A2:G1000"), (INDIRECT("'"&amp;L$1&amp;"'!B2:B1000")=$B8) * (INDIRECT("'"&amp;L$1&amp;"'!C2:C1000")=$C8)
        ),7,
        FALSE
    )
)</f>
        <v>Não</v>
      </c>
      <c r="M8" s="90" t="str">
        <f t="array" aca="1" ref="M8" ca="1">IF(
    VLOOKUP(
        $A8,
        _xlfn._xlws.FILTER(
            INDIRECT("'"&amp;M$1&amp;"'!A2:G1000"), (INDIRECT("'"&amp;M$1&amp;"'!B2:B1000")=$B8) * (INDIRECT("'"&amp;M$1&amp;"'!C2:C1000")=$C8)
        ),
        5,
        FALSE
    )="",
    "",
    VLOOKUP(
        $A8,
        _xlfn._xlws.FILTER(
            INDIRECT("'"&amp;M$1&amp;"'!A2:G1000"), (INDIRECT("'"&amp;M$1&amp;"'!B2:B1000")=$B8) * (INDIRECT("'"&amp;M$1&amp;"'!C2:C1000")=$C8)
        ),7,
        FALSE
    )
)</f>
        <v>Não</v>
      </c>
      <c r="N8" s="90" t="str">
        <f t="array" aca="1" ref="N8" ca="1">IF(
    VLOOKUP(
        $A8,
        _xlfn._xlws.FILTER(
            INDIRECT("'"&amp;N$1&amp;"'!A2:G1000"), (INDIRECT("'"&amp;N$1&amp;"'!B2:B1000")=$B8) * (INDIRECT("'"&amp;N$1&amp;"'!C2:C1000")=$C8)
        ),
        5,
        FALSE
    )="",
    "",
    VLOOKUP(
        $A8,
        _xlfn._xlws.FILTER(
            INDIRECT("'"&amp;N$1&amp;"'!A2:G1000"), (INDIRECT("'"&amp;N$1&amp;"'!B2:B1000")=$B8) * (INDIRECT("'"&amp;N$1&amp;"'!C2:C1000")=$C8)
        ),7,
        FALSE
    )
)</f>
        <v>Não</v>
      </c>
      <c r="O8" s="90" t="str">
        <f t="array" aca="1" ref="O8" ca="1">IF(
    VLOOKUP(
        $A8,
        _xlfn._xlws.FILTER(
            INDIRECT("'"&amp;O$1&amp;"'!A2:G1000"), (INDIRECT("'"&amp;O$1&amp;"'!B2:B1000")=$B8) * (INDIRECT("'"&amp;O$1&amp;"'!C2:C1000")=$C8)
        ),
        5,
        FALSE
    )="",
    "",
    VLOOKUP(
        $A8,
        _xlfn._xlws.FILTER(
            INDIRECT("'"&amp;O$1&amp;"'!A2:G1000"), (INDIRECT("'"&amp;O$1&amp;"'!B2:B1000")=$B8) * (INDIRECT("'"&amp;O$1&amp;"'!C2:C1000")=$C8)
        ),7,
        FALSE
    )
)</f>
        <v/>
      </c>
    </row>
    <row r="9" spans="1:15" ht="15.75" customHeight="1">
      <c r="A9" s="86" t="s">
        <v>33</v>
      </c>
      <c r="B9" s="112" t="s">
        <v>57</v>
      </c>
      <c r="C9" s="90">
        <v>1</v>
      </c>
      <c r="D9" s="90" t="str">
        <f t="array" aca="1" ref="D9" ca="1">IF(
    VLOOKUP(
        $A9,
        _xlfn._xlws.FILTER(
            INDIRECT("'"&amp;D$1&amp;"'!A2:G1000"), (INDIRECT("'"&amp;D$1&amp;"'!B2:B1000")=$B9) * (INDIRECT("'"&amp;D$1&amp;"'!C2:C1000")=$C9)
        ),
        5,
        FALSE
    )="",
    "",
    VLOOKUP(
        $A9,
        _xlfn._xlws.FILTER(
            INDIRECT("'"&amp;D$1&amp;"'!A2:G1000"), (INDIRECT("'"&amp;D$1&amp;"'!B2:B1000")=$B9) * (INDIRECT("'"&amp;D$1&amp;"'!C2:C1000")=$C9)
        ),7,
        FALSE
    )
)</f>
        <v>Sim</v>
      </c>
      <c r="E9" s="90" t="str">
        <f t="array" aca="1" ref="E9" ca="1">IF(
    VLOOKUP(
        $A9,
        _xlfn._xlws.FILTER(
            INDIRECT("'"&amp;E$1&amp;"'!A2:G1000"), (INDIRECT("'"&amp;E$1&amp;"'!B2:B1000")=$B9) * (INDIRECT("'"&amp;E$1&amp;"'!C2:C1000")=$C9)
        ),
        5,
        FALSE
    )="",
    "",
    VLOOKUP(
        $A9,
        _xlfn._xlws.FILTER(
            INDIRECT("'"&amp;E$1&amp;"'!A2:G1000"), (INDIRECT("'"&amp;E$1&amp;"'!B2:B1000")=$B9) * (INDIRECT("'"&amp;E$1&amp;"'!C2:C1000")=$C9)
        ),7,
        FALSE
    )
)</f>
        <v>Sim</v>
      </c>
      <c r="F9" s="90" t="str">
        <f t="array" aca="1" ref="F9" ca="1">IF(
    VLOOKUP(
        $A9,
        _xlfn._xlws.FILTER(
            INDIRECT("'"&amp;F$1&amp;"'!A2:G1000"), (INDIRECT("'"&amp;F$1&amp;"'!B2:B1000")=$B9) * (INDIRECT("'"&amp;F$1&amp;"'!C2:C1000")=$C9)
        ),
        5,
        FALSE
    )="",
    "",
    VLOOKUP(
        $A9,
        _xlfn._xlws.FILTER(
            INDIRECT("'"&amp;F$1&amp;"'!A2:G1000"), (INDIRECT("'"&amp;F$1&amp;"'!B2:B1000")=$B9) * (INDIRECT("'"&amp;F$1&amp;"'!C2:C1000")=$C9)
        ),7,
        FALSE
    )
)</f>
        <v>Sim</v>
      </c>
      <c r="G9" s="90" t="str">
        <f t="array" aca="1" ref="G9" ca="1">IF(
    VLOOKUP(
        $A9,
        _xlfn._xlws.FILTER(
            INDIRECT("'"&amp;G$1&amp;"'!A2:G1000"), (INDIRECT("'"&amp;G$1&amp;"'!B2:B1000")=$B9) * (INDIRECT("'"&amp;G$1&amp;"'!C2:C1000")=$C9)
        ),
        5,
        FALSE
    )="",
    "",
    VLOOKUP(
        $A9,
        _xlfn._xlws.FILTER(
            INDIRECT("'"&amp;G$1&amp;"'!A2:G1000"), (INDIRECT("'"&amp;G$1&amp;"'!B2:B1000")=$B9) * (INDIRECT("'"&amp;G$1&amp;"'!C2:C1000")=$C9)
        ),7,
        FALSE
    )
)</f>
        <v>Sim</v>
      </c>
      <c r="H9" s="90" t="str">
        <f t="array" aca="1" ref="H9" ca="1">IF(
    VLOOKUP(
        $A9,
        _xlfn._xlws.FILTER(
            INDIRECT("'"&amp;H$1&amp;"'!A2:G1000"), (INDIRECT("'"&amp;H$1&amp;"'!B2:B1000")=$B9) * (INDIRECT("'"&amp;H$1&amp;"'!C2:C1000")=$C9)
        ),
        5,
        FALSE
    )="",
    "",
    VLOOKUP(
        $A9,
        _xlfn._xlws.FILTER(
            INDIRECT("'"&amp;H$1&amp;"'!A2:G1000"), (INDIRECT("'"&amp;H$1&amp;"'!B2:B1000")=$B9) * (INDIRECT("'"&amp;H$1&amp;"'!C2:C1000")=$C9)
        ),7,
        FALSE
    )
)</f>
        <v>Sim</v>
      </c>
      <c r="I9" s="90" t="str">
        <f t="array" aca="1" ref="I9" ca="1">IF(
    VLOOKUP(
        $A9,
        _xlfn._xlws.FILTER(
            INDIRECT("'"&amp;I$1&amp;"'!A2:G1000"), (INDIRECT("'"&amp;I$1&amp;"'!B2:B1000")=$B9) * (INDIRECT("'"&amp;I$1&amp;"'!C2:C1000")=$C9)
        ),
        5,
        FALSE
    )="",
    "",
    VLOOKUP(
        $A9,
        _xlfn._xlws.FILTER(
            INDIRECT("'"&amp;I$1&amp;"'!A2:G1000"), (INDIRECT("'"&amp;I$1&amp;"'!B2:B1000")=$B9) * (INDIRECT("'"&amp;I$1&amp;"'!C2:C1000")=$C9)
        ),7,
        FALSE
    )
)</f>
        <v>Sim</v>
      </c>
      <c r="J9" s="90" t="str">
        <f t="array" aca="1" ref="J9" ca="1">IF(
    VLOOKUP(
        $A9,
        _xlfn._xlws.FILTER(
            INDIRECT("'"&amp;J$1&amp;"'!A2:G1000"), (INDIRECT("'"&amp;J$1&amp;"'!B2:B1000")=$B9) * (INDIRECT("'"&amp;J$1&amp;"'!C2:C1000")=$C9)
        ),
        5,
        FALSE
    )="",
    "",
    VLOOKUP(
        $A9,
        _xlfn._xlws.FILTER(
            INDIRECT("'"&amp;J$1&amp;"'!A2:G1000"), (INDIRECT("'"&amp;J$1&amp;"'!B2:B1000")=$B9) * (INDIRECT("'"&amp;J$1&amp;"'!C2:C1000")=$C9)
        ),7,
        FALSE
    )
)</f>
        <v>Sim</v>
      </c>
      <c r="K9" s="90" t="str">
        <f t="array" aca="1" ref="K9" ca="1">IF(
    VLOOKUP(
        $A9,
        _xlfn._xlws.FILTER(
            INDIRECT("'"&amp;K$1&amp;"'!A2:G1000"), (INDIRECT("'"&amp;K$1&amp;"'!B2:B1000")=$B9) * (INDIRECT("'"&amp;K$1&amp;"'!C2:C1000")=$C9)
        ),
        5,
        FALSE
    )="",
    "",
    VLOOKUP(
        $A9,
        _xlfn._xlws.FILTER(
            INDIRECT("'"&amp;K$1&amp;"'!A2:G1000"), (INDIRECT("'"&amp;K$1&amp;"'!B2:B1000")=$B9) * (INDIRECT("'"&amp;K$1&amp;"'!C2:C1000")=$C9)
        ),7,
        FALSE
    )
)</f>
        <v>Não</v>
      </c>
      <c r="L9" s="90" t="str">
        <f t="array" aca="1" ref="L9" ca="1">IF(
    VLOOKUP(
        $A9,
        _xlfn._xlws.FILTER(
            INDIRECT("'"&amp;L$1&amp;"'!A2:G1000"), (INDIRECT("'"&amp;L$1&amp;"'!B2:B1000")=$B9) * (INDIRECT("'"&amp;L$1&amp;"'!C2:C1000")=$C9)
        ),
        5,
        FALSE
    )="",
    "",
    VLOOKUP(
        $A9,
        _xlfn._xlws.FILTER(
            INDIRECT("'"&amp;L$1&amp;"'!A2:G1000"), (INDIRECT("'"&amp;L$1&amp;"'!B2:B1000")=$B9) * (INDIRECT("'"&amp;L$1&amp;"'!C2:C1000")=$C9)
        ),7,
        FALSE
    )
)</f>
        <v>Não</v>
      </c>
      <c r="M9" s="90" t="str">
        <f t="array" aca="1" ref="M9" ca="1">IF(
    VLOOKUP(
        $A9,
        _xlfn._xlws.FILTER(
            INDIRECT("'"&amp;M$1&amp;"'!A2:G1000"), (INDIRECT("'"&amp;M$1&amp;"'!B2:B1000")=$B9) * (INDIRECT("'"&amp;M$1&amp;"'!C2:C1000")=$C9)
        ),
        5,
        FALSE
    )="",
    "",
    VLOOKUP(
        $A9,
        _xlfn._xlws.FILTER(
            INDIRECT("'"&amp;M$1&amp;"'!A2:G1000"), (INDIRECT("'"&amp;M$1&amp;"'!B2:B1000")=$B9) * (INDIRECT("'"&amp;M$1&amp;"'!C2:C1000")=$C9)
        ),7,
        FALSE
    )
)</f>
        <v>Não</v>
      </c>
      <c r="N9" s="90" t="str">
        <f t="array" aca="1" ref="N9" ca="1">IF(
    VLOOKUP(
        $A9,
        _xlfn._xlws.FILTER(
            INDIRECT("'"&amp;N$1&amp;"'!A2:G1000"), (INDIRECT("'"&amp;N$1&amp;"'!B2:B1000")=$B9) * (INDIRECT("'"&amp;N$1&amp;"'!C2:C1000")=$C9)
        ),
        5,
        FALSE
    )="",
    "",
    VLOOKUP(
        $A9,
        _xlfn._xlws.FILTER(
            INDIRECT("'"&amp;N$1&amp;"'!A2:G1000"), (INDIRECT("'"&amp;N$1&amp;"'!B2:B1000")=$B9) * (INDIRECT("'"&amp;N$1&amp;"'!C2:C1000")=$C9)
        ),7,
        FALSE
    )
)</f>
        <v>Não</v>
      </c>
      <c r="O9" s="90" t="str">
        <f t="array" aca="1" ref="O9" ca="1">IF(
    VLOOKUP(
        $A9,
        _xlfn._xlws.FILTER(
            INDIRECT("'"&amp;O$1&amp;"'!A2:G1000"), (INDIRECT("'"&amp;O$1&amp;"'!B2:B1000")=$B9) * (INDIRECT("'"&amp;O$1&amp;"'!C2:C1000")=$C9)
        ),
        5,
        FALSE
    )="",
    "",
    VLOOKUP(
        $A9,
        _xlfn._xlws.FILTER(
            INDIRECT("'"&amp;O$1&amp;"'!A2:G1000"), (INDIRECT("'"&amp;O$1&amp;"'!B2:B1000")=$B9) * (INDIRECT("'"&amp;O$1&amp;"'!C2:C1000")=$C9)
        ),7,
        FALSE
    )
)</f>
        <v/>
      </c>
    </row>
    <row r="10" spans="1:15" ht="15.75" customHeight="1">
      <c r="B10" s="35"/>
    </row>
    <row r="11" spans="1:15" ht="15.75" customHeight="1">
      <c r="A11" s="34" t="s">
        <v>25</v>
      </c>
      <c r="B11" s="34" t="s">
        <v>48</v>
      </c>
      <c r="C11" s="34" t="s">
        <v>49</v>
      </c>
      <c r="D11" s="36" t="s">
        <v>1</v>
      </c>
      <c r="E11" s="36" t="s">
        <v>2</v>
      </c>
      <c r="F11" s="36" t="s">
        <v>3</v>
      </c>
      <c r="G11" s="36" t="s">
        <v>4</v>
      </c>
      <c r="H11" s="36" t="s">
        <v>5</v>
      </c>
      <c r="I11" s="36" t="s">
        <v>6</v>
      </c>
      <c r="J11" s="36" t="s">
        <v>7</v>
      </c>
      <c r="K11" s="36" t="s">
        <v>8</v>
      </c>
      <c r="L11" s="36" t="s">
        <v>9</v>
      </c>
      <c r="M11" s="36" t="s">
        <v>10</v>
      </c>
      <c r="N11" s="36" t="s">
        <v>11</v>
      </c>
      <c r="O11" s="36" t="s">
        <v>12</v>
      </c>
    </row>
    <row r="12" spans="1:15" ht="15.75" customHeight="1">
      <c r="A12" s="89" t="s">
        <v>35</v>
      </c>
      <c r="B12" s="112" t="s">
        <v>58</v>
      </c>
      <c r="C12" s="39">
        <v>1</v>
      </c>
      <c r="D12" s="90" t="str">
        <f t="array" aca="1" ref="D12" ca="1">IF(
    VLOOKUP(
        $A12,
        _xlfn._xlws.FILTER(
            INDIRECT("'"&amp;D$1&amp;"'!A2:G1000"), (INDIRECT("'"&amp;D$1&amp;"'!B2:B1000")=$B12) * (INDIRECT("'"&amp;D$1&amp;"'!C2:C1000")=$C12)
        ),
        5,
        FALSE
    )="",
    "",
    VLOOKUP(
        $A12,
        _xlfn._xlws.FILTER(
            INDIRECT("'"&amp;D$1&amp;"'!A2:G1000"), (INDIRECT("'"&amp;D$1&amp;"'!B2:B1000")=$B12) * (INDIRECT("'"&amp;D$1&amp;"'!C2:C1000")=$C12)
        ),7,
        FALSE
    )
)</f>
        <v>Sim</v>
      </c>
      <c r="E12" s="90" t="str">
        <f t="array" aca="1" ref="E12" ca="1">IF(
    VLOOKUP(
        $A12,
        _xlfn._xlws.FILTER(
            INDIRECT("'"&amp;E$1&amp;"'!A2:G1000"), (INDIRECT("'"&amp;E$1&amp;"'!B2:B1000")=$B12) * (INDIRECT("'"&amp;E$1&amp;"'!C2:C1000")=$C12)
        ),
        5,
        FALSE
    )="",
    "",
    VLOOKUP(
        $A12,
        _xlfn._xlws.FILTER(
            INDIRECT("'"&amp;E$1&amp;"'!A2:G1000"), (INDIRECT("'"&amp;E$1&amp;"'!B2:B1000")=$B12) * (INDIRECT("'"&amp;E$1&amp;"'!C2:C1000")=$C12)
        ),7,
        FALSE
    )
)</f>
        <v>Sim</v>
      </c>
      <c r="F12" s="90" t="str">
        <f t="array" aca="1" ref="F12" ca="1">IF(
    VLOOKUP(
        $A12,
        _xlfn._xlws.FILTER(
            INDIRECT("'"&amp;F$1&amp;"'!A2:G1000"), (INDIRECT("'"&amp;F$1&amp;"'!B2:B1000")=$B12) * (INDIRECT("'"&amp;F$1&amp;"'!C2:C1000")=$C12)
        ),
        5,
        FALSE
    )="",
    "",
    VLOOKUP(
        $A12,
        _xlfn._xlws.FILTER(
            INDIRECT("'"&amp;F$1&amp;"'!A2:G1000"), (INDIRECT("'"&amp;F$1&amp;"'!B2:B1000")=$B12) * (INDIRECT("'"&amp;F$1&amp;"'!C2:C1000")=$C12)
        ),7,
        FALSE
    )
)</f>
        <v>Sim</v>
      </c>
      <c r="G12" s="90" t="str">
        <f t="array" aca="1" ref="G12" ca="1">IF(
    VLOOKUP(
        $A12,
        _xlfn._xlws.FILTER(
            INDIRECT("'"&amp;G$1&amp;"'!A2:G1000"), (INDIRECT("'"&amp;G$1&amp;"'!B2:B1000")=$B12) * (INDIRECT("'"&amp;G$1&amp;"'!C2:C1000")=$C12)
        ),
        5,
        FALSE
    )="",
    "",
    VLOOKUP(
        $A12,
        _xlfn._xlws.FILTER(
            INDIRECT("'"&amp;G$1&amp;"'!A2:G1000"), (INDIRECT("'"&amp;G$1&amp;"'!B2:B1000")=$B12) * (INDIRECT("'"&amp;G$1&amp;"'!C2:C1000")=$C12)
        ),7,
        FALSE
    )
)</f>
        <v>Sim</v>
      </c>
      <c r="H12" s="90" t="str">
        <f t="array" aca="1" ref="H12" ca="1">IF(
    VLOOKUP(
        $A12,
        _xlfn._xlws.FILTER(
            INDIRECT("'"&amp;H$1&amp;"'!A2:G1000"), (INDIRECT("'"&amp;H$1&amp;"'!B2:B1000")=$B12) * (INDIRECT("'"&amp;H$1&amp;"'!C2:C1000")=$C12)
        ),
        5,
        FALSE
    )="",
    "",
    VLOOKUP(
        $A12,
        _xlfn._xlws.FILTER(
            INDIRECT("'"&amp;H$1&amp;"'!A2:G1000"), (INDIRECT("'"&amp;H$1&amp;"'!B2:B1000")=$B12) * (INDIRECT("'"&amp;H$1&amp;"'!C2:C1000")=$C12)
        ),7,
        FALSE
    )
)</f>
        <v>Sim</v>
      </c>
      <c r="I12" s="90" t="str">
        <f t="array" aca="1" ref="I12" ca="1">IF(
    VLOOKUP(
        $A12,
        _xlfn._xlws.FILTER(
            INDIRECT("'"&amp;I$1&amp;"'!A2:G1000"), (INDIRECT("'"&amp;I$1&amp;"'!B2:B1000")=$B12) * (INDIRECT("'"&amp;I$1&amp;"'!C2:C1000")=$C12)
        ),
        5,
        FALSE
    )="",
    "",
    VLOOKUP(
        $A12,
        _xlfn._xlws.FILTER(
            INDIRECT("'"&amp;I$1&amp;"'!A2:G1000"), (INDIRECT("'"&amp;I$1&amp;"'!B2:B1000")=$B12) * (INDIRECT("'"&amp;I$1&amp;"'!C2:C1000")=$C12)
        ),7,
        FALSE
    )
)</f>
        <v>Sim</v>
      </c>
      <c r="J12" s="90" t="str">
        <f t="array" aca="1" ref="J12" ca="1">IF(
    VLOOKUP(
        $A12,
        _xlfn._xlws.FILTER(
            INDIRECT("'"&amp;J$1&amp;"'!A2:G1000"), (INDIRECT("'"&amp;J$1&amp;"'!B2:B1000")=$B12) * (INDIRECT("'"&amp;J$1&amp;"'!C2:C1000")=$C12)
        ),
        5,
        FALSE
    )="",
    "",
    VLOOKUP(
        $A12,
        _xlfn._xlws.FILTER(
            INDIRECT("'"&amp;J$1&amp;"'!A2:G1000"), (INDIRECT("'"&amp;J$1&amp;"'!B2:B1000")=$B12) * (INDIRECT("'"&amp;J$1&amp;"'!C2:C1000")=$C12)
        ),7,
        FALSE
    )
)</f>
        <v>Sim</v>
      </c>
      <c r="K12" s="90" t="str">
        <f t="array" aca="1" ref="K12" ca="1">IF(
    VLOOKUP(
        $A12,
        _xlfn._xlws.FILTER(
            INDIRECT("'"&amp;K$1&amp;"'!A2:G1000"), (INDIRECT("'"&amp;K$1&amp;"'!B2:B1000")=$B12) * (INDIRECT("'"&amp;K$1&amp;"'!C2:C1000")=$C12)
        ),
        5,
        FALSE
    )="",
    "",
    VLOOKUP(
        $A12,
        _xlfn._xlws.FILTER(
            INDIRECT("'"&amp;K$1&amp;"'!A2:G1000"), (INDIRECT("'"&amp;K$1&amp;"'!B2:B1000")=$B12) * (INDIRECT("'"&amp;K$1&amp;"'!C2:C1000")=$C12)
        ),7,
        FALSE
    )
)</f>
        <v>Não</v>
      </c>
      <c r="L12" s="90" t="str">
        <f t="array" aca="1" ref="L12" ca="1">IF(
    VLOOKUP(
        $A12,
        _xlfn._xlws.FILTER(
            INDIRECT("'"&amp;L$1&amp;"'!A2:G1000"), (INDIRECT("'"&amp;L$1&amp;"'!B2:B1000")=$B12) * (INDIRECT("'"&amp;L$1&amp;"'!C2:C1000")=$C12)
        ),
        5,
        FALSE
    )="",
    "",
    VLOOKUP(
        $A12,
        _xlfn._xlws.FILTER(
            INDIRECT("'"&amp;L$1&amp;"'!A2:G1000"), (INDIRECT("'"&amp;L$1&amp;"'!B2:B1000")=$B12) * (INDIRECT("'"&amp;L$1&amp;"'!C2:C1000")=$C12)
        ),7,
        FALSE
    )
)</f>
        <v>Não</v>
      </c>
      <c r="M12" s="90" t="str">
        <f t="array" aca="1" ref="M12" ca="1">IF(
    VLOOKUP(
        $A12,
        _xlfn._xlws.FILTER(
            INDIRECT("'"&amp;M$1&amp;"'!A2:G1000"), (INDIRECT("'"&amp;M$1&amp;"'!B2:B1000")=$B12) * (INDIRECT("'"&amp;M$1&amp;"'!C2:C1000")=$C12)
        ),
        5,
        FALSE
    )="",
    "",
    VLOOKUP(
        $A12,
        _xlfn._xlws.FILTER(
            INDIRECT("'"&amp;M$1&amp;"'!A2:G1000"), (INDIRECT("'"&amp;M$1&amp;"'!B2:B1000")=$B12) * (INDIRECT("'"&amp;M$1&amp;"'!C2:C1000")=$C12)
        ),7,
        FALSE
    )
)</f>
        <v>Não</v>
      </c>
      <c r="N12" s="90" t="str">
        <f t="array" aca="1" ref="N12" ca="1">IF(
    VLOOKUP(
        $A12,
        _xlfn._xlws.FILTER(
            INDIRECT("'"&amp;N$1&amp;"'!A2:G1000"), (INDIRECT("'"&amp;N$1&amp;"'!B2:B1000")=$B12) * (INDIRECT("'"&amp;N$1&amp;"'!C2:C1000")=$C12)
        ),
        5,
        FALSE
    )="",
    "",
    VLOOKUP(
        $A12,
        _xlfn._xlws.FILTER(
            INDIRECT("'"&amp;N$1&amp;"'!A2:G1000"), (INDIRECT("'"&amp;N$1&amp;"'!B2:B1000")=$B12) * (INDIRECT("'"&amp;N$1&amp;"'!C2:C1000")=$C12)
        ),7,
        FALSE
    )
)</f>
        <v>Não</v>
      </c>
      <c r="O12" s="90" t="str">
        <f t="array" aca="1" ref="O12" ca="1">IF(
    VLOOKUP(
        $A12,
        _xlfn._xlws.FILTER(
            INDIRECT("'"&amp;O$1&amp;"'!A2:G1000"), (INDIRECT("'"&amp;O$1&amp;"'!B2:B1000")=$B12) * (INDIRECT("'"&amp;O$1&amp;"'!C2:C1000")=$C12)
        ),
        5,
        FALSE
    )="",
    "",
    VLOOKUP(
        $A12,
        _xlfn._xlws.FILTER(
            INDIRECT("'"&amp;O$1&amp;"'!A2:G1000"), (INDIRECT("'"&amp;O$1&amp;"'!B2:B1000")=$B12) * (INDIRECT("'"&amp;O$1&amp;"'!C2:C1000")=$C12)
        ),7,
        FALSE
    )
)</f>
        <v/>
      </c>
    </row>
    <row r="13" spans="1:15" ht="15.75" customHeight="1">
      <c r="A13" s="89" t="s">
        <v>35</v>
      </c>
      <c r="B13" s="112" t="s">
        <v>59</v>
      </c>
      <c r="C13" s="39">
        <v>1</v>
      </c>
      <c r="D13" s="90" t="str">
        <f t="array" aca="1" ref="D13" ca="1">IF(
    VLOOKUP(
        $A13,
        _xlfn._xlws.FILTER(
            INDIRECT("'"&amp;D$1&amp;"'!A2:G1000"), (INDIRECT("'"&amp;D$1&amp;"'!B2:B1000")=$B13) * (INDIRECT("'"&amp;D$1&amp;"'!C2:C1000")=$C13)
        ),
        5,
        FALSE
    )="",
    "",
    VLOOKUP(
        $A13,
        _xlfn._xlws.FILTER(
            INDIRECT("'"&amp;D$1&amp;"'!A2:G1000"), (INDIRECT("'"&amp;D$1&amp;"'!B2:B1000")=$B13) * (INDIRECT("'"&amp;D$1&amp;"'!C2:C1000")=$C13)
        ),7,
        FALSE
    )
)</f>
        <v>Sim</v>
      </c>
      <c r="E13" s="90" t="str">
        <f t="array" aca="1" ref="E13" ca="1">IF(
    VLOOKUP(
        $A13,
        _xlfn._xlws.FILTER(
            INDIRECT("'"&amp;E$1&amp;"'!A2:G1000"), (INDIRECT("'"&amp;E$1&amp;"'!B2:B1000")=$B13) * (INDIRECT("'"&amp;E$1&amp;"'!C2:C1000")=$C13)
        ),
        5,
        FALSE
    )="",
    "",
    VLOOKUP(
        $A13,
        _xlfn._xlws.FILTER(
            INDIRECT("'"&amp;E$1&amp;"'!A2:G1000"), (INDIRECT("'"&amp;E$1&amp;"'!B2:B1000")=$B13) * (INDIRECT("'"&amp;E$1&amp;"'!C2:C1000")=$C13)
        ),7,
        FALSE
    )
)</f>
        <v>Sim</v>
      </c>
      <c r="F13" s="90" t="str">
        <f t="array" aca="1" ref="F13" ca="1">IF(
    VLOOKUP(
        $A13,
        _xlfn._xlws.FILTER(
            INDIRECT("'"&amp;F$1&amp;"'!A2:G1000"), (INDIRECT("'"&amp;F$1&amp;"'!B2:B1000")=$B13) * (INDIRECT("'"&amp;F$1&amp;"'!C2:C1000")=$C13)
        ),
        5,
        FALSE
    )="",
    "",
    VLOOKUP(
        $A13,
        _xlfn._xlws.FILTER(
            INDIRECT("'"&amp;F$1&amp;"'!A2:G1000"), (INDIRECT("'"&amp;F$1&amp;"'!B2:B1000")=$B13) * (INDIRECT("'"&amp;F$1&amp;"'!C2:C1000")=$C13)
        ),7,
        FALSE
    )
)</f>
        <v>Sim</v>
      </c>
      <c r="G13" s="90" t="str">
        <f t="array" aca="1" ref="G13" ca="1">IF(
    VLOOKUP(
        $A13,
        _xlfn._xlws.FILTER(
            INDIRECT("'"&amp;G$1&amp;"'!A2:G1000"), (INDIRECT("'"&amp;G$1&amp;"'!B2:B1000")=$B13) * (INDIRECT("'"&amp;G$1&amp;"'!C2:C1000")=$C13)
        ),
        5,
        FALSE
    )="",
    "",
    VLOOKUP(
        $A13,
        _xlfn._xlws.FILTER(
            INDIRECT("'"&amp;G$1&amp;"'!A2:G1000"), (INDIRECT("'"&amp;G$1&amp;"'!B2:B1000")=$B13) * (INDIRECT("'"&amp;G$1&amp;"'!C2:C1000")=$C13)
        ),7,
        FALSE
    )
)</f>
        <v>Sim</v>
      </c>
      <c r="H13" s="90" t="str">
        <f t="array" aca="1" ref="H13" ca="1">IF(
    VLOOKUP(
        $A13,
        _xlfn._xlws.FILTER(
            INDIRECT("'"&amp;H$1&amp;"'!A2:G1000"), (INDIRECT("'"&amp;H$1&amp;"'!B2:B1000")=$B13) * (INDIRECT("'"&amp;H$1&amp;"'!C2:C1000")=$C13)
        ),
        5,
        FALSE
    )="",
    "",
    VLOOKUP(
        $A13,
        _xlfn._xlws.FILTER(
            INDIRECT("'"&amp;H$1&amp;"'!A2:G1000"), (INDIRECT("'"&amp;H$1&amp;"'!B2:B1000")=$B13) * (INDIRECT("'"&amp;H$1&amp;"'!C2:C1000")=$C13)
        ),7,
        FALSE
    )
)</f>
        <v>Sim</v>
      </c>
      <c r="I13" s="90" t="str">
        <f t="array" aca="1" ref="I13" ca="1">IF(
    VLOOKUP(
        $A13,
        _xlfn._xlws.FILTER(
            INDIRECT("'"&amp;I$1&amp;"'!A2:G1000"), (INDIRECT("'"&amp;I$1&amp;"'!B2:B1000")=$B13) * (INDIRECT("'"&amp;I$1&amp;"'!C2:C1000")=$C13)
        ),
        5,
        FALSE
    )="",
    "",
    VLOOKUP(
        $A13,
        _xlfn._xlws.FILTER(
            INDIRECT("'"&amp;I$1&amp;"'!A2:G1000"), (INDIRECT("'"&amp;I$1&amp;"'!B2:B1000")=$B13) * (INDIRECT("'"&amp;I$1&amp;"'!C2:C1000")=$C13)
        ),7,
        FALSE
    )
)</f>
        <v>Sim</v>
      </c>
      <c r="J13" s="90" t="str">
        <f t="array" aca="1" ref="J13" ca="1">IF(
    VLOOKUP(
        $A13,
        _xlfn._xlws.FILTER(
            INDIRECT("'"&amp;J$1&amp;"'!A2:G1000"), (INDIRECT("'"&amp;J$1&amp;"'!B2:B1000")=$B13) * (INDIRECT("'"&amp;J$1&amp;"'!C2:C1000")=$C13)
        ),
        5,
        FALSE
    )="",
    "",
    VLOOKUP(
        $A13,
        _xlfn._xlws.FILTER(
            INDIRECT("'"&amp;J$1&amp;"'!A2:G1000"), (INDIRECT("'"&amp;J$1&amp;"'!B2:B1000")=$B13) * (INDIRECT("'"&amp;J$1&amp;"'!C2:C1000")=$C13)
        ),7,
        FALSE
    )
)</f>
        <v>Sim</v>
      </c>
      <c r="K13" s="90" t="str">
        <f t="array" aca="1" ref="K13" ca="1">IF(
    VLOOKUP(
        $A13,
        _xlfn._xlws.FILTER(
            INDIRECT("'"&amp;K$1&amp;"'!A2:G1000"), (INDIRECT("'"&amp;K$1&amp;"'!B2:B1000")=$B13) * (INDIRECT("'"&amp;K$1&amp;"'!C2:C1000")=$C13)
        ),
        5,
        FALSE
    )="",
    "",
    VLOOKUP(
        $A13,
        _xlfn._xlws.FILTER(
            INDIRECT("'"&amp;K$1&amp;"'!A2:G1000"), (INDIRECT("'"&amp;K$1&amp;"'!B2:B1000")=$B13) * (INDIRECT("'"&amp;K$1&amp;"'!C2:C1000")=$C13)
        ),7,
        FALSE
    )
)</f>
        <v>Não</v>
      </c>
      <c r="L13" s="90" t="str">
        <f t="array" aca="1" ref="L13" ca="1">IF(
    VLOOKUP(
        $A13,
        _xlfn._xlws.FILTER(
            INDIRECT("'"&amp;L$1&amp;"'!A2:G1000"), (INDIRECT("'"&amp;L$1&amp;"'!B2:B1000")=$B13) * (INDIRECT("'"&amp;L$1&amp;"'!C2:C1000")=$C13)
        ),
        5,
        FALSE
    )="",
    "",
    VLOOKUP(
        $A13,
        _xlfn._xlws.FILTER(
            INDIRECT("'"&amp;L$1&amp;"'!A2:G1000"), (INDIRECT("'"&amp;L$1&amp;"'!B2:B1000")=$B13) * (INDIRECT("'"&amp;L$1&amp;"'!C2:C1000")=$C13)
        ),7,
        FALSE
    )
)</f>
        <v>Não</v>
      </c>
      <c r="M13" s="90" t="str">
        <f t="array" aca="1" ref="M13" ca="1">IF(
    VLOOKUP(
        $A13,
        _xlfn._xlws.FILTER(
            INDIRECT("'"&amp;M$1&amp;"'!A2:G1000"), (INDIRECT("'"&amp;M$1&amp;"'!B2:B1000")=$B13) * (INDIRECT("'"&amp;M$1&amp;"'!C2:C1000")=$C13)
        ),
        5,
        FALSE
    )="",
    "",
    VLOOKUP(
        $A13,
        _xlfn._xlws.FILTER(
            INDIRECT("'"&amp;M$1&amp;"'!A2:G1000"), (INDIRECT("'"&amp;M$1&amp;"'!B2:B1000")=$B13) * (INDIRECT("'"&amp;M$1&amp;"'!C2:C1000")=$C13)
        ),7,
        FALSE
    )
)</f>
        <v>Não</v>
      </c>
      <c r="N13" s="90" t="str">
        <f t="array" aca="1" ref="N13" ca="1">IF(
    VLOOKUP(
        $A13,
        _xlfn._xlws.FILTER(
            INDIRECT("'"&amp;N$1&amp;"'!A2:G1000"), (INDIRECT("'"&amp;N$1&amp;"'!B2:B1000")=$B13) * (INDIRECT("'"&amp;N$1&amp;"'!C2:C1000")=$C13)
        ),
        5,
        FALSE
    )="",
    "",
    VLOOKUP(
        $A13,
        _xlfn._xlws.FILTER(
            INDIRECT("'"&amp;N$1&amp;"'!A2:G1000"), (INDIRECT("'"&amp;N$1&amp;"'!B2:B1000")=$B13) * (INDIRECT("'"&amp;N$1&amp;"'!C2:C1000")=$C13)
        ),7,
        FALSE
    )
)</f>
        <v>Não</v>
      </c>
      <c r="O13" s="90" t="str">
        <f t="array" aca="1" ref="O13" ca="1">IF(
    VLOOKUP(
        $A13,
        _xlfn._xlws.FILTER(
            INDIRECT("'"&amp;O$1&amp;"'!A2:G1000"), (INDIRECT("'"&amp;O$1&amp;"'!B2:B1000")=$B13) * (INDIRECT("'"&amp;O$1&amp;"'!C2:C1000")=$C13)
        ),
        5,
        FALSE
    )="",
    "",
    VLOOKUP(
        $A13,
        _xlfn._xlws.FILTER(
            INDIRECT("'"&amp;O$1&amp;"'!A2:G1000"), (INDIRECT("'"&amp;O$1&amp;"'!B2:B1000")=$B13) * (INDIRECT("'"&amp;O$1&amp;"'!C2:C1000")=$C13)
        ),7,
        FALSE
    )
)</f>
        <v/>
      </c>
    </row>
    <row r="14" spans="1:15" ht="15.75" customHeight="1">
      <c r="A14" s="89" t="s">
        <v>35</v>
      </c>
      <c r="B14" s="112" t="s">
        <v>60</v>
      </c>
      <c r="C14" s="39">
        <v>1</v>
      </c>
      <c r="D14" s="90" t="str">
        <f t="array" aca="1" ref="D14" ca="1">IF(
    VLOOKUP(
        $A14,
        _xlfn._xlws.FILTER(
            INDIRECT("'"&amp;D$1&amp;"'!A2:G1000"), (INDIRECT("'"&amp;D$1&amp;"'!B2:B1000")=$B14) * (INDIRECT("'"&amp;D$1&amp;"'!C2:C1000")=$C14)
        ),
        5,
        FALSE
    )="",
    "",
    VLOOKUP(
        $A14,
        _xlfn._xlws.FILTER(
            INDIRECT("'"&amp;D$1&amp;"'!A2:G1000"), (INDIRECT("'"&amp;D$1&amp;"'!B2:B1000")=$B14) * (INDIRECT("'"&amp;D$1&amp;"'!C2:C1000")=$C14)
        ),7,
        FALSE
    )
)</f>
        <v>Sim</v>
      </c>
      <c r="E14" s="90" t="str">
        <f t="array" aca="1" ref="E14" ca="1">IF(
    VLOOKUP(
        $A14,
        _xlfn._xlws.FILTER(
            INDIRECT("'"&amp;E$1&amp;"'!A2:G1000"), (INDIRECT("'"&amp;E$1&amp;"'!B2:B1000")=$B14) * (INDIRECT("'"&amp;E$1&amp;"'!C2:C1000")=$C14)
        ),
        5,
        FALSE
    )="",
    "",
    VLOOKUP(
        $A14,
        _xlfn._xlws.FILTER(
            INDIRECT("'"&amp;E$1&amp;"'!A2:G1000"), (INDIRECT("'"&amp;E$1&amp;"'!B2:B1000")=$B14) * (INDIRECT("'"&amp;E$1&amp;"'!C2:C1000")=$C14)
        ),7,
        FALSE
    )
)</f>
        <v>Sim</v>
      </c>
      <c r="F14" s="90" t="str">
        <f t="array" aca="1" ref="F14" ca="1">IF(
    VLOOKUP(
        $A14,
        _xlfn._xlws.FILTER(
            INDIRECT("'"&amp;F$1&amp;"'!A2:G1000"), (INDIRECT("'"&amp;F$1&amp;"'!B2:B1000")=$B14) * (INDIRECT("'"&amp;F$1&amp;"'!C2:C1000")=$C14)
        ),
        5,
        FALSE
    )="",
    "",
    VLOOKUP(
        $A14,
        _xlfn._xlws.FILTER(
            INDIRECT("'"&amp;F$1&amp;"'!A2:G1000"), (INDIRECT("'"&amp;F$1&amp;"'!B2:B1000")=$B14) * (INDIRECT("'"&amp;F$1&amp;"'!C2:C1000")=$C14)
        ),7,
        FALSE
    )
)</f>
        <v>Sim</v>
      </c>
      <c r="G14" s="90" t="str">
        <f t="array" aca="1" ref="G14" ca="1">IF(
    VLOOKUP(
        $A14,
        _xlfn._xlws.FILTER(
            INDIRECT("'"&amp;G$1&amp;"'!A2:G1000"), (INDIRECT("'"&amp;G$1&amp;"'!B2:B1000")=$B14) * (INDIRECT("'"&amp;G$1&amp;"'!C2:C1000")=$C14)
        ),
        5,
        FALSE
    )="",
    "",
    VLOOKUP(
        $A14,
        _xlfn._xlws.FILTER(
            INDIRECT("'"&amp;G$1&amp;"'!A2:G1000"), (INDIRECT("'"&amp;G$1&amp;"'!B2:B1000")=$B14) * (INDIRECT("'"&amp;G$1&amp;"'!C2:C1000")=$C14)
        ),7,
        FALSE
    )
)</f>
        <v>Sim</v>
      </c>
      <c r="H14" s="90" t="str">
        <f t="array" aca="1" ref="H14" ca="1">IF(
    VLOOKUP(
        $A14,
        _xlfn._xlws.FILTER(
            INDIRECT("'"&amp;H$1&amp;"'!A2:G1000"), (INDIRECT("'"&amp;H$1&amp;"'!B2:B1000")=$B14) * (INDIRECT("'"&amp;H$1&amp;"'!C2:C1000")=$C14)
        ),
        5,
        FALSE
    )="",
    "",
    VLOOKUP(
        $A14,
        _xlfn._xlws.FILTER(
            INDIRECT("'"&amp;H$1&amp;"'!A2:G1000"), (INDIRECT("'"&amp;H$1&amp;"'!B2:B1000")=$B14) * (INDIRECT("'"&amp;H$1&amp;"'!C2:C1000")=$C14)
        ),7,
        FALSE
    )
)</f>
        <v>Sim</v>
      </c>
      <c r="I14" s="90" t="str">
        <f t="array" aca="1" ref="I14" ca="1">IF(
    VLOOKUP(
        $A14,
        _xlfn._xlws.FILTER(
            INDIRECT("'"&amp;I$1&amp;"'!A2:G1000"), (INDIRECT("'"&amp;I$1&amp;"'!B2:B1000")=$B14) * (INDIRECT("'"&amp;I$1&amp;"'!C2:C1000")=$C14)
        ),
        5,
        FALSE
    )="",
    "",
    VLOOKUP(
        $A14,
        _xlfn._xlws.FILTER(
            INDIRECT("'"&amp;I$1&amp;"'!A2:G1000"), (INDIRECT("'"&amp;I$1&amp;"'!B2:B1000")=$B14) * (INDIRECT("'"&amp;I$1&amp;"'!C2:C1000")=$C14)
        ),7,
        FALSE
    )
)</f>
        <v>Sim</v>
      </c>
      <c r="J14" s="90" t="str">
        <f t="array" aca="1" ref="J14" ca="1">IF(
    VLOOKUP(
        $A14,
        _xlfn._xlws.FILTER(
            INDIRECT("'"&amp;J$1&amp;"'!A2:G1000"), (INDIRECT("'"&amp;J$1&amp;"'!B2:B1000")=$B14) * (INDIRECT("'"&amp;J$1&amp;"'!C2:C1000")=$C14)
        ),
        5,
        FALSE
    )="",
    "",
    VLOOKUP(
        $A14,
        _xlfn._xlws.FILTER(
            INDIRECT("'"&amp;J$1&amp;"'!A2:G1000"), (INDIRECT("'"&amp;J$1&amp;"'!B2:B1000")=$B14) * (INDIRECT("'"&amp;J$1&amp;"'!C2:C1000")=$C14)
        ),7,
        FALSE
    )
)</f>
        <v>Sim</v>
      </c>
      <c r="K14" s="90" t="str">
        <f t="array" aca="1" ref="K14" ca="1">IF(
    VLOOKUP(
        $A14,
        _xlfn._xlws.FILTER(
            INDIRECT("'"&amp;K$1&amp;"'!A2:G1000"), (INDIRECT("'"&amp;K$1&amp;"'!B2:B1000")=$B14) * (INDIRECT("'"&amp;K$1&amp;"'!C2:C1000")=$C14)
        ),
        5,
        FALSE
    )="",
    "",
    VLOOKUP(
        $A14,
        _xlfn._xlws.FILTER(
            INDIRECT("'"&amp;K$1&amp;"'!A2:G1000"), (INDIRECT("'"&amp;K$1&amp;"'!B2:B1000")=$B14) * (INDIRECT("'"&amp;K$1&amp;"'!C2:C1000")=$C14)
        ),7,
        FALSE
    )
)</f>
        <v>Não</v>
      </c>
      <c r="L14" s="90" t="str">
        <f t="array" aca="1" ref="L14" ca="1">IF(
    VLOOKUP(
        $A14,
        _xlfn._xlws.FILTER(
            INDIRECT("'"&amp;L$1&amp;"'!A2:G1000"), (INDIRECT("'"&amp;L$1&amp;"'!B2:B1000")=$B14) * (INDIRECT("'"&amp;L$1&amp;"'!C2:C1000")=$C14)
        ),
        5,
        FALSE
    )="",
    "",
    VLOOKUP(
        $A14,
        _xlfn._xlws.FILTER(
            INDIRECT("'"&amp;L$1&amp;"'!A2:G1000"), (INDIRECT("'"&amp;L$1&amp;"'!B2:B1000")=$B14) * (INDIRECT("'"&amp;L$1&amp;"'!C2:C1000")=$C14)
        ),7,
        FALSE
    )
)</f>
        <v>Não</v>
      </c>
      <c r="M14" s="90" t="str">
        <f t="array" aca="1" ref="M14" ca="1">IF(
    VLOOKUP(
        $A14,
        _xlfn._xlws.FILTER(
            INDIRECT("'"&amp;M$1&amp;"'!A2:G1000"), (INDIRECT("'"&amp;M$1&amp;"'!B2:B1000")=$B14) * (INDIRECT("'"&amp;M$1&amp;"'!C2:C1000")=$C14)
        ),
        5,
        FALSE
    )="",
    "",
    VLOOKUP(
        $A14,
        _xlfn._xlws.FILTER(
            INDIRECT("'"&amp;M$1&amp;"'!A2:G1000"), (INDIRECT("'"&amp;M$1&amp;"'!B2:B1000")=$B14) * (INDIRECT("'"&amp;M$1&amp;"'!C2:C1000")=$C14)
        ),7,
        FALSE
    )
)</f>
        <v>Não</v>
      </c>
      <c r="N14" s="90" t="str">
        <f t="array" aca="1" ref="N14" ca="1">IF(
    VLOOKUP(
        $A14,
        _xlfn._xlws.FILTER(
            INDIRECT("'"&amp;N$1&amp;"'!A2:G1000"), (INDIRECT("'"&amp;N$1&amp;"'!B2:B1000")=$B14) * (INDIRECT("'"&amp;N$1&amp;"'!C2:C1000")=$C14)
        ),
        5,
        FALSE
    )="",
    "",
    VLOOKUP(
        $A14,
        _xlfn._xlws.FILTER(
            INDIRECT("'"&amp;N$1&amp;"'!A2:G1000"), (INDIRECT("'"&amp;N$1&amp;"'!B2:B1000")=$B14) * (INDIRECT("'"&amp;N$1&amp;"'!C2:C1000")=$C14)
        ),7,
        FALSE
    )
)</f>
        <v>Não</v>
      </c>
      <c r="O14" s="90" t="str">
        <f t="array" aca="1" ref="O14" ca="1">IF(
    VLOOKUP(
        $A14,
        _xlfn._xlws.FILTER(
            INDIRECT("'"&amp;O$1&amp;"'!A2:G1000"), (INDIRECT("'"&amp;O$1&amp;"'!B2:B1000")=$B14) * (INDIRECT("'"&amp;O$1&amp;"'!C2:C1000")=$C14)
        ),
        5,
        FALSE
    )="",
    "",
    VLOOKUP(
        $A14,
        _xlfn._xlws.FILTER(
            INDIRECT("'"&amp;O$1&amp;"'!A2:G1000"), (INDIRECT("'"&amp;O$1&amp;"'!B2:B1000")=$B14) * (INDIRECT("'"&amp;O$1&amp;"'!C2:C1000")=$C14)
        ),7,
        FALSE
    )
)</f>
        <v/>
      </c>
    </row>
    <row r="15" spans="1:15" ht="15.75" customHeight="1">
      <c r="A15" s="89" t="s">
        <v>35</v>
      </c>
      <c r="B15" s="112" t="s">
        <v>61</v>
      </c>
      <c r="C15" s="39">
        <v>1</v>
      </c>
      <c r="D15" s="90" t="str">
        <f t="array" aca="1" ref="D15" ca="1">IF(
    VLOOKUP(
        $A15,
        _xlfn._xlws.FILTER(
            INDIRECT("'"&amp;D$1&amp;"'!A2:G1000"), (INDIRECT("'"&amp;D$1&amp;"'!B2:B1000")=$B15) * (INDIRECT("'"&amp;D$1&amp;"'!C2:C1000")=$C15)
        ),
        5,
        FALSE
    )="",
    "",
    VLOOKUP(
        $A15,
        _xlfn._xlws.FILTER(
            INDIRECT("'"&amp;D$1&amp;"'!A2:G1000"), (INDIRECT("'"&amp;D$1&amp;"'!B2:B1000")=$B15) * (INDIRECT("'"&amp;D$1&amp;"'!C2:C1000")=$C15)
        ),7,
        FALSE
    )
)</f>
        <v>Sim</v>
      </c>
      <c r="E15" s="90" t="str">
        <f t="array" aca="1" ref="E15" ca="1">IF(
    VLOOKUP(
        $A15,
        _xlfn._xlws.FILTER(
            INDIRECT("'"&amp;E$1&amp;"'!A2:G1000"), (INDIRECT("'"&amp;E$1&amp;"'!B2:B1000")=$B15) * (INDIRECT("'"&amp;E$1&amp;"'!C2:C1000")=$C15)
        ),
        5,
        FALSE
    )="",
    "",
    VLOOKUP(
        $A15,
        _xlfn._xlws.FILTER(
            INDIRECT("'"&amp;E$1&amp;"'!A2:G1000"), (INDIRECT("'"&amp;E$1&amp;"'!B2:B1000")=$B15) * (INDIRECT("'"&amp;E$1&amp;"'!C2:C1000")=$C15)
        ),7,
        FALSE
    )
)</f>
        <v>Sim</v>
      </c>
      <c r="F15" s="90" t="str">
        <f t="array" aca="1" ref="F15" ca="1">IF(
    VLOOKUP(
        $A15,
        _xlfn._xlws.FILTER(
            INDIRECT("'"&amp;F$1&amp;"'!A2:G1000"), (INDIRECT("'"&amp;F$1&amp;"'!B2:B1000")=$B15) * (INDIRECT("'"&amp;F$1&amp;"'!C2:C1000")=$C15)
        ),
        5,
        FALSE
    )="",
    "",
    VLOOKUP(
        $A15,
        _xlfn._xlws.FILTER(
            INDIRECT("'"&amp;F$1&amp;"'!A2:G1000"), (INDIRECT("'"&amp;F$1&amp;"'!B2:B1000")=$B15) * (INDIRECT("'"&amp;F$1&amp;"'!C2:C1000")=$C15)
        ),7,
        FALSE
    )
)</f>
        <v>Sim</v>
      </c>
      <c r="G15" s="90" t="str">
        <f t="array" aca="1" ref="G15" ca="1">IF(
    VLOOKUP(
        $A15,
        _xlfn._xlws.FILTER(
            INDIRECT("'"&amp;G$1&amp;"'!A2:G1000"), (INDIRECT("'"&amp;G$1&amp;"'!B2:B1000")=$B15) * (INDIRECT("'"&amp;G$1&amp;"'!C2:C1000")=$C15)
        ),
        5,
        FALSE
    )="",
    "",
    VLOOKUP(
        $A15,
        _xlfn._xlws.FILTER(
            INDIRECT("'"&amp;G$1&amp;"'!A2:G1000"), (INDIRECT("'"&amp;G$1&amp;"'!B2:B1000")=$B15) * (INDIRECT("'"&amp;G$1&amp;"'!C2:C1000")=$C15)
        ),7,
        FALSE
    )
)</f>
        <v>Sim</v>
      </c>
      <c r="H15" s="90" t="str">
        <f t="array" aca="1" ref="H15" ca="1">IF(
    VLOOKUP(
        $A15,
        _xlfn._xlws.FILTER(
            INDIRECT("'"&amp;H$1&amp;"'!A2:G1000"), (INDIRECT("'"&amp;H$1&amp;"'!B2:B1000")=$B15) * (INDIRECT("'"&amp;H$1&amp;"'!C2:C1000")=$C15)
        ),
        5,
        FALSE
    )="",
    "",
    VLOOKUP(
        $A15,
        _xlfn._xlws.FILTER(
            INDIRECT("'"&amp;H$1&amp;"'!A2:G1000"), (INDIRECT("'"&amp;H$1&amp;"'!B2:B1000")=$B15) * (INDIRECT("'"&amp;H$1&amp;"'!C2:C1000")=$C15)
        ),7,
        FALSE
    )
)</f>
        <v>Sim</v>
      </c>
      <c r="I15" s="90" t="str">
        <f t="array" aca="1" ref="I15" ca="1">IF(
    VLOOKUP(
        $A15,
        _xlfn._xlws.FILTER(
            INDIRECT("'"&amp;I$1&amp;"'!A2:G1000"), (INDIRECT("'"&amp;I$1&amp;"'!B2:B1000")=$B15) * (INDIRECT("'"&amp;I$1&amp;"'!C2:C1000")=$C15)
        ),
        5,
        FALSE
    )="",
    "",
    VLOOKUP(
        $A15,
        _xlfn._xlws.FILTER(
            INDIRECT("'"&amp;I$1&amp;"'!A2:G1000"), (INDIRECT("'"&amp;I$1&amp;"'!B2:B1000")=$B15) * (INDIRECT("'"&amp;I$1&amp;"'!C2:C1000")=$C15)
        ),7,
        FALSE
    )
)</f>
        <v>Sim</v>
      </c>
      <c r="J15" s="90" t="str">
        <f t="array" aca="1" ref="J15" ca="1">IF(
    VLOOKUP(
        $A15,
        _xlfn._xlws.FILTER(
            INDIRECT("'"&amp;J$1&amp;"'!A2:G1000"), (INDIRECT("'"&amp;J$1&amp;"'!B2:B1000")=$B15) * (INDIRECT("'"&amp;J$1&amp;"'!C2:C1000")=$C15)
        ),
        5,
        FALSE
    )="",
    "",
    VLOOKUP(
        $A15,
        _xlfn._xlws.FILTER(
            INDIRECT("'"&amp;J$1&amp;"'!A2:G1000"), (INDIRECT("'"&amp;J$1&amp;"'!B2:B1000")=$B15) * (INDIRECT("'"&amp;J$1&amp;"'!C2:C1000")=$C15)
        ),7,
        FALSE
    )
)</f>
        <v>Sim</v>
      </c>
      <c r="K15" s="90" t="str">
        <f t="array" aca="1" ref="K15" ca="1">IF(
    VLOOKUP(
        $A15,
        _xlfn._xlws.FILTER(
            INDIRECT("'"&amp;K$1&amp;"'!A2:G1000"), (INDIRECT("'"&amp;K$1&amp;"'!B2:B1000")=$B15) * (INDIRECT("'"&amp;K$1&amp;"'!C2:C1000")=$C15)
        ),
        5,
        FALSE
    )="",
    "",
    VLOOKUP(
        $A15,
        _xlfn._xlws.FILTER(
            INDIRECT("'"&amp;K$1&amp;"'!A2:G1000"), (INDIRECT("'"&amp;K$1&amp;"'!B2:B1000")=$B15) * (INDIRECT("'"&amp;K$1&amp;"'!C2:C1000")=$C15)
        ),7,
        FALSE
    )
)</f>
        <v>Não</v>
      </c>
      <c r="L15" s="90" t="str">
        <f t="array" aca="1" ref="L15" ca="1">IF(
    VLOOKUP(
        $A15,
        _xlfn._xlws.FILTER(
            INDIRECT("'"&amp;L$1&amp;"'!A2:G1000"), (INDIRECT("'"&amp;L$1&amp;"'!B2:B1000")=$B15) * (INDIRECT("'"&amp;L$1&amp;"'!C2:C1000")=$C15)
        ),
        5,
        FALSE
    )="",
    "",
    VLOOKUP(
        $A15,
        _xlfn._xlws.FILTER(
            INDIRECT("'"&amp;L$1&amp;"'!A2:G1000"), (INDIRECT("'"&amp;L$1&amp;"'!B2:B1000")=$B15) * (INDIRECT("'"&amp;L$1&amp;"'!C2:C1000")=$C15)
        ),7,
        FALSE
    )
)</f>
        <v>Não</v>
      </c>
      <c r="M15" s="90" t="str">
        <f t="array" aca="1" ref="M15" ca="1">IF(
    VLOOKUP(
        $A15,
        _xlfn._xlws.FILTER(
            INDIRECT("'"&amp;M$1&amp;"'!A2:G1000"), (INDIRECT("'"&amp;M$1&amp;"'!B2:B1000")=$B15) * (INDIRECT("'"&amp;M$1&amp;"'!C2:C1000")=$C15)
        ),
        5,
        FALSE
    )="",
    "",
    VLOOKUP(
        $A15,
        _xlfn._xlws.FILTER(
            INDIRECT("'"&amp;M$1&amp;"'!A2:G1000"), (INDIRECT("'"&amp;M$1&amp;"'!B2:B1000")=$B15) * (INDIRECT("'"&amp;M$1&amp;"'!C2:C1000")=$C15)
        ),7,
        FALSE
    )
)</f>
        <v>Não</v>
      </c>
      <c r="N15" s="90" t="str">
        <f t="array" aca="1" ref="N15" ca="1">IF(
    VLOOKUP(
        $A15,
        _xlfn._xlws.FILTER(
            INDIRECT("'"&amp;N$1&amp;"'!A2:G1000"), (INDIRECT("'"&amp;N$1&amp;"'!B2:B1000")=$B15) * (INDIRECT("'"&amp;N$1&amp;"'!C2:C1000")=$C15)
        ),
        5,
        FALSE
    )="",
    "",
    VLOOKUP(
        $A15,
        _xlfn._xlws.FILTER(
            INDIRECT("'"&amp;N$1&amp;"'!A2:G1000"), (INDIRECT("'"&amp;N$1&amp;"'!B2:B1000")=$B15) * (INDIRECT("'"&amp;N$1&amp;"'!C2:C1000")=$C15)
        ),7,
        FALSE
    )
)</f>
        <v>Não</v>
      </c>
      <c r="O15" s="90" t="str">
        <f t="array" aca="1" ref="O15" ca="1">IF(
    VLOOKUP(
        $A15,
        _xlfn._xlws.FILTER(
            INDIRECT("'"&amp;O$1&amp;"'!A2:G1000"), (INDIRECT("'"&amp;O$1&amp;"'!B2:B1000")=$B15) * (INDIRECT("'"&amp;O$1&amp;"'!C2:C1000")=$C15)
        ),
        5,
        FALSE
    )="",
    "",
    VLOOKUP(
        $A15,
        _xlfn._xlws.FILTER(
            INDIRECT("'"&amp;O$1&amp;"'!A2:G1000"), (INDIRECT("'"&amp;O$1&amp;"'!B2:B1000")=$B15) * (INDIRECT("'"&amp;O$1&amp;"'!C2:C1000")=$C15)
        ),7,
        FALSE
    )
)</f>
        <v/>
      </c>
    </row>
    <row r="16" spans="1:15">
      <c r="A16" s="89" t="s">
        <v>35</v>
      </c>
      <c r="B16" s="112" t="s">
        <v>62</v>
      </c>
      <c r="C16" s="39">
        <v>1</v>
      </c>
      <c r="D16" s="90" t="str">
        <f t="array" aca="1" ref="D16" ca="1">IF(
    VLOOKUP(
        $A16,
        _xlfn._xlws.FILTER(
            INDIRECT("'"&amp;D$1&amp;"'!A2:G1000"), (INDIRECT("'"&amp;D$1&amp;"'!B2:B1000")=$B16) * (INDIRECT("'"&amp;D$1&amp;"'!C2:C1000")=$C16)
        ),
        5,
        FALSE
    )="",
    "",
    VLOOKUP(
        $A16,
        _xlfn._xlws.FILTER(
            INDIRECT("'"&amp;D$1&amp;"'!A2:G1000"), (INDIRECT("'"&amp;D$1&amp;"'!B2:B1000")=$B16) * (INDIRECT("'"&amp;D$1&amp;"'!C2:C1000")=$C16)
        ),7,
        FALSE
    )
)</f>
        <v>Sim</v>
      </c>
      <c r="E16" s="90" t="str">
        <f t="array" aca="1" ref="E16" ca="1">IF(
    VLOOKUP(
        $A16,
        _xlfn._xlws.FILTER(
            INDIRECT("'"&amp;E$1&amp;"'!A2:G1000"), (INDIRECT("'"&amp;E$1&amp;"'!B2:B1000")=$B16) * (INDIRECT("'"&amp;E$1&amp;"'!C2:C1000")=$C16)
        ),
        5,
        FALSE
    )="",
    "",
    VLOOKUP(
        $A16,
        _xlfn._xlws.FILTER(
            INDIRECT("'"&amp;E$1&amp;"'!A2:G1000"), (INDIRECT("'"&amp;E$1&amp;"'!B2:B1000")=$B16) * (INDIRECT("'"&amp;E$1&amp;"'!C2:C1000")=$C16)
        ),7,
        FALSE
    )
)</f>
        <v>Sim</v>
      </c>
      <c r="F16" s="90" t="str">
        <f t="array" aca="1" ref="F16" ca="1">IF(
    VLOOKUP(
        $A16,
        _xlfn._xlws.FILTER(
            INDIRECT("'"&amp;F$1&amp;"'!A2:G1000"), (INDIRECT("'"&amp;F$1&amp;"'!B2:B1000")=$B16) * (INDIRECT("'"&amp;F$1&amp;"'!C2:C1000")=$C16)
        ),
        5,
        FALSE
    )="",
    "",
    VLOOKUP(
        $A16,
        _xlfn._xlws.FILTER(
            INDIRECT("'"&amp;F$1&amp;"'!A2:G1000"), (INDIRECT("'"&amp;F$1&amp;"'!B2:B1000")=$B16) * (INDIRECT("'"&amp;F$1&amp;"'!C2:C1000")=$C16)
        ),7,
        FALSE
    )
)</f>
        <v>Sim</v>
      </c>
      <c r="G16" s="90" t="str">
        <f t="array" aca="1" ref="G16" ca="1">IF(
    VLOOKUP(
        $A16,
        _xlfn._xlws.FILTER(
            INDIRECT("'"&amp;G$1&amp;"'!A2:G1000"), (INDIRECT("'"&amp;G$1&amp;"'!B2:B1000")=$B16) * (INDIRECT("'"&amp;G$1&amp;"'!C2:C1000")=$C16)
        ),
        5,
        FALSE
    )="",
    "",
    VLOOKUP(
        $A16,
        _xlfn._xlws.FILTER(
            INDIRECT("'"&amp;G$1&amp;"'!A2:G1000"), (INDIRECT("'"&amp;G$1&amp;"'!B2:B1000")=$B16) * (INDIRECT("'"&amp;G$1&amp;"'!C2:C1000")=$C16)
        ),7,
        FALSE
    )
)</f>
        <v>Sim</v>
      </c>
      <c r="H16" s="90" t="str">
        <f t="array" aca="1" ref="H16" ca="1">IF(
    VLOOKUP(
        $A16,
        _xlfn._xlws.FILTER(
            INDIRECT("'"&amp;H$1&amp;"'!A2:G1000"), (INDIRECT("'"&amp;H$1&amp;"'!B2:B1000")=$B16) * (INDIRECT("'"&amp;H$1&amp;"'!C2:C1000")=$C16)
        ),
        5,
        FALSE
    )="",
    "",
    VLOOKUP(
        $A16,
        _xlfn._xlws.FILTER(
            INDIRECT("'"&amp;H$1&amp;"'!A2:G1000"), (INDIRECT("'"&amp;H$1&amp;"'!B2:B1000")=$B16) * (INDIRECT("'"&amp;H$1&amp;"'!C2:C1000")=$C16)
        ),7,
        FALSE
    )
)</f>
        <v>Sim</v>
      </c>
      <c r="I16" s="90" t="str">
        <f t="array" aca="1" ref="I16" ca="1">IF(
    VLOOKUP(
        $A16,
        _xlfn._xlws.FILTER(
            INDIRECT("'"&amp;I$1&amp;"'!A2:G1000"), (INDIRECT("'"&amp;I$1&amp;"'!B2:B1000")=$B16) * (INDIRECT("'"&amp;I$1&amp;"'!C2:C1000")=$C16)
        ),
        5,
        FALSE
    )="",
    "",
    VLOOKUP(
        $A16,
        _xlfn._xlws.FILTER(
            INDIRECT("'"&amp;I$1&amp;"'!A2:G1000"), (INDIRECT("'"&amp;I$1&amp;"'!B2:B1000")=$B16) * (INDIRECT("'"&amp;I$1&amp;"'!C2:C1000")=$C16)
        ),7,
        FALSE
    )
)</f>
        <v>Sim</v>
      </c>
      <c r="J16" s="90" t="str">
        <f t="array" aca="1" ref="J16" ca="1">IF(
    VLOOKUP(
        $A16,
        _xlfn._xlws.FILTER(
            INDIRECT("'"&amp;J$1&amp;"'!A2:G1000"), (INDIRECT("'"&amp;J$1&amp;"'!B2:B1000")=$B16) * (INDIRECT("'"&amp;J$1&amp;"'!C2:C1000")=$C16)
        ),
        5,
        FALSE
    )="",
    "",
    VLOOKUP(
        $A16,
        _xlfn._xlws.FILTER(
            INDIRECT("'"&amp;J$1&amp;"'!A2:G1000"), (INDIRECT("'"&amp;J$1&amp;"'!B2:B1000")=$B16) * (INDIRECT("'"&amp;J$1&amp;"'!C2:C1000")=$C16)
        ),7,
        FALSE
    )
)</f>
        <v>Sim</v>
      </c>
      <c r="K16" s="90" t="str">
        <f t="array" aca="1" ref="K16" ca="1">IF(
    VLOOKUP(
        $A16,
        _xlfn._xlws.FILTER(
            INDIRECT("'"&amp;K$1&amp;"'!A2:G1000"), (INDIRECT("'"&amp;K$1&amp;"'!B2:B1000")=$B16) * (INDIRECT("'"&amp;K$1&amp;"'!C2:C1000")=$C16)
        ),
        5,
        FALSE
    )="",
    "",
    VLOOKUP(
        $A16,
        _xlfn._xlws.FILTER(
            INDIRECT("'"&amp;K$1&amp;"'!A2:G1000"), (INDIRECT("'"&amp;K$1&amp;"'!B2:B1000")=$B16) * (INDIRECT("'"&amp;K$1&amp;"'!C2:C1000")=$C16)
        ),7,
        FALSE
    )
)</f>
        <v>Não</v>
      </c>
      <c r="L16" s="90" t="str">
        <f t="array" aca="1" ref="L16" ca="1">IF(
    VLOOKUP(
        $A16,
        _xlfn._xlws.FILTER(
            INDIRECT("'"&amp;L$1&amp;"'!A2:G1000"), (INDIRECT("'"&amp;L$1&amp;"'!B2:B1000")=$B16) * (INDIRECT("'"&amp;L$1&amp;"'!C2:C1000")=$C16)
        ),
        5,
        FALSE
    )="",
    "",
    VLOOKUP(
        $A16,
        _xlfn._xlws.FILTER(
            INDIRECT("'"&amp;L$1&amp;"'!A2:G1000"), (INDIRECT("'"&amp;L$1&amp;"'!B2:B1000")=$B16) * (INDIRECT("'"&amp;L$1&amp;"'!C2:C1000")=$C16)
        ),7,
        FALSE
    )
)</f>
        <v>Não</v>
      </c>
      <c r="M16" s="90" t="str">
        <f t="array" aca="1" ref="M16" ca="1">IF(
    VLOOKUP(
        $A16,
        _xlfn._xlws.FILTER(
            INDIRECT("'"&amp;M$1&amp;"'!A2:G1000"), (INDIRECT("'"&amp;M$1&amp;"'!B2:B1000")=$B16) * (INDIRECT("'"&amp;M$1&amp;"'!C2:C1000")=$C16)
        ),
        5,
        FALSE
    )="",
    "",
    VLOOKUP(
        $A16,
        _xlfn._xlws.FILTER(
            INDIRECT("'"&amp;M$1&amp;"'!A2:G1000"), (INDIRECT("'"&amp;M$1&amp;"'!B2:B1000")=$B16) * (INDIRECT("'"&amp;M$1&amp;"'!C2:C1000")=$C16)
        ),7,
        FALSE
    )
)</f>
        <v>Não</v>
      </c>
      <c r="N16" s="90" t="str">
        <f t="array" aca="1" ref="N16" ca="1">IF(
    VLOOKUP(
        $A16,
        _xlfn._xlws.FILTER(
            INDIRECT("'"&amp;N$1&amp;"'!A2:G1000"), (INDIRECT("'"&amp;N$1&amp;"'!B2:B1000")=$B16) * (INDIRECT("'"&amp;N$1&amp;"'!C2:C1000")=$C16)
        ),
        5,
        FALSE
    )="",
    "",
    VLOOKUP(
        $A16,
        _xlfn._xlws.FILTER(
            INDIRECT("'"&amp;N$1&amp;"'!A2:G1000"), (INDIRECT("'"&amp;N$1&amp;"'!B2:B1000")=$B16) * (INDIRECT("'"&amp;N$1&amp;"'!C2:C1000")=$C16)
        ),7,
        FALSE
    )
)</f>
        <v>Não</v>
      </c>
      <c r="O16" s="90" t="str">
        <f t="array" aca="1" ref="O16" ca="1">IF(
    VLOOKUP(
        $A16,
        _xlfn._xlws.FILTER(
            INDIRECT("'"&amp;O$1&amp;"'!A2:G1000"), (INDIRECT("'"&amp;O$1&amp;"'!B2:B1000")=$B16) * (INDIRECT("'"&amp;O$1&amp;"'!C2:C1000")=$C16)
        ),
        5,
        FALSE
    )="",
    "",
    VLOOKUP(
        $A16,
        _xlfn._xlws.FILTER(
            INDIRECT("'"&amp;O$1&amp;"'!A2:G1000"), (INDIRECT("'"&amp;O$1&amp;"'!B2:B1000")=$B16) * (INDIRECT("'"&amp;O$1&amp;"'!C2:C1000")=$C16)
        ),7,
        FALSE
    )
)</f>
        <v/>
      </c>
    </row>
    <row r="17" spans="1:15" ht="15.75" customHeight="1">
      <c r="A17" s="89" t="s">
        <v>35</v>
      </c>
      <c r="B17" s="112" t="s">
        <v>63</v>
      </c>
      <c r="C17" s="39">
        <v>1</v>
      </c>
      <c r="D17" s="90" t="str">
        <f t="array" aca="1" ref="D17" ca="1">IF(
    VLOOKUP(
        $A17,
        _xlfn._xlws.FILTER(
            INDIRECT("'"&amp;D$1&amp;"'!A2:G1000"), (INDIRECT("'"&amp;D$1&amp;"'!B2:B1000")=$B17) * (INDIRECT("'"&amp;D$1&amp;"'!C2:C1000")=$C17)
        ),
        5,
        FALSE
    )="",
    "",
    VLOOKUP(
        $A17,
        _xlfn._xlws.FILTER(
            INDIRECT("'"&amp;D$1&amp;"'!A2:G1000"), (INDIRECT("'"&amp;D$1&amp;"'!B2:B1000")=$B17) * (INDIRECT("'"&amp;D$1&amp;"'!C2:C1000")=$C17)
        ),7,
        FALSE
    )
)</f>
        <v>Sim</v>
      </c>
      <c r="E17" s="90" t="str">
        <f t="array" aca="1" ref="E17" ca="1">IF(
    VLOOKUP(
        $A17,
        _xlfn._xlws.FILTER(
            INDIRECT("'"&amp;E$1&amp;"'!A2:G1000"), (INDIRECT("'"&amp;E$1&amp;"'!B2:B1000")=$B17) * (INDIRECT("'"&amp;E$1&amp;"'!C2:C1000")=$C17)
        ),
        5,
        FALSE
    )="",
    "",
    VLOOKUP(
        $A17,
        _xlfn._xlws.FILTER(
            INDIRECT("'"&amp;E$1&amp;"'!A2:G1000"), (INDIRECT("'"&amp;E$1&amp;"'!B2:B1000")=$B17) * (INDIRECT("'"&amp;E$1&amp;"'!C2:C1000")=$C17)
        ),7,
        FALSE
    )
)</f>
        <v>Sim</v>
      </c>
      <c r="F17" s="90" t="str">
        <f t="array" aca="1" ref="F17" ca="1">IF(
    VLOOKUP(
        $A17,
        _xlfn._xlws.FILTER(
            INDIRECT("'"&amp;F$1&amp;"'!A2:G1000"), (INDIRECT("'"&amp;F$1&amp;"'!B2:B1000")=$B17) * (INDIRECT("'"&amp;F$1&amp;"'!C2:C1000")=$C17)
        ),
        5,
        FALSE
    )="",
    "",
    VLOOKUP(
        $A17,
        _xlfn._xlws.FILTER(
            INDIRECT("'"&amp;F$1&amp;"'!A2:G1000"), (INDIRECT("'"&amp;F$1&amp;"'!B2:B1000")=$B17) * (INDIRECT("'"&amp;F$1&amp;"'!C2:C1000")=$C17)
        ),7,
        FALSE
    )
)</f>
        <v>Sim</v>
      </c>
      <c r="G17" s="90" t="str">
        <f t="array" aca="1" ref="G17" ca="1">IF(
    VLOOKUP(
        $A17,
        _xlfn._xlws.FILTER(
            INDIRECT("'"&amp;G$1&amp;"'!A2:G1000"), (INDIRECT("'"&amp;G$1&amp;"'!B2:B1000")=$B17) * (INDIRECT("'"&amp;G$1&amp;"'!C2:C1000")=$C17)
        ),
        5,
        FALSE
    )="",
    "",
    VLOOKUP(
        $A17,
        _xlfn._xlws.FILTER(
            INDIRECT("'"&amp;G$1&amp;"'!A2:G1000"), (INDIRECT("'"&amp;G$1&amp;"'!B2:B1000")=$B17) * (INDIRECT("'"&amp;G$1&amp;"'!C2:C1000")=$C17)
        ),7,
        FALSE
    )
)</f>
        <v>Sim</v>
      </c>
      <c r="H17" s="90" t="str">
        <f t="array" aca="1" ref="H17" ca="1">IF(
    VLOOKUP(
        $A17,
        _xlfn._xlws.FILTER(
            INDIRECT("'"&amp;H$1&amp;"'!A2:G1000"), (INDIRECT("'"&amp;H$1&amp;"'!B2:B1000")=$B17) * (INDIRECT("'"&amp;H$1&amp;"'!C2:C1000")=$C17)
        ),
        5,
        FALSE
    )="",
    "",
    VLOOKUP(
        $A17,
        _xlfn._xlws.FILTER(
            INDIRECT("'"&amp;H$1&amp;"'!A2:G1000"), (INDIRECT("'"&amp;H$1&amp;"'!B2:B1000")=$B17) * (INDIRECT("'"&amp;H$1&amp;"'!C2:C1000")=$C17)
        ),7,
        FALSE
    )
)</f>
        <v>Sim</v>
      </c>
      <c r="I17" s="90" t="str">
        <f t="array" aca="1" ref="I17" ca="1">IF(
    VLOOKUP(
        $A17,
        _xlfn._xlws.FILTER(
            INDIRECT("'"&amp;I$1&amp;"'!A2:G1000"), (INDIRECT("'"&amp;I$1&amp;"'!B2:B1000")=$B17) * (INDIRECT("'"&amp;I$1&amp;"'!C2:C1000")=$C17)
        ),
        5,
        FALSE
    )="",
    "",
    VLOOKUP(
        $A17,
        _xlfn._xlws.FILTER(
            INDIRECT("'"&amp;I$1&amp;"'!A2:G1000"), (INDIRECT("'"&amp;I$1&amp;"'!B2:B1000")=$B17) * (INDIRECT("'"&amp;I$1&amp;"'!C2:C1000")=$C17)
        ),7,
        FALSE
    )
)</f>
        <v>Sim</v>
      </c>
      <c r="J17" s="90" t="str">
        <f t="array" aca="1" ref="J17" ca="1">IF(
    VLOOKUP(
        $A17,
        _xlfn._xlws.FILTER(
            INDIRECT("'"&amp;J$1&amp;"'!A2:G1000"), (INDIRECT("'"&amp;J$1&amp;"'!B2:B1000")=$B17) * (INDIRECT("'"&amp;J$1&amp;"'!C2:C1000")=$C17)
        ),
        5,
        FALSE
    )="",
    "",
    VLOOKUP(
        $A17,
        _xlfn._xlws.FILTER(
            INDIRECT("'"&amp;J$1&amp;"'!A2:G1000"), (INDIRECT("'"&amp;J$1&amp;"'!B2:B1000")=$B17) * (INDIRECT("'"&amp;J$1&amp;"'!C2:C1000")=$C17)
        ),7,
        FALSE
    )
)</f>
        <v>Sim</v>
      </c>
      <c r="K17" s="90" t="str">
        <f t="array" aca="1" ref="K17" ca="1">IF(
    VLOOKUP(
        $A17,
        _xlfn._xlws.FILTER(
            INDIRECT("'"&amp;K$1&amp;"'!A2:G1000"), (INDIRECT("'"&amp;K$1&amp;"'!B2:B1000")=$B17) * (INDIRECT("'"&amp;K$1&amp;"'!C2:C1000")=$C17)
        ),
        5,
        FALSE
    )="",
    "",
    VLOOKUP(
        $A17,
        _xlfn._xlws.FILTER(
            INDIRECT("'"&amp;K$1&amp;"'!A2:G1000"), (INDIRECT("'"&amp;K$1&amp;"'!B2:B1000")=$B17) * (INDIRECT("'"&amp;K$1&amp;"'!C2:C1000")=$C17)
        ),7,
        FALSE
    )
)</f>
        <v>Não</v>
      </c>
      <c r="L17" s="90" t="str">
        <f t="array" aca="1" ref="L17" ca="1">IF(
    VLOOKUP(
        $A17,
        _xlfn._xlws.FILTER(
            INDIRECT("'"&amp;L$1&amp;"'!A2:G1000"), (INDIRECT("'"&amp;L$1&amp;"'!B2:B1000")=$B17) * (INDIRECT("'"&amp;L$1&amp;"'!C2:C1000")=$C17)
        ),
        5,
        FALSE
    )="",
    "",
    VLOOKUP(
        $A17,
        _xlfn._xlws.FILTER(
            INDIRECT("'"&amp;L$1&amp;"'!A2:G1000"), (INDIRECT("'"&amp;L$1&amp;"'!B2:B1000")=$B17) * (INDIRECT("'"&amp;L$1&amp;"'!C2:C1000")=$C17)
        ),7,
        FALSE
    )
)</f>
        <v>Não</v>
      </c>
      <c r="M17" s="90" t="str">
        <f t="array" aca="1" ref="M17" ca="1">IF(
    VLOOKUP(
        $A17,
        _xlfn._xlws.FILTER(
            INDIRECT("'"&amp;M$1&amp;"'!A2:G1000"), (INDIRECT("'"&amp;M$1&amp;"'!B2:B1000")=$B17) * (INDIRECT("'"&amp;M$1&amp;"'!C2:C1000")=$C17)
        ),
        5,
        FALSE
    )="",
    "",
    VLOOKUP(
        $A17,
        _xlfn._xlws.FILTER(
            INDIRECT("'"&amp;M$1&amp;"'!A2:G1000"), (INDIRECT("'"&amp;M$1&amp;"'!B2:B1000")=$B17) * (INDIRECT("'"&amp;M$1&amp;"'!C2:C1000")=$C17)
        ),7,
        FALSE
    )
)</f>
        <v>Não</v>
      </c>
      <c r="N17" s="90" t="str">
        <f t="array" aca="1" ref="N17" ca="1">IF(
    VLOOKUP(
        $A17,
        _xlfn._xlws.FILTER(
            INDIRECT("'"&amp;N$1&amp;"'!A2:G1000"), (INDIRECT("'"&amp;N$1&amp;"'!B2:B1000")=$B17) * (INDIRECT("'"&amp;N$1&amp;"'!C2:C1000")=$C17)
        ),
        5,
        FALSE
    )="",
    "",
    VLOOKUP(
        $A17,
        _xlfn._xlws.FILTER(
            INDIRECT("'"&amp;N$1&amp;"'!A2:G1000"), (INDIRECT("'"&amp;N$1&amp;"'!B2:B1000")=$B17) * (INDIRECT("'"&amp;N$1&amp;"'!C2:C1000")=$C17)
        ),7,
        FALSE
    )
)</f>
        <v>Não</v>
      </c>
      <c r="O17" s="90" t="str">
        <f t="array" aca="1" ref="O17" ca="1">IF(
    VLOOKUP(
        $A17,
        _xlfn._xlws.FILTER(
            INDIRECT("'"&amp;O$1&amp;"'!A2:G1000"), (INDIRECT("'"&amp;O$1&amp;"'!B2:B1000")=$B17) * (INDIRECT("'"&amp;O$1&amp;"'!C2:C1000")=$C17)
        ),
        5,
        FALSE
    )="",
    "",
    VLOOKUP(
        $A17,
        _xlfn._xlws.FILTER(
            INDIRECT("'"&amp;O$1&amp;"'!A2:G1000"), (INDIRECT("'"&amp;O$1&amp;"'!B2:B1000")=$B17) * (INDIRECT("'"&amp;O$1&amp;"'!C2:C1000")=$C17)
        ),7,
        FALSE
    )
)</f>
        <v/>
      </c>
    </row>
    <row r="18" spans="1:15">
      <c r="A18" s="89" t="s">
        <v>35</v>
      </c>
      <c r="B18" s="112" t="s">
        <v>64</v>
      </c>
      <c r="C18" s="39">
        <v>1</v>
      </c>
      <c r="D18" s="90" t="str">
        <f t="array" aca="1" ref="D18" ca="1">IF(
    VLOOKUP(
        $A18,
        _xlfn._xlws.FILTER(
            INDIRECT("'"&amp;D$1&amp;"'!A2:G1000"), (INDIRECT("'"&amp;D$1&amp;"'!B2:B1000")=$B18) * (INDIRECT("'"&amp;D$1&amp;"'!C2:C1000")=$C18)
        ),
        5,
        FALSE
    )="",
    "",
    VLOOKUP(
        $A18,
        _xlfn._xlws.FILTER(
            INDIRECT("'"&amp;D$1&amp;"'!A2:G1000"), (INDIRECT("'"&amp;D$1&amp;"'!B2:B1000")=$B18) * (INDIRECT("'"&amp;D$1&amp;"'!C2:C1000")=$C18)
        ),7,
        FALSE
    )
)</f>
        <v>Sim</v>
      </c>
      <c r="E18" s="90" t="str">
        <f t="array" aca="1" ref="E18" ca="1">IF(
    VLOOKUP(
        $A18,
        _xlfn._xlws.FILTER(
            INDIRECT("'"&amp;E$1&amp;"'!A2:G1000"), (INDIRECT("'"&amp;E$1&amp;"'!B2:B1000")=$B18) * (INDIRECT("'"&amp;E$1&amp;"'!C2:C1000")=$C18)
        ),
        5,
        FALSE
    )="",
    "",
    VLOOKUP(
        $A18,
        _xlfn._xlws.FILTER(
            INDIRECT("'"&amp;E$1&amp;"'!A2:G1000"), (INDIRECT("'"&amp;E$1&amp;"'!B2:B1000")=$B18) * (INDIRECT("'"&amp;E$1&amp;"'!C2:C1000")=$C18)
        ),7,
        FALSE
    )
)</f>
        <v>Sim</v>
      </c>
      <c r="F18" s="90" t="str">
        <f t="array" aca="1" ref="F18" ca="1">IF(
    VLOOKUP(
        $A18,
        _xlfn._xlws.FILTER(
            INDIRECT("'"&amp;F$1&amp;"'!A2:G1000"), (INDIRECT("'"&amp;F$1&amp;"'!B2:B1000")=$B18) * (INDIRECT("'"&amp;F$1&amp;"'!C2:C1000")=$C18)
        ),
        5,
        FALSE
    )="",
    "",
    VLOOKUP(
        $A18,
        _xlfn._xlws.FILTER(
            INDIRECT("'"&amp;F$1&amp;"'!A2:G1000"), (INDIRECT("'"&amp;F$1&amp;"'!B2:B1000")=$B18) * (INDIRECT("'"&amp;F$1&amp;"'!C2:C1000")=$C18)
        ),7,
        FALSE
    )
)</f>
        <v>Sim</v>
      </c>
      <c r="G18" s="90" t="str">
        <f t="array" aca="1" ref="G18" ca="1">IF(
    VLOOKUP(
        $A18,
        _xlfn._xlws.FILTER(
            INDIRECT("'"&amp;G$1&amp;"'!A2:G1000"), (INDIRECT("'"&amp;G$1&amp;"'!B2:B1000")=$B18) * (INDIRECT("'"&amp;G$1&amp;"'!C2:C1000")=$C18)
        ),
        5,
        FALSE
    )="",
    "",
    VLOOKUP(
        $A18,
        _xlfn._xlws.FILTER(
            INDIRECT("'"&amp;G$1&amp;"'!A2:G1000"), (INDIRECT("'"&amp;G$1&amp;"'!B2:B1000")=$B18) * (INDIRECT("'"&amp;G$1&amp;"'!C2:C1000")=$C18)
        ),7,
        FALSE
    )
)</f>
        <v>Sim</v>
      </c>
      <c r="H18" s="90" t="str">
        <f t="array" aca="1" ref="H18" ca="1">IF(
    VLOOKUP(
        $A18,
        _xlfn._xlws.FILTER(
            INDIRECT("'"&amp;H$1&amp;"'!A2:G1000"), (INDIRECT("'"&amp;H$1&amp;"'!B2:B1000")=$B18) * (INDIRECT("'"&amp;H$1&amp;"'!C2:C1000")=$C18)
        ),
        5,
        FALSE
    )="",
    "",
    VLOOKUP(
        $A18,
        _xlfn._xlws.FILTER(
            INDIRECT("'"&amp;H$1&amp;"'!A2:G1000"), (INDIRECT("'"&amp;H$1&amp;"'!B2:B1000")=$B18) * (INDIRECT("'"&amp;H$1&amp;"'!C2:C1000")=$C18)
        ),7,
        FALSE
    )
)</f>
        <v>Sim</v>
      </c>
      <c r="I18" s="90" t="str">
        <f t="array" aca="1" ref="I18" ca="1">IF(
    VLOOKUP(
        $A18,
        _xlfn._xlws.FILTER(
            INDIRECT("'"&amp;I$1&amp;"'!A2:G1000"), (INDIRECT("'"&amp;I$1&amp;"'!B2:B1000")=$B18) * (INDIRECT("'"&amp;I$1&amp;"'!C2:C1000")=$C18)
        ),
        5,
        FALSE
    )="",
    "",
    VLOOKUP(
        $A18,
        _xlfn._xlws.FILTER(
            INDIRECT("'"&amp;I$1&amp;"'!A2:G1000"), (INDIRECT("'"&amp;I$1&amp;"'!B2:B1000")=$B18) * (INDIRECT("'"&amp;I$1&amp;"'!C2:C1000")=$C18)
        ),7,
        FALSE
    )
)</f>
        <v>Sim</v>
      </c>
      <c r="J18" s="90" t="str">
        <f t="array" aca="1" ref="J18" ca="1">IF(
    VLOOKUP(
        $A18,
        _xlfn._xlws.FILTER(
            INDIRECT("'"&amp;J$1&amp;"'!A2:G1000"), (INDIRECT("'"&amp;J$1&amp;"'!B2:B1000")=$B18) * (INDIRECT("'"&amp;J$1&amp;"'!C2:C1000")=$C18)
        ),
        5,
        FALSE
    )="",
    "",
    VLOOKUP(
        $A18,
        _xlfn._xlws.FILTER(
            INDIRECT("'"&amp;J$1&amp;"'!A2:G1000"), (INDIRECT("'"&amp;J$1&amp;"'!B2:B1000")=$B18) * (INDIRECT("'"&amp;J$1&amp;"'!C2:C1000")=$C18)
        ),7,
        FALSE
    )
)</f>
        <v>Sim</v>
      </c>
      <c r="K18" s="90" t="str">
        <f t="array" aca="1" ref="K18" ca="1">IF(
    VLOOKUP(
        $A18,
        _xlfn._xlws.FILTER(
            INDIRECT("'"&amp;K$1&amp;"'!A2:G1000"), (INDIRECT("'"&amp;K$1&amp;"'!B2:B1000")=$B18) * (INDIRECT("'"&amp;K$1&amp;"'!C2:C1000")=$C18)
        ),
        5,
        FALSE
    )="",
    "",
    VLOOKUP(
        $A18,
        _xlfn._xlws.FILTER(
            INDIRECT("'"&amp;K$1&amp;"'!A2:G1000"), (INDIRECT("'"&amp;K$1&amp;"'!B2:B1000")=$B18) * (INDIRECT("'"&amp;K$1&amp;"'!C2:C1000")=$C18)
        ),7,
        FALSE
    )
)</f>
        <v>Não</v>
      </c>
      <c r="L18" s="90" t="str">
        <f t="array" aca="1" ref="L18" ca="1">IF(
    VLOOKUP(
        $A18,
        _xlfn._xlws.FILTER(
            INDIRECT("'"&amp;L$1&amp;"'!A2:G1000"), (INDIRECT("'"&amp;L$1&amp;"'!B2:B1000")=$B18) * (INDIRECT("'"&amp;L$1&amp;"'!C2:C1000")=$C18)
        ),
        5,
        FALSE
    )="",
    "",
    VLOOKUP(
        $A18,
        _xlfn._xlws.FILTER(
            INDIRECT("'"&amp;L$1&amp;"'!A2:G1000"), (INDIRECT("'"&amp;L$1&amp;"'!B2:B1000")=$B18) * (INDIRECT("'"&amp;L$1&amp;"'!C2:C1000")=$C18)
        ),7,
        FALSE
    )
)</f>
        <v>Não</v>
      </c>
      <c r="M18" s="90" t="str">
        <f t="array" aca="1" ref="M18" ca="1">IF(
    VLOOKUP(
        $A18,
        _xlfn._xlws.FILTER(
            INDIRECT("'"&amp;M$1&amp;"'!A2:G1000"), (INDIRECT("'"&amp;M$1&amp;"'!B2:B1000")=$B18) * (INDIRECT("'"&amp;M$1&amp;"'!C2:C1000")=$C18)
        ),
        5,
        FALSE
    )="",
    "",
    VLOOKUP(
        $A18,
        _xlfn._xlws.FILTER(
            INDIRECT("'"&amp;M$1&amp;"'!A2:G1000"), (INDIRECT("'"&amp;M$1&amp;"'!B2:B1000")=$B18) * (INDIRECT("'"&amp;M$1&amp;"'!C2:C1000")=$C18)
        ),7,
        FALSE
    )
)</f>
        <v>Não</v>
      </c>
      <c r="N18" s="90" t="str">
        <f t="array" aca="1" ref="N18" ca="1">IF(
    VLOOKUP(
        $A18,
        _xlfn._xlws.FILTER(
            INDIRECT("'"&amp;N$1&amp;"'!A2:G1000"), (INDIRECT("'"&amp;N$1&amp;"'!B2:B1000")=$B18) * (INDIRECT("'"&amp;N$1&amp;"'!C2:C1000")=$C18)
        ),
        5,
        FALSE
    )="",
    "",
    VLOOKUP(
        $A18,
        _xlfn._xlws.FILTER(
            INDIRECT("'"&amp;N$1&amp;"'!A2:G1000"), (INDIRECT("'"&amp;N$1&amp;"'!B2:B1000")=$B18) * (INDIRECT("'"&amp;N$1&amp;"'!C2:C1000")=$C18)
        ),7,
        FALSE
    )
)</f>
        <v>Não</v>
      </c>
      <c r="O18" s="90" t="str">
        <f t="array" aca="1" ref="O18" ca="1">IF(
    VLOOKUP(
        $A18,
        _xlfn._xlws.FILTER(
            INDIRECT("'"&amp;O$1&amp;"'!A2:G1000"), (INDIRECT("'"&amp;O$1&amp;"'!B2:B1000")=$B18) * (INDIRECT("'"&amp;O$1&amp;"'!C2:C1000")=$C18)
        ),
        5,
        FALSE
    )="",
    "",
    VLOOKUP(
        $A18,
        _xlfn._xlws.FILTER(
            INDIRECT("'"&amp;O$1&amp;"'!A2:G1000"), (INDIRECT("'"&amp;O$1&amp;"'!B2:B1000")=$B18) * (INDIRECT("'"&amp;O$1&amp;"'!C2:C1000")=$C18)
        ),7,
        FALSE
    )
)</f>
        <v/>
      </c>
    </row>
    <row r="19" spans="1:15">
      <c r="A19" s="89" t="s">
        <v>35</v>
      </c>
      <c r="B19" s="112" t="s">
        <v>65</v>
      </c>
      <c r="C19" s="39">
        <v>1</v>
      </c>
      <c r="D19" s="90" t="str">
        <f t="array" aca="1" ref="D19" ca="1">IF(
    VLOOKUP(
        $A19,
        _xlfn._xlws.FILTER(
            INDIRECT("'"&amp;D$1&amp;"'!A2:G1000"), (INDIRECT("'"&amp;D$1&amp;"'!B2:B1000")=$B19) * (INDIRECT("'"&amp;D$1&amp;"'!C2:C1000")=$C19)
        ),
        5,
        FALSE
    )="",
    "",
    VLOOKUP(
        $A19,
        _xlfn._xlws.FILTER(
            INDIRECT("'"&amp;D$1&amp;"'!A2:G1000"), (INDIRECT("'"&amp;D$1&amp;"'!B2:B1000")=$B19) * (INDIRECT("'"&amp;D$1&amp;"'!C2:C1000")=$C19)
        ),7,
        FALSE
    )
)</f>
        <v>Sim</v>
      </c>
      <c r="E19" s="90" t="str">
        <f t="array" aca="1" ref="E19" ca="1">IF(
    VLOOKUP(
        $A19,
        _xlfn._xlws.FILTER(
            INDIRECT("'"&amp;E$1&amp;"'!A2:G1000"), (INDIRECT("'"&amp;E$1&amp;"'!B2:B1000")=$B19) * (INDIRECT("'"&amp;E$1&amp;"'!C2:C1000")=$C19)
        ),
        5,
        FALSE
    )="",
    "",
    VLOOKUP(
        $A19,
        _xlfn._xlws.FILTER(
            INDIRECT("'"&amp;E$1&amp;"'!A2:G1000"), (INDIRECT("'"&amp;E$1&amp;"'!B2:B1000")=$B19) * (INDIRECT("'"&amp;E$1&amp;"'!C2:C1000")=$C19)
        ),7,
        FALSE
    )
)</f>
        <v>Sim</v>
      </c>
      <c r="F19" s="90" t="str">
        <f t="array" aca="1" ref="F19" ca="1">IF(
    VLOOKUP(
        $A19,
        _xlfn._xlws.FILTER(
            INDIRECT("'"&amp;F$1&amp;"'!A2:G1000"), (INDIRECT("'"&amp;F$1&amp;"'!B2:B1000")=$B19) * (INDIRECT("'"&amp;F$1&amp;"'!C2:C1000")=$C19)
        ),
        5,
        FALSE
    )="",
    "",
    VLOOKUP(
        $A19,
        _xlfn._xlws.FILTER(
            INDIRECT("'"&amp;F$1&amp;"'!A2:G1000"), (INDIRECT("'"&amp;F$1&amp;"'!B2:B1000")=$B19) * (INDIRECT("'"&amp;F$1&amp;"'!C2:C1000")=$C19)
        ),7,
        FALSE
    )
)</f>
        <v>Sim</v>
      </c>
      <c r="G19" s="90" t="str">
        <f t="array" aca="1" ref="G19" ca="1">IF(
    VLOOKUP(
        $A19,
        _xlfn._xlws.FILTER(
            INDIRECT("'"&amp;G$1&amp;"'!A2:G1000"), (INDIRECT("'"&amp;G$1&amp;"'!B2:B1000")=$B19) * (INDIRECT("'"&amp;G$1&amp;"'!C2:C1000")=$C19)
        ),
        5,
        FALSE
    )="",
    "",
    VLOOKUP(
        $A19,
        _xlfn._xlws.FILTER(
            INDIRECT("'"&amp;G$1&amp;"'!A2:G1000"), (INDIRECT("'"&amp;G$1&amp;"'!B2:B1000")=$B19) * (INDIRECT("'"&amp;G$1&amp;"'!C2:C1000")=$C19)
        ),7,
        FALSE
    )
)</f>
        <v>Sim</v>
      </c>
      <c r="H19" s="90" t="str">
        <f t="array" aca="1" ref="H19" ca="1">IF(
    VLOOKUP(
        $A19,
        _xlfn._xlws.FILTER(
            INDIRECT("'"&amp;H$1&amp;"'!A2:G1000"), (INDIRECT("'"&amp;H$1&amp;"'!B2:B1000")=$B19) * (INDIRECT("'"&amp;H$1&amp;"'!C2:C1000")=$C19)
        ),
        5,
        FALSE
    )="",
    "",
    VLOOKUP(
        $A19,
        _xlfn._xlws.FILTER(
            INDIRECT("'"&amp;H$1&amp;"'!A2:G1000"), (INDIRECT("'"&amp;H$1&amp;"'!B2:B1000")=$B19) * (INDIRECT("'"&amp;H$1&amp;"'!C2:C1000")=$C19)
        ),7,
        FALSE
    )
)</f>
        <v>Sim</v>
      </c>
      <c r="I19" s="90" t="str">
        <f t="array" aca="1" ref="I19" ca="1">IF(
    VLOOKUP(
        $A19,
        _xlfn._xlws.FILTER(
            INDIRECT("'"&amp;I$1&amp;"'!A2:G1000"), (INDIRECT("'"&amp;I$1&amp;"'!B2:B1000")=$B19) * (INDIRECT("'"&amp;I$1&amp;"'!C2:C1000")=$C19)
        ),
        5,
        FALSE
    )="",
    "",
    VLOOKUP(
        $A19,
        _xlfn._xlws.FILTER(
            INDIRECT("'"&amp;I$1&amp;"'!A2:G1000"), (INDIRECT("'"&amp;I$1&amp;"'!B2:B1000")=$B19) * (INDIRECT("'"&amp;I$1&amp;"'!C2:C1000")=$C19)
        ),7,
        FALSE
    )
)</f>
        <v>Sim</v>
      </c>
      <c r="J19" s="90" t="str">
        <f t="array" aca="1" ref="J19" ca="1">IF(
    VLOOKUP(
        $A19,
        _xlfn._xlws.FILTER(
            INDIRECT("'"&amp;J$1&amp;"'!A2:G1000"), (INDIRECT("'"&amp;J$1&amp;"'!B2:B1000")=$B19) * (INDIRECT("'"&amp;J$1&amp;"'!C2:C1000")=$C19)
        ),
        5,
        FALSE
    )="",
    "",
    VLOOKUP(
        $A19,
        _xlfn._xlws.FILTER(
            INDIRECT("'"&amp;J$1&amp;"'!A2:G1000"), (INDIRECT("'"&amp;J$1&amp;"'!B2:B1000")=$B19) * (INDIRECT("'"&amp;J$1&amp;"'!C2:C1000")=$C19)
        ),7,
        FALSE
    )
)</f>
        <v>Sim</v>
      </c>
      <c r="K19" s="90" t="str">
        <f t="array" aca="1" ref="K19" ca="1">IF(
    VLOOKUP(
        $A19,
        _xlfn._xlws.FILTER(
            INDIRECT("'"&amp;K$1&amp;"'!A2:G1000"), (INDIRECT("'"&amp;K$1&amp;"'!B2:B1000")=$B19) * (INDIRECT("'"&amp;K$1&amp;"'!C2:C1000")=$C19)
        ),
        5,
        FALSE
    )="",
    "",
    VLOOKUP(
        $A19,
        _xlfn._xlws.FILTER(
            INDIRECT("'"&amp;K$1&amp;"'!A2:G1000"), (INDIRECT("'"&amp;K$1&amp;"'!B2:B1000")=$B19) * (INDIRECT("'"&amp;K$1&amp;"'!C2:C1000")=$C19)
        ),7,
        FALSE
    )
)</f>
        <v>Não</v>
      </c>
      <c r="L19" s="90" t="str">
        <f t="array" aca="1" ref="L19" ca="1">IF(
    VLOOKUP(
        $A19,
        _xlfn._xlws.FILTER(
            INDIRECT("'"&amp;L$1&amp;"'!A2:G1000"), (INDIRECT("'"&amp;L$1&amp;"'!B2:B1000")=$B19) * (INDIRECT("'"&amp;L$1&amp;"'!C2:C1000")=$C19)
        ),
        5,
        FALSE
    )="",
    "",
    VLOOKUP(
        $A19,
        _xlfn._xlws.FILTER(
            INDIRECT("'"&amp;L$1&amp;"'!A2:G1000"), (INDIRECT("'"&amp;L$1&amp;"'!B2:B1000")=$B19) * (INDIRECT("'"&amp;L$1&amp;"'!C2:C1000")=$C19)
        ),7,
        FALSE
    )
)</f>
        <v>Não</v>
      </c>
      <c r="M19" s="90" t="str">
        <f t="array" aca="1" ref="M19" ca="1">IF(
    VLOOKUP(
        $A19,
        _xlfn._xlws.FILTER(
            INDIRECT("'"&amp;M$1&amp;"'!A2:G1000"), (INDIRECT("'"&amp;M$1&amp;"'!B2:B1000")=$B19) * (INDIRECT("'"&amp;M$1&amp;"'!C2:C1000")=$C19)
        ),
        5,
        FALSE
    )="",
    "",
    VLOOKUP(
        $A19,
        _xlfn._xlws.FILTER(
            INDIRECT("'"&amp;M$1&amp;"'!A2:G1000"), (INDIRECT("'"&amp;M$1&amp;"'!B2:B1000")=$B19) * (INDIRECT("'"&amp;M$1&amp;"'!C2:C1000")=$C19)
        ),7,
        FALSE
    )
)</f>
        <v>Não</v>
      </c>
      <c r="N19" s="90" t="str">
        <f t="array" aca="1" ref="N19" ca="1">IF(
    VLOOKUP(
        $A19,
        _xlfn._xlws.FILTER(
            INDIRECT("'"&amp;N$1&amp;"'!A2:G1000"), (INDIRECT("'"&amp;N$1&amp;"'!B2:B1000")=$B19) * (INDIRECT("'"&amp;N$1&amp;"'!C2:C1000")=$C19)
        ),
        5,
        FALSE
    )="",
    "",
    VLOOKUP(
        $A19,
        _xlfn._xlws.FILTER(
            INDIRECT("'"&amp;N$1&amp;"'!A2:G1000"), (INDIRECT("'"&amp;N$1&amp;"'!B2:B1000")=$B19) * (INDIRECT("'"&amp;N$1&amp;"'!C2:C1000")=$C19)
        ),7,
        FALSE
    )
)</f>
        <v>Não</v>
      </c>
      <c r="O19" s="90" t="str">
        <f t="array" aca="1" ref="O19" ca="1">IF(
    VLOOKUP(
        $A19,
        _xlfn._xlws.FILTER(
            INDIRECT("'"&amp;O$1&amp;"'!A2:G1000"), (INDIRECT("'"&amp;O$1&amp;"'!B2:B1000")=$B19) * (INDIRECT("'"&amp;O$1&amp;"'!C2:C1000")=$C19)
        ),
        5,
        FALSE
    )="",
    "",
    VLOOKUP(
        $A19,
        _xlfn._xlws.FILTER(
            INDIRECT("'"&amp;O$1&amp;"'!A2:G1000"), (INDIRECT("'"&amp;O$1&amp;"'!B2:B1000")=$B19) * (INDIRECT("'"&amp;O$1&amp;"'!C2:C1000")=$C19)
        ),7,
        FALSE
    )
)</f>
        <v/>
      </c>
    </row>
    <row r="20" spans="1:15">
      <c r="A20" s="89" t="s">
        <v>35</v>
      </c>
      <c r="B20" s="112" t="s">
        <v>66</v>
      </c>
      <c r="C20" s="39">
        <v>1</v>
      </c>
      <c r="D20" s="90" t="str">
        <f t="array" aca="1" ref="D20" ca="1">IF(
    VLOOKUP(
        $A20,
        _xlfn._xlws.FILTER(
            INDIRECT("'"&amp;D$1&amp;"'!A2:G1000"), (INDIRECT("'"&amp;D$1&amp;"'!B2:B1000")=$B20) * (INDIRECT("'"&amp;D$1&amp;"'!C2:C1000")=$C20)
        ),
        5,
        FALSE
    )="",
    "",
    VLOOKUP(
        $A20,
        _xlfn._xlws.FILTER(
            INDIRECT("'"&amp;D$1&amp;"'!A2:G1000"), (INDIRECT("'"&amp;D$1&amp;"'!B2:B1000")=$B20) * (INDIRECT("'"&amp;D$1&amp;"'!C2:C1000")=$C20)
        ),7,
        FALSE
    )
)</f>
        <v>Sim</v>
      </c>
      <c r="E20" s="90" t="str">
        <f t="array" aca="1" ref="E20" ca="1">IF(
    VLOOKUP(
        $A20,
        _xlfn._xlws.FILTER(
            INDIRECT("'"&amp;E$1&amp;"'!A2:G1000"), (INDIRECT("'"&amp;E$1&amp;"'!B2:B1000")=$B20) * (INDIRECT("'"&amp;E$1&amp;"'!C2:C1000")=$C20)
        ),
        5,
        FALSE
    )="",
    "",
    VLOOKUP(
        $A20,
        _xlfn._xlws.FILTER(
            INDIRECT("'"&amp;E$1&amp;"'!A2:G1000"), (INDIRECT("'"&amp;E$1&amp;"'!B2:B1000")=$B20) * (INDIRECT("'"&amp;E$1&amp;"'!C2:C1000")=$C20)
        ),7,
        FALSE
    )
)</f>
        <v>Sim</v>
      </c>
      <c r="F20" s="90" t="str">
        <f t="array" aca="1" ref="F20" ca="1">IF(
    VLOOKUP(
        $A20,
        _xlfn._xlws.FILTER(
            INDIRECT("'"&amp;F$1&amp;"'!A2:G1000"), (INDIRECT("'"&amp;F$1&amp;"'!B2:B1000")=$B20) * (INDIRECT("'"&amp;F$1&amp;"'!C2:C1000")=$C20)
        ),
        5,
        FALSE
    )="",
    "",
    VLOOKUP(
        $A20,
        _xlfn._xlws.FILTER(
            INDIRECT("'"&amp;F$1&amp;"'!A2:G1000"), (INDIRECT("'"&amp;F$1&amp;"'!B2:B1000")=$B20) * (INDIRECT("'"&amp;F$1&amp;"'!C2:C1000")=$C20)
        ),7,
        FALSE
    )
)</f>
        <v>Sim</v>
      </c>
      <c r="G20" s="90" t="str">
        <f t="array" aca="1" ref="G20" ca="1">IF(
    VLOOKUP(
        $A20,
        _xlfn._xlws.FILTER(
            INDIRECT("'"&amp;G$1&amp;"'!A2:G1000"), (INDIRECT("'"&amp;G$1&amp;"'!B2:B1000")=$B20) * (INDIRECT("'"&amp;G$1&amp;"'!C2:C1000")=$C20)
        ),
        5,
        FALSE
    )="",
    "",
    VLOOKUP(
        $A20,
        _xlfn._xlws.FILTER(
            INDIRECT("'"&amp;G$1&amp;"'!A2:G1000"), (INDIRECT("'"&amp;G$1&amp;"'!B2:B1000")=$B20) * (INDIRECT("'"&amp;G$1&amp;"'!C2:C1000")=$C20)
        ),7,
        FALSE
    )
)</f>
        <v>Sim</v>
      </c>
      <c r="H20" s="90" t="str">
        <f t="array" aca="1" ref="H20" ca="1">IF(
    VLOOKUP(
        $A20,
        _xlfn._xlws.FILTER(
            INDIRECT("'"&amp;H$1&amp;"'!A2:G1000"), (INDIRECT("'"&amp;H$1&amp;"'!B2:B1000")=$B20) * (INDIRECT("'"&amp;H$1&amp;"'!C2:C1000")=$C20)
        ),
        5,
        FALSE
    )="",
    "",
    VLOOKUP(
        $A20,
        _xlfn._xlws.FILTER(
            INDIRECT("'"&amp;H$1&amp;"'!A2:G1000"), (INDIRECT("'"&amp;H$1&amp;"'!B2:B1000")=$B20) * (INDIRECT("'"&amp;H$1&amp;"'!C2:C1000")=$C20)
        ),7,
        FALSE
    )
)</f>
        <v>Sim</v>
      </c>
      <c r="I20" s="90" t="str">
        <f t="array" aca="1" ref="I20" ca="1">IF(
    VLOOKUP(
        $A20,
        _xlfn._xlws.FILTER(
            INDIRECT("'"&amp;I$1&amp;"'!A2:G1000"), (INDIRECT("'"&amp;I$1&amp;"'!B2:B1000")=$B20) * (INDIRECT("'"&amp;I$1&amp;"'!C2:C1000")=$C20)
        ),
        5,
        FALSE
    )="",
    "",
    VLOOKUP(
        $A20,
        _xlfn._xlws.FILTER(
            INDIRECT("'"&amp;I$1&amp;"'!A2:G1000"), (INDIRECT("'"&amp;I$1&amp;"'!B2:B1000")=$B20) * (INDIRECT("'"&amp;I$1&amp;"'!C2:C1000")=$C20)
        ),7,
        FALSE
    )
)</f>
        <v>Sim</v>
      </c>
      <c r="J20" s="90" t="str">
        <f t="array" aca="1" ref="J20" ca="1">IF(
    VLOOKUP(
        $A20,
        _xlfn._xlws.FILTER(
            INDIRECT("'"&amp;J$1&amp;"'!A2:G1000"), (INDIRECT("'"&amp;J$1&amp;"'!B2:B1000")=$B20) * (INDIRECT("'"&amp;J$1&amp;"'!C2:C1000")=$C20)
        ),
        5,
        FALSE
    )="",
    "",
    VLOOKUP(
        $A20,
        _xlfn._xlws.FILTER(
            INDIRECT("'"&amp;J$1&amp;"'!A2:G1000"), (INDIRECT("'"&amp;J$1&amp;"'!B2:B1000")=$B20) * (INDIRECT("'"&amp;J$1&amp;"'!C2:C1000")=$C20)
        ),7,
        FALSE
    )
)</f>
        <v>Sim</v>
      </c>
      <c r="K20" s="90" t="str">
        <f t="array" aca="1" ref="K20" ca="1">IF(
    VLOOKUP(
        $A20,
        _xlfn._xlws.FILTER(
            INDIRECT("'"&amp;K$1&amp;"'!A2:G1000"), (INDIRECT("'"&amp;K$1&amp;"'!B2:B1000")=$B20) * (INDIRECT("'"&amp;K$1&amp;"'!C2:C1000")=$C20)
        ),
        5,
        FALSE
    )="",
    "",
    VLOOKUP(
        $A20,
        _xlfn._xlws.FILTER(
            INDIRECT("'"&amp;K$1&amp;"'!A2:G1000"), (INDIRECT("'"&amp;K$1&amp;"'!B2:B1000")=$B20) * (INDIRECT("'"&amp;K$1&amp;"'!C2:C1000")=$C20)
        ),7,
        FALSE
    )
)</f>
        <v>Não</v>
      </c>
      <c r="L20" s="90" t="str">
        <f t="array" aca="1" ref="L20" ca="1">IF(
    VLOOKUP(
        $A20,
        _xlfn._xlws.FILTER(
            INDIRECT("'"&amp;L$1&amp;"'!A2:G1000"), (INDIRECT("'"&amp;L$1&amp;"'!B2:B1000")=$B20) * (INDIRECT("'"&amp;L$1&amp;"'!C2:C1000")=$C20)
        ),
        5,
        FALSE
    )="",
    "",
    VLOOKUP(
        $A20,
        _xlfn._xlws.FILTER(
            INDIRECT("'"&amp;L$1&amp;"'!A2:G1000"), (INDIRECT("'"&amp;L$1&amp;"'!B2:B1000")=$B20) * (INDIRECT("'"&amp;L$1&amp;"'!C2:C1000")=$C20)
        ),7,
        FALSE
    )
)</f>
        <v>Não</v>
      </c>
      <c r="M20" s="90" t="str">
        <f t="array" aca="1" ref="M20" ca="1">IF(
    VLOOKUP(
        $A20,
        _xlfn._xlws.FILTER(
            INDIRECT("'"&amp;M$1&amp;"'!A2:G1000"), (INDIRECT("'"&amp;M$1&amp;"'!B2:B1000")=$B20) * (INDIRECT("'"&amp;M$1&amp;"'!C2:C1000")=$C20)
        ),
        5,
        FALSE
    )="",
    "",
    VLOOKUP(
        $A20,
        _xlfn._xlws.FILTER(
            INDIRECT("'"&amp;M$1&amp;"'!A2:G1000"), (INDIRECT("'"&amp;M$1&amp;"'!B2:B1000")=$B20) * (INDIRECT("'"&amp;M$1&amp;"'!C2:C1000")=$C20)
        ),7,
        FALSE
    )
)</f>
        <v>Não</v>
      </c>
      <c r="N20" s="90" t="str">
        <f t="array" aca="1" ref="N20" ca="1">IF(
    VLOOKUP(
        $A20,
        _xlfn._xlws.FILTER(
            INDIRECT("'"&amp;N$1&amp;"'!A2:G1000"), (INDIRECT("'"&amp;N$1&amp;"'!B2:B1000")=$B20) * (INDIRECT("'"&amp;N$1&amp;"'!C2:C1000")=$C20)
        ),
        5,
        FALSE
    )="",
    "",
    VLOOKUP(
        $A20,
        _xlfn._xlws.FILTER(
            INDIRECT("'"&amp;N$1&amp;"'!A2:G1000"), (INDIRECT("'"&amp;N$1&amp;"'!B2:B1000")=$B20) * (INDIRECT("'"&amp;N$1&amp;"'!C2:C1000")=$C20)
        ),7,
        FALSE
    )
)</f>
        <v>Não</v>
      </c>
      <c r="O20" s="90" t="str">
        <f t="array" aca="1" ref="O20" ca="1">IF(
    VLOOKUP(
        $A20,
        _xlfn._xlws.FILTER(
            INDIRECT("'"&amp;O$1&amp;"'!A2:G1000"), (INDIRECT("'"&amp;O$1&amp;"'!B2:B1000")=$B20) * (INDIRECT("'"&amp;O$1&amp;"'!C2:C1000")=$C20)
        ),
        5,
        FALSE
    )="",
    "",
    VLOOKUP(
        $A20,
        _xlfn._xlws.FILTER(
            INDIRECT("'"&amp;O$1&amp;"'!A2:G1000"), (INDIRECT("'"&amp;O$1&amp;"'!B2:B1000")=$B20) * (INDIRECT("'"&amp;O$1&amp;"'!C2:C1000")=$C20)
        ),7,
        FALSE
    )
)</f>
        <v/>
      </c>
    </row>
    <row r="21" spans="1:15">
      <c r="A21" s="89" t="s">
        <v>35</v>
      </c>
      <c r="B21" s="112" t="s">
        <v>67</v>
      </c>
      <c r="C21" s="39">
        <v>1</v>
      </c>
      <c r="D21" s="90" t="str">
        <f t="array" aca="1" ref="D21" ca="1">IF(
    VLOOKUP(
        $A21,
        _xlfn._xlws.FILTER(
            INDIRECT("'"&amp;D$1&amp;"'!A2:G1000"), (INDIRECT("'"&amp;D$1&amp;"'!B2:B1000")=$B21) * (INDIRECT("'"&amp;D$1&amp;"'!C2:C1000")=$C21)
        ),
        5,
        FALSE
    )="",
    "",
    VLOOKUP(
        $A21,
        _xlfn._xlws.FILTER(
            INDIRECT("'"&amp;D$1&amp;"'!A2:G1000"), (INDIRECT("'"&amp;D$1&amp;"'!B2:B1000")=$B21) * (INDIRECT("'"&amp;D$1&amp;"'!C2:C1000")=$C21)
        ),7,
        FALSE
    )
)</f>
        <v>Sim</v>
      </c>
      <c r="E21" s="90" t="str">
        <f t="array" aca="1" ref="E21" ca="1">IF(
    VLOOKUP(
        $A21,
        _xlfn._xlws.FILTER(
            INDIRECT("'"&amp;E$1&amp;"'!A2:G1000"), (INDIRECT("'"&amp;E$1&amp;"'!B2:B1000")=$B21) * (INDIRECT("'"&amp;E$1&amp;"'!C2:C1000")=$C21)
        ),
        5,
        FALSE
    )="",
    "",
    VLOOKUP(
        $A21,
        _xlfn._xlws.FILTER(
            INDIRECT("'"&amp;E$1&amp;"'!A2:G1000"), (INDIRECT("'"&amp;E$1&amp;"'!B2:B1000")=$B21) * (INDIRECT("'"&amp;E$1&amp;"'!C2:C1000")=$C21)
        ),7,
        FALSE
    )
)</f>
        <v>Sim</v>
      </c>
      <c r="F21" s="90" t="str">
        <f t="array" aca="1" ref="F21" ca="1">IF(
    VLOOKUP(
        $A21,
        _xlfn._xlws.FILTER(
            INDIRECT("'"&amp;F$1&amp;"'!A2:G1000"), (INDIRECT("'"&amp;F$1&amp;"'!B2:B1000")=$B21) * (INDIRECT("'"&amp;F$1&amp;"'!C2:C1000")=$C21)
        ),
        5,
        FALSE
    )="",
    "",
    VLOOKUP(
        $A21,
        _xlfn._xlws.FILTER(
            INDIRECT("'"&amp;F$1&amp;"'!A2:G1000"), (INDIRECT("'"&amp;F$1&amp;"'!B2:B1000")=$B21) * (INDIRECT("'"&amp;F$1&amp;"'!C2:C1000")=$C21)
        ),7,
        FALSE
    )
)</f>
        <v>Sim</v>
      </c>
      <c r="G21" s="90" t="str">
        <f t="array" aca="1" ref="G21" ca="1">IF(
    VLOOKUP(
        $A21,
        _xlfn._xlws.FILTER(
            INDIRECT("'"&amp;G$1&amp;"'!A2:G1000"), (INDIRECT("'"&amp;G$1&amp;"'!B2:B1000")=$B21) * (INDIRECT("'"&amp;G$1&amp;"'!C2:C1000")=$C21)
        ),
        5,
        FALSE
    )="",
    "",
    VLOOKUP(
        $A21,
        _xlfn._xlws.FILTER(
            INDIRECT("'"&amp;G$1&amp;"'!A2:G1000"), (INDIRECT("'"&amp;G$1&amp;"'!B2:B1000")=$B21) * (INDIRECT("'"&amp;G$1&amp;"'!C2:C1000")=$C21)
        ),7,
        FALSE
    )
)</f>
        <v>Sim</v>
      </c>
      <c r="H21" s="90" t="str">
        <f t="array" aca="1" ref="H21" ca="1">IF(
    VLOOKUP(
        $A21,
        _xlfn._xlws.FILTER(
            INDIRECT("'"&amp;H$1&amp;"'!A2:G1000"), (INDIRECT("'"&amp;H$1&amp;"'!B2:B1000")=$B21) * (INDIRECT("'"&amp;H$1&amp;"'!C2:C1000")=$C21)
        ),
        5,
        FALSE
    )="",
    "",
    VLOOKUP(
        $A21,
        _xlfn._xlws.FILTER(
            INDIRECT("'"&amp;H$1&amp;"'!A2:G1000"), (INDIRECT("'"&amp;H$1&amp;"'!B2:B1000")=$B21) * (INDIRECT("'"&amp;H$1&amp;"'!C2:C1000")=$C21)
        ),7,
        FALSE
    )
)</f>
        <v>Sim</v>
      </c>
      <c r="I21" s="90" t="str">
        <f t="array" aca="1" ref="I21" ca="1">IF(
    VLOOKUP(
        $A21,
        _xlfn._xlws.FILTER(
            INDIRECT("'"&amp;I$1&amp;"'!A2:G1000"), (INDIRECT("'"&amp;I$1&amp;"'!B2:B1000")=$B21) * (INDIRECT("'"&amp;I$1&amp;"'!C2:C1000")=$C21)
        ),
        5,
        FALSE
    )="",
    "",
    VLOOKUP(
        $A21,
        _xlfn._xlws.FILTER(
            INDIRECT("'"&amp;I$1&amp;"'!A2:G1000"), (INDIRECT("'"&amp;I$1&amp;"'!B2:B1000")=$B21) * (INDIRECT("'"&amp;I$1&amp;"'!C2:C1000")=$C21)
        ),7,
        FALSE
    )
)</f>
        <v>Sim</v>
      </c>
      <c r="J21" s="90" t="str">
        <f t="array" aca="1" ref="J21" ca="1">IF(
    VLOOKUP(
        $A21,
        _xlfn._xlws.FILTER(
            INDIRECT("'"&amp;J$1&amp;"'!A2:G1000"), (INDIRECT("'"&amp;J$1&amp;"'!B2:B1000")=$B21) * (INDIRECT("'"&amp;J$1&amp;"'!C2:C1000")=$C21)
        ),
        5,
        FALSE
    )="",
    "",
    VLOOKUP(
        $A21,
        _xlfn._xlws.FILTER(
            INDIRECT("'"&amp;J$1&amp;"'!A2:G1000"), (INDIRECT("'"&amp;J$1&amp;"'!B2:B1000")=$B21) * (INDIRECT("'"&amp;J$1&amp;"'!C2:C1000")=$C21)
        ),7,
        FALSE
    )
)</f>
        <v>Sim</v>
      </c>
      <c r="K21" s="90" t="str">
        <f t="array" aca="1" ref="K21" ca="1">IF(
    VLOOKUP(
        $A21,
        _xlfn._xlws.FILTER(
            INDIRECT("'"&amp;K$1&amp;"'!A2:G1000"), (INDIRECT("'"&amp;K$1&amp;"'!B2:B1000")=$B21) * (INDIRECT("'"&amp;K$1&amp;"'!C2:C1000")=$C21)
        ),
        5,
        FALSE
    )="",
    "",
    VLOOKUP(
        $A21,
        _xlfn._xlws.FILTER(
            INDIRECT("'"&amp;K$1&amp;"'!A2:G1000"), (INDIRECT("'"&amp;K$1&amp;"'!B2:B1000")=$B21) * (INDIRECT("'"&amp;K$1&amp;"'!C2:C1000")=$C21)
        ),7,
        FALSE
    )
)</f>
        <v>Não</v>
      </c>
      <c r="L21" s="90" t="str">
        <f t="array" aca="1" ref="L21" ca="1">IF(
    VLOOKUP(
        $A21,
        _xlfn._xlws.FILTER(
            INDIRECT("'"&amp;L$1&amp;"'!A2:G1000"), (INDIRECT("'"&amp;L$1&amp;"'!B2:B1000")=$B21) * (INDIRECT("'"&amp;L$1&amp;"'!C2:C1000")=$C21)
        ),
        5,
        FALSE
    )="",
    "",
    VLOOKUP(
        $A21,
        _xlfn._xlws.FILTER(
            INDIRECT("'"&amp;L$1&amp;"'!A2:G1000"), (INDIRECT("'"&amp;L$1&amp;"'!B2:B1000")=$B21) * (INDIRECT("'"&amp;L$1&amp;"'!C2:C1000")=$C21)
        ),7,
        FALSE
    )
)</f>
        <v>Não</v>
      </c>
      <c r="M21" s="90" t="str">
        <f t="array" aca="1" ref="M21" ca="1">IF(
    VLOOKUP(
        $A21,
        _xlfn._xlws.FILTER(
            INDIRECT("'"&amp;M$1&amp;"'!A2:G1000"), (INDIRECT("'"&amp;M$1&amp;"'!B2:B1000")=$B21) * (INDIRECT("'"&amp;M$1&amp;"'!C2:C1000")=$C21)
        ),
        5,
        FALSE
    )="",
    "",
    VLOOKUP(
        $A21,
        _xlfn._xlws.FILTER(
            INDIRECT("'"&amp;M$1&amp;"'!A2:G1000"), (INDIRECT("'"&amp;M$1&amp;"'!B2:B1000")=$B21) * (INDIRECT("'"&amp;M$1&amp;"'!C2:C1000")=$C21)
        ),7,
        FALSE
    )
)</f>
        <v>Não</v>
      </c>
      <c r="N21" s="90" t="str">
        <f t="array" aca="1" ref="N21" ca="1">IF(
    VLOOKUP(
        $A21,
        _xlfn._xlws.FILTER(
            INDIRECT("'"&amp;N$1&amp;"'!A2:G1000"), (INDIRECT("'"&amp;N$1&amp;"'!B2:B1000")=$B21) * (INDIRECT("'"&amp;N$1&amp;"'!C2:C1000")=$C21)
        ),
        5,
        FALSE
    )="",
    "",
    VLOOKUP(
        $A21,
        _xlfn._xlws.FILTER(
            INDIRECT("'"&amp;N$1&amp;"'!A2:G1000"), (INDIRECT("'"&amp;N$1&amp;"'!B2:B1000")=$B21) * (INDIRECT("'"&amp;N$1&amp;"'!C2:C1000")=$C21)
        ),7,
        FALSE
    )
)</f>
        <v>Não</v>
      </c>
      <c r="O21" s="90" t="str">
        <f t="array" aca="1" ref="O21" ca="1">IF(
    VLOOKUP(
        $A21,
        _xlfn._xlws.FILTER(
            INDIRECT("'"&amp;O$1&amp;"'!A2:G1000"), (INDIRECT("'"&amp;O$1&amp;"'!B2:B1000")=$B21) * (INDIRECT("'"&amp;O$1&amp;"'!C2:C1000")=$C21)
        ),
        5,
        FALSE
    )="",
    "",
    VLOOKUP(
        $A21,
        _xlfn._xlws.FILTER(
            INDIRECT("'"&amp;O$1&amp;"'!A2:G1000"), (INDIRECT("'"&amp;O$1&amp;"'!B2:B1000")=$B21) * (INDIRECT("'"&amp;O$1&amp;"'!C2:C1000")=$C21)
        ),7,
        FALSE
    )
)</f>
        <v/>
      </c>
    </row>
    <row r="22" spans="1:15">
      <c r="A22" s="89" t="s">
        <v>35</v>
      </c>
      <c r="B22" s="112" t="s">
        <v>68</v>
      </c>
      <c r="C22" s="39">
        <v>1</v>
      </c>
      <c r="D22" s="90" t="str">
        <f t="array" aca="1" ref="D22" ca="1">IF(
    VLOOKUP(
        $A22,
        _xlfn._xlws.FILTER(
            INDIRECT("'"&amp;D$1&amp;"'!A2:G1000"), (INDIRECT("'"&amp;D$1&amp;"'!B2:B1000")=$B22) * (INDIRECT("'"&amp;D$1&amp;"'!C2:C1000")=$C22)
        ),
        5,
        FALSE
    )="",
    "",
    VLOOKUP(
        $A22,
        _xlfn._xlws.FILTER(
            INDIRECT("'"&amp;D$1&amp;"'!A2:G1000"), (INDIRECT("'"&amp;D$1&amp;"'!B2:B1000")=$B22) * (INDIRECT("'"&amp;D$1&amp;"'!C2:C1000")=$C22)
        ),7,
        FALSE
    )
)</f>
        <v>Sim</v>
      </c>
      <c r="E22" s="90" t="str">
        <f t="array" aca="1" ref="E22" ca="1">IF(
    VLOOKUP(
        $A22,
        _xlfn._xlws.FILTER(
            INDIRECT("'"&amp;E$1&amp;"'!A2:G1000"), (INDIRECT("'"&amp;E$1&amp;"'!B2:B1000")=$B22) * (INDIRECT("'"&amp;E$1&amp;"'!C2:C1000")=$C22)
        ),
        5,
        FALSE
    )="",
    "",
    VLOOKUP(
        $A22,
        _xlfn._xlws.FILTER(
            INDIRECT("'"&amp;E$1&amp;"'!A2:G1000"), (INDIRECT("'"&amp;E$1&amp;"'!B2:B1000")=$B22) * (INDIRECT("'"&amp;E$1&amp;"'!C2:C1000")=$C22)
        ),7,
        FALSE
    )
)</f>
        <v>Sim</v>
      </c>
      <c r="F22" s="90" t="str">
        <f t="array" aca="1" ref="F22" ca="1">IF(
    VLOOKUP(
        $A22,
        _xlfn._xlws.FILTER(
            INDIRECT("'"&amp;F$1&amp;"'!A2:G1000"), (INDIRECT("'"&amp;F$1&amp;"'!B2:B1000")=$B22) * (INDIRECT("'"&amp;F$1&amp;"'!C2:C1000")=$C22)
        ),
        5,
        FALSE
    )="",
    "",
    VLOOKUP(
        $A22,
        _xlfn._xlws.FILTER(
            INDIRECT("'"&amp;F$1&amp;"'!A2:G1000"), (INDIRECT("'"&amp;F$1&amp;"'!B2:B1000")=$B22) * (INDIRECT("'"&amp;F$1&amp;"'!C2:C1000")=$C22)
        ),7,
        FALSE
    )
)</f>
        <v>Sim</v>
      </c>
      <c r="G22" s="90" t="str">
        <f t="array" aca="1" ref="G22" ca="1">IF(
    VLOOKUP(
        $A22,
        _xlfn._xlws.FILTER(
            INDIRECT("'"&amp;G$1&amp;"'!A2:G1000"), (INDIRECT("'"&amp;G$1&amp;"'!B2:B1000")=$B22) * (INDIRECT("'"&amp;G$1&amp;"'!C2:C1000")=$C22)
        ),
        5,
        FALSE
    )="",
    "",
    VLOOKUP(
        $A22,
        _xlfn._xlws.FILTER(
            INDIRECT("'"&amp;G$1&amp;"'!A2:G1000"), (INDIRECT("'"&amp;G$1&amp;"'!B2:B1000")=$B22) * (INDIRECT("'"&amp;G$1&amp;"'!C2:C1000")=$C22)
        ),7,
        FALSE
    )
)</f>
        <v>Sim</v>
      </c>
      <c r="H22" s="90" t="str">
        <f t="array" aca="1" ref="H22" ca="1">IF(
    VLOOKUP(
        $A22,
        _xlfn._xlws.FILTER(
            INDIRECT("'"&amp;H$1&amp;"'!A2:G1000"), (INDIRECT("'"&amp;H$1&amp;"'!B2:B1000")=$B22) * (INDIRECT("'"&amp;H$1&amp;"'!C2:C1000")=$C22)
        ),
        5,
        FALSE
    )="",
    "",
    VLOOKUP(
        $A22,
        _xlfn._xlws.FILTER(
            INDIRECT("'"&amp;H$1&amp;"'!A2:G1000"), (INDIRECT("'"&amp;H$1&amp;"'!B2:B1000")=$B22) * (INDIRECT("'"&amp;H$1&amp;"'!C2:C1000")=$C22)
        ),7,
        FALSE
    )
)</f>
        <v>Sim</v>
      </c>
      <c r="I22" s="90" t="str">
        <f t="array" aca="1" ref="I22" ca="1">IF(
    VLOOKUP(
        $A22,
        _xlfn._xlws.FILTER(
            INDIRECT("'"&amp;I$1&amp;"'!A2:G1000"), (INDIRECT("'"&amp;I$1&amp;"'!B2:B1000")=$B22) * (INDIRECT("'"&amp;I$1&amp;"'!C2:C1000")=$C22)
        ),
        5,
        FALSE
    )="",
    "",
    VLOOKUP(
        $A22,
        _xlfn._xlws.FILTER(
            INDIRECT("'"&amp;I$1&amp;"'!A2:G1000"), (INDIRECT("'"&amp;I$1&amp;"'!B2:B1000")=$B22) * (INDIRECT("'"&amp;I$1&amp;"'!C2:C1000")=$C22)
        ),7,
        FALSE
    )
)</f>
        <v>Sim</v>
      </c>
      <c r="J22" s="90" t="str">
        <f t="array" aca="1" ref="J22" ca="1">IF(
    VLOOKUP(
        $A22,
        _xlfn._xlws.FILTER(
            INDIRECT("'"&amp;J$1&amp;"'!A2:G1000"), (INDIRECT("'"&amp;J$1&amp;"'!B2:B1000")=$B22) * (INDIRECT("'"&amp;J$1&amp;"'!C2:C1000")=$C22)
        ),
        5,
        FALSE
    )="",
    "",
    VLOOKUP(
        $A22,
        _xlfn._xlws.FILTER(
            INDIRECT("'"&amp;J$1&amp;"'!A2:G1000"), (INDIRECT("'"&amp;J$1&amp;"'!B2:B1000")=$B22) * (INDIRECT("'"&amp;J$1&amp;"'!C2:C1000")=$C22)
        ),7,
        FALSE
    )
)</f>
        <v>Sim</v>
      </c>
      <c r="K22" s="90" t="str">
        <f t="array" aca="1" ref="K22" ca="1">IF(
    VLOOKUP(
        $A22,
        _xlfn._xlws.FILTER(
            INDIRECT("'"&amp;K$1&amp;"'!A2:G1000"), (INDIRECT("'"&amp;K$1&amp;"'!B2:B1000")=$B22) * (INDIRECT("'"&amp;K$1&amp;"'!C2:C1000")=$C22)
        ),
        5,
        FALSE
    )="",
    "",
    VLOOKUP(
        $A22,
        _xlfn._xlws.FILTER(
            INDIRECT("'"&amp;K$1&amp;"'!A2:G1000"), (INDIRECT("'"&amp;K$1&amp;"'!B2:B1000")=$B22) * (INDIRECT("'"&amp;K$1&amp;"'!C2:C1000")=$C22)
        ),7,
        FALSE
    )
)</f>
        <v>Não</v>
      </c>
      <c r="L22" s="90" t="str">
        <f t="array" aca="1" ref="L22" ca="1">IF(
    VLOOKUP(
        $A22,
        _xlfn._xlws.FILTER(
            INDIRECT("'"&amp;L$1&amp;"'!A2:G1000"), (INDIRECT("'"&amp;L$1&amp;"'!B2:B1000")=$B22) * (INDIRECT("'"&amp;L$1&amp;"'!C2:C1000")=$C22)
        ),
        5,
        FALSE
    )="",
    "",
    VLOOKUP(
        $A22,
        _xlfn._xlws.FILTER(
            INDIRECT("'"&amp;L$1&amp;"'!A2:G1000"), (INDIRECT("'"&amp;L$1&amp;"'!B2:B1000")=$B22) * (INDIRECT("'"&amp;L$1&amp;"'!C2:C1000")=$C22)
        ),7,
        FALSE
    )
)</f>
        <v>Não</v>
      </c>
      <c r="M22" s="90" t="str">
        <f t="array" aca="1" ref="M22" ca="1">IF(
    VLOOKUP(
        $A22,
        _xlfn._xlws.FILTER(
            INDIRECT("'"&amp;M$1&amp;"'!A2:G1000"), (INDIRECT("'"&amp;M$1&amp;"'!B2:B1000")=$B22) * (INDIRECT("'"&amp;M$1&amp;"'!C2:C1000")=$C22)
        ),
        5,
        FALSE
    )="",
    "",
    VLOOKUP(
        $A22,
        _xlfn._xlws.FILTER(
            INDIRECT("'"&amp;M$1&amp;"'!A2:G1000"), (INDIRECT("'"&amp;M$1&amp;"'!B2:B1000")=$B22) * (INDIRECT("'"&amp;M$1&amp;"'!C2:C1000")=$C22)
        ),7,
        FALSE
    )
)</f>
        <v>Não</v>
      </c>
      <c r="N22" s="90" t="str">
        <f t="array" aca="1" ref="N22" ca="1">IF(
    VLOOKUP(
        $A22,
        _xlfn._xlws.FILTER(
            INDIRECT("'"&amp;N$1&amp;"'!A2:G1000"), (INDIRECT("'"&amp;N$1&amp;"'!B2:B1000")=$B22) * (INDIRECT("'"&amp;N$1&amp;"'!C2:C1000")=$C22)
        ),
        5,
        FALSE
    )="",
    "",
    VLOOKUP(
        $A22,
        _xlfn._xlws.FILTER(
            INDIRECT("'"&amp;N$1&amp;"'!A2:G1000"), (INDIRECT("'"&amp;N$1&amp;"'!B2:B1000")=$B22) * (INDIRECT("'"&amp;N$1&amp;"'!C2:C1000")=$C22)
        ),7,
        FALSE
    )
)</f>
        <v>Não</v>
      </c>
      <c r="O22" s="90" t="str">
        <f t="array" aca="1" ref="O22" ca="1">IF(
    VLOOKUP(
        $A22,
        _xlfn._xlws.FILTER(
            INDIRECT("'"&amp;O$1&amp;"'!A2:G1000"), (INDIRECT("'"&amp;O$1&amp;"'!B2:B1000")=$B22) * (INDIRECT("'"&amp;O$1&amp;"'!C2:C1000")=$C22)
        ),
        5,
        FALSE
    )="",
    "",
    VLOOKUP(
        $A22,
        _xlfn._xlws.FILTER(
            INDIRECT("'"&amp;O$1&amp;"'!A2:G1000"), (INDIRECT("'"&amp;O$1&amp;"'!B2:B1000")=$B22) * (INDIRECT("'"&amp;O$1&amp;"'!C2:C1000")=$C22)
        ),7,
        FALSE
    )
)</f>
        <v/>
      </c>
    </row>
    <row r="23" spans="1:15">
      <c r="B23" s="35"/>
    </row>
    <row r="24" spans="1:15" ht="15.75" customHeight="1">
      <c r="A24" s="34" t="s">
        <v>25</v>
      </c>
      <c r="B24" s="34" t="s">
        <v>48</v>
      </c>
      <c r="C24" s="34" t="s">
        <v>49</v>
      </c>
      <c r="D24" s="36" t="s">
        <v>1</v>
      </c>
      <c r="E24" s="36" t="s">
        <v>2</v>
      </c>
      <c r="F24" s="36" t="s">
        <v>3</v>
      </c>
      <c r="G24" s="36" t="s">
        <v>4</v>
      </c>
      <c r="H24" s="36" t="s">
        <v>5</v>
      </c>
      <c r="I24" s="36" t="s">
        <v>6</v>
      </c>
      <c r="J24" s="36" t="s">
        <v>7</v>
      </c>
      <c r="K24" s="36" t="s">
        <v>8</v>
      </c>
      <c r="L24" s="36" t="s">
        <v>9</v>
      </c>
      <c r="M24" s="36" t="s">
        <v>10</v>
      </c>
      <c r="N24" s="36" t="s">
        <v>11</v>
      </c>
      <c r="O24" s="36" t="s">
        <v>12</v>
      </c>
    </row>
    <row r="25" spans="1:15">
      <c r="A25" s="92" t="s">
        <v>37</v>
      </c>
      <c r="B25" s="112" t="s">
        <v>69</v>
      </c>
      <c r="C25" s="39">
        <v>1</v>
      </c>
      <c r="D25" s="90" t="str">
        <f t="array" aca="1" ref="D25" ca="1">IF(
    VLOOKUP(
        $A25,
        _xlfn._xlws.FILTER(
            INDIRECT("'"&amp;D$1&amp;"'!A2:G1000"), (INDIRECT("'"&amp;D$1&amp;"'!B2:B1000")=$B25) * (INDIRECT("'"&amp;D$1&amp;"'!C2:C1000")=$C25)
        ),
        5,
        FALSE
    )="",
    "",
    VLOOKUP(
        $A25,
        _xlfn._xlws.FILTER(
            INDIRECT("'"&amp;D$1&amp;"'!A2:G1000"), (INDIRECT("'"&amp;D$1&amp;"'!B2:B1000")=$B25) * (INDIRECT("'"&amp;D$1&amp;"'!C2:C1000")=$C25)
        ),7,
        FALSE
    )
)</f>
        <v>Sim</v>
      </c>
      <c r="E25" s="90" t="str">
        <f t="array" aca="1" ref="E25" ca="1">IF(
    VLOOKUP(
        $A25,
        _xlfn._xlws.FILTER(
            INDIRECT("'"&amp;E$1&amp;"'!A2:G1000"), (INDIRECT("'"&amp;E$1&amp;"'!B2:B1000")=$B25) * (INDIRECT("'"&amp;E$1&amp;"'!C2:C1000")=$C25)
        ),
        5,
        FALSE
    )="",
    "",
    VLOOKUP(
        $A25,
        _xlfn._xlws.FILTER(
            INDIRECT("'"&amp;E$1&amp;"'!A2:G1000"), (INDIRECT("'"&amp;E$1&amp;"'!B2:B1000")=$B25) * (INDIRECT("'"&amp;E$1&amp;"'!C2:C1000")=$C25)
        ),7,
        FALSE
    )
)</f>
        <v>Sim</v>
      </c>
      <c r="F25" s="90" t="str">
        <f t="array" aca="1" ref="F25" ca="1">IF(
    VLOOKUP(
        $A25,
        _xlfn._xlws.FILTER(
            INDIRECT("'"&amp;F$1&amp;"'!A2:G1000"), (INDIRECT("'"&amp;F$1&amp;"'!B2:B1000")=$B25) * (INDIRECT("'"&amp;F$1&amp;"'!C2:C1000")=$C25)
        ),
        5,
        FALSE
    )="",
    "",
    VLOOKUP(
        $A25,
        _xlfn._xlws.FILTER(
            INDIRECT("'"&amp;F$1&amp;"'!A2:G1000"), (INDIRECT("'"&amp;F$1&amp;"'!B2:B1000")=$B25) * (INDIRECT("'"&amp;F$1&amp;"'!C2:C1000")=$C25)
        ),7,
        FALSE
    )
)</f>
        <v>Sim</v>
      </c>
      <c r="G25" s="90" t="str">
        <f t="array" aca="1" ref="G25" ca="1">IF(
    VLOOKUP(
        $A25,
        _xlfn._xlws.FILTER(
            INDIRECT("'"&amp;G$1&amp;"'!A2:G1000"), (INDIRECT("'"&amp;G$1&amp;"'!B2:B1000")=$B25) * (INDIRECT("'"&amp;G$1&amp;"'!C2:C1000")=$C25)
        ),
        5,
        FALSE
    )="",
    "",
    VLOOKUP(
        $A25,
        _xlfn._xlws.FILTER(
            INDIRECT("'"&amp;G$1&amp;"'!A2:G1000"), (INDIRECT("'"&amp;G$1&amp;"'!B2:B1000")=$B25) * (INDIRECT("'"&amp;G$1&amp;"'!C2:C1000")=$C25)
        ),7,
        FALSE
    )
)</f>
        <v>Sim</v>
      </c>
      <c r="H25" s="90" t="str">
        <f t="array" aca="1" ref="H25" ca="1">IF(
    VLOOKUP(
        $A25,
        _xlfn._xlws.FILTER(
            INDIRECT("'"&amp;H$1&amp;"'!A2:G1000"), (INDIRECT("'"&amp;H$1&amp;"'!B2:B1000")=$B25) * (INDIRECT("'"&amp;H$1&amp;"'!C2:C1000")=$C25)
        ),
        5,
        FALSE
    )="",
    "",
    VLOOKUP(
        $A25,
        _xlfn._xlws.FILTER(
            INDIRECT("'"&amp;H$1&amp;"'!A2:G1000"), (INDIRECT("'"&amp;H$1&amp;"'!B2:B1000")=$B25) * (INDIRECT("'"&amp;H$1&amp;"'!C2:C1000")=$C25)
        ),7,
        FALSE
    )
)</f>
        <v>Sim</v>
      </c>
      <c r="I25" s="90" t="str">
        <f t="array" aca="1" ref="I25" ca="1">IF(
    VLOOKUP(
        $A25,
        _xlfn._xlws.FILTER(
            INDIRECT("'"&amp;I$1&amp;"'!A2:G1000"), (INDIRECT("'"&amp;I$1&amp;"'!B2:B1000")=$B25) * (INDIRECT("'"&amp;I$1&amp;"'!C2:C1000")=$C25)
        ),
        5,
        FALSE
    )="",
    "",
    VLOOKUP(
        $A25,
        _xlfn._xlws.FILTER(
            INDIRECT("'"&amp;I$1&amp;"'!A2:G1000"), (INDIRECT("'"&amp;I$1&amp;"'!B2:B1000")=$B25) * (INDIRECT("'"&amp;I$1&amp;"'!C2:C1000")=$C25)
        ),7,
        FALSE
    )
)</f>
        <v>Sim</v>
      </c>
      <c r="J25" s="90" t="str">
        <f t="array" aca="1" ref="J25" ca="1">IF(
    VLOOKUP(
        $A25,
        _xlfn._xlws.FILTER(
            INDIRECT("'"&amp;J$1&amp;"'!A2:G1000"), (INDIRECT("'"&amp;J$1&amp;"'!B2:B1000")=$B25) * (INDIRECT("'"&amp;J$1&amp;"'!C2:C1000")=$C25)
        ),
        5,
        FALSE
    )="",
    "",
    VLOOKUP(
        $A25,
        _xlfn._xlws.FILTER(
            INDIRECT("'"&amp;J$1&amp;"'!A2:G1000"), (INDIRECT("'"&amp;J$1&amp;"'!B2:B1000")=$B25) * (INDIRECT("'"&amp;J$1&amp;"'!C2:C1000")=$C25)
        ),7,
        FALSE
    )
)</f>
        <v>Sim</v>
      </c>
      <c r="K25" s="90" t="str">
        <f t="array" aca="1" ref="K25" ca="1">IF(
    VLOOKUP(
        $A25,
        _xlfn._xlws.FILTER(
            INDIRECT("'"&amp;K$1&amp;"'!A2:G1000"), (INDIRECT("'"&amp;K$1&amp;"'!B2:B1000")=$B25) * (INDIRECT("'"&amp;K$1&amp;"'!C2:C1000")=$C25)
        ),
        5,
        FALSE
    )="",
    "",
    VLOOKUP(
        $A25,
        _xlfn._xlws.FILTER(
            INDIRECT("'"&amp;K$1&amp;"'!A2:G1000"), (INDIRECT("'"&amp;K$1&amp;"'!B2:B1000")=$B25) * (INDIRECT("'"&amp;K$1&amp;"'!C2:C1000")=$C25)
        ),7,
        FALSE
    )
)</f>
        <v>Não</v>
      </c>
      <c r="L25" s="90" t="str">
        <f t="array" aca="1" ref="L25" ca="1">IF(
    VLOOKUP(
        $A25,
        _xlfn._xlws.FILTER(
            INDIRECT("'"&amp;L$1&amp;"'!A2:G1000"), (INDIRECT("'"&amp;L$1&amp;"'!B2:B1000")=$B25) * (INDIRECT("'"&amp;L$1&amp;"'!C2:C1000")=$C25)
        ),
        5,
        FALSE
    )="",
    "",
    VLOOKUP(
        $A25,
        _xlfn._xlws.FILTER(
            INDIRECT("'"&amp;L$1&amp;"'!A2:G1000"), (INDIRECT("'"&amp;L$1&amp;"'!B2:B1000")=$B25) * (INDIRECT("'"&amp;L$1&amp;"'!C2:C1000")=$C25)
        ),7,
        FALSE
    )
)</f>
        <v>Não</v>
      </c>
      <c r="M25" s="90" t="str">
        <f t="array" aca="1" ref="M25" ca="1">IF(
    VLOOKUP(
        $A25,
        _xlfn._xlws.FILTER(
            INDIRECT("'"&amp;M$1&amp;"'!A2:G1000"), (INDIRECT("'"&amp;M$1&amp;"'!B2:B1000")=$B25) * (INDIRECT("'"&amp;M$1&amp;"'!C2:C1000")=$C25)
        ),
        5,
        FALSE
    )="",
    "",
    VLOOKUP(
        $A25,
        _xlfn._xlws.FILTER(
            INDIRECT("'"&amp;M$1&amp;"'!A2:G1000"), (INDIRECT("'"&amp;M$1&amp;"'!B2:B1000")=$B25) * (INDIRECT("'"&amp;M$1&amp;"'!C2:C1000")=$C25)
        ),7,
        FALSE
    )
)</f>
        <v>Não</v>
      </c>
      <c r="N25" s="90" t="str">
        <f t="array" aca="1" ref="N25" ca="1">IF(
    VLOOKUP(
        $A25,
        _xlfn._xlws.FILTER(
            INDIRECT("'"&amp;N$1&amp;"'!A2:G1000"), (INDIRECT("'"&amp;N$1&amp;"'!B2:B1000")=$B25) * (INDIRECT("'"&amp;N$1&amp;"'!C2:C1000")=$C25)
        ),
        5,
        FALSE
    )="",
    "",
    VLOOKUP(
        $A25,
        _xlfn._xlws.FILTER(
            INDIRECT("'"&amp;N$1&amp;"'!A2:G1000"), (INDIRECT("'"&amp;N$1&amp;"'!B2:B1000")=$B25) * (INDIRECT("'"&amp;N$1&amp;"'!C2:C1000")=$C25)
        ),7,
        FALSE
    )
)</f>
        <v>Não</v>
      </c>
      <c r="O25" s="90" t="str">
        <f t="array" aca="1" ref="O25" ca="1">IF(
    VLOOKUP(
        $A25,
        _xlfn._xlws.FILTER(
            INDIRECT("'"&amp;O$1&amp;"'!A2:G1000"), (INDIRECT("'"&amp;O$1&amp;"'!B2:B1000")=$B25) * (INDIRECT("'"&amp;O$1&amp;"'!C2:C1000")=$C25)
        ),
        5,
        FALSE
    )="",
    "",
    VLOOKUP(
        $A25,
        _xlfn._xlws.FILTER(
            INDIRECT("'"&amp;O$1&amp;"'!A2:G1000"), (INDIRECT("'"&amp;O$1&amp;"'!B2:B1000")=$B25) * (INDIRECT("'"&amp;O$1&amp;"'!C2:C1000")=$C25)
        ),7,
        FALSE
    )
)</f>
        <v/>
      </c>
    </row>
    <row r="26" spans="1:15">
      <c r="A26" s="92" t="s">
        <v>37</v>
      </c>
      <c r="B26" s="112" t="s">
        <v>70</v>
      </c>
      <c r="C26" s="39">
        <v>1</v>
      </c>
      <c r="D26" s="90" t="str">
        <f t="array" aca="1" ref="D26" ca="1">IF(
    VLOOKUP(
        $A26,
        _xlfn._xlws.FILTER(
            INDIRECT("'"&amp;D$1&amp;"'!A2:G1000"), (INDIRECT("'"&amp;D$1&amp;"'!B2:B1000")=$B26) * (INDIRECT("'"&amp;D$1&amp;"'!C2:C1000")=$C26)
        ),
        5,
        FALSE
    )="",
    "",
    VLOOKUP(
        $A26,
        _xlfn._xlws.FILTER(
            INDIRECT("'"&amp;D$1&amp;"'!A2:G1000"), (INDIRECT("'"&amp;D$1&amp;"'!B2:B1000")=$B26) * (INDIRECT("'"&amp;D$1&amp;"'!C2:C1000")=$C26)
        ),7,
        FALSE
    )
)</f>
        <v>Sim</v>
      </c>
      <c r="E26" s="90" t="str">
        <f t="array" aca="1" ref="E26" ca="1">IF(
    VLOOKUP(
        $A26,
        _xlfn._xlws.FILTER(
            INDIRECT("'"&amp;E$1&amp;"'!A2:G1000"), (INDIRECT("'"&amp;E$1&amp;"'!B2:B1000")=$B26) * (INDIRECT("'"&amp;E$1&amp;"'!C2:C1000")=$C26)
        ),
        5,
        FALSE
    )="",
    "",
    VLOOKUP(
        $A26,
        _xlfn._xlws.FILTER(
            INDIRECT("'"&amp;E$1&amp;"'!A2:G1000"), (INDIRECT("'"&amp;E$1&amp;"'!B2:B1000")=$B26) * (INDIRECT("'"&amp;E$1&amp;"'!C2:C1000")=$C26)
        ),7,
        FALSE
    )
)</f>
        <v>Sim</v>
      </c>
      <c r="F26" s="90" t="str">
        <f t="array" aca="1" ref="F26" ca="1">IF(
    VLOOKUP(
        $A26,
        _xlfn._xlws.FILTER(
            INDIRECT("'"&amp;F$1&amp;"'!A2:G1000"), (INDIRECT("'"&amp;F$1&amp;"'!B2:B1000")=$B26) * (INDIRECT("'"&amp;F$1&amp;"'!C2:C1000")=$C26)
        ),
        5,
        FALSE
    )="",
    "",
    VLOOKUP(
        $A26,
        _xlfn._xlws.FILTER(
            INDIRECT("'"&amp;F$1&amp;"'!A2:G1000"), (INDIRECT("'"&amp;F$1&amp;"'!B2:B1000")=$B26) * (INDIRECT("'"&amp;F$1&amp;"'!C2:C1000")=$C26)
        ),7,
        FALSE
    )
)</f>
        <v>Sim</v>
      </c>
      <c r="G26" s="90" t="str">
        <f t="array" aca="1" ref="G26" ca="1">IF(
    VLOOKUP(
        $A26,
        _xlfn._xlws.FILTER(
            INDIRECT("'"&amp;G$1&amp;"'!A2:G1000"), (INDIRECT("'"&amp;G$1&amp;"'!B2:B1000")=$B26) * (INDIRECT("'"&amp;G$1&amp;"'!C2:C1000")=$C26)
        ),
        5,
        FALSE
    )="",
    "",
    VLOOKUP(
        $A26,
        _xlfn._xlws.FILTER(
            INDIRECT("'"&amp;G$1&amp;"'!A2:G1000"), (INDIRECT("'"&amp;G$1&amp;"'!B2:B1000")=$B26) * (INDIRECT("'"&amp;G$1&amp;"'!C2:C1000")=$C26)
        ),7,
        FALSE
    )
)</f>
        <v>Sim</v>
      </c>
      <c r="H26" s="90" t="str">
        <f t="array" aca="1" ref="H26" ca="1">IF(
    VLOOKUP(
        $A26,
        _xlfn._xlws.FILTER(
            INDIRECT("'"&amp;H$1&amp;"'!A2:G1000"), (INDIRECT("'"&amp;H$1&amp;"'!B2:B1000")=$B26) * (INDIRECT("'"&amp;H$1&amp;"'!C2:C1000")=$C26)
        ),
        5,
        FALSE
    )="",
    "",
    VLOOKUP(
        $A26,
        _xlfn._xlws.FILTER(
            INDIRECT("'"&amp;H$1&amp;"'!A2:G1000"), (INDIRECT("'"&amp;H$1&amp;"'!B2:B1000")=$B26) * (INDIRECT("'"&amp;H$1&amp;"'!C2:C1000")=$C26)
        ),7,
        FALSE
    )
)</f>
        <v>Sim</v>
      </c>
      <c r="I26" s="90" t="str">
        <f t="array" aca="1" ref="I26" ca="1">IF(
    VLOOKUP(
        $A26,
        _xlfn._xlws.FILTER(
            INDIRECT("'"&amp;I$1&amp;"'!A2:G1000"), (INDIRECT("'"&amp;I$1&amp;"'!B2:B1000")=$B26) * (INDIRECT("'"&amp;I$1&amp;"'!C2:C1000")=$C26)
        ),
        5,
        FALSE
    )="",
    "",
    VLOOKUP(
        $A26,
        _xlfn._xlws.FILTER(
            INDIRECT("'"&amp;I$1&amp;"'!A2:G1000"), (INDIRECT("'"&amp;I$1&amp;"'!B2:B1000")=$B26) * (INDIRECT("'"&amp;I$1&amp;"'!C2:C1000")=$C26)
        ),7,
        FALSE
    )
)</f>
        <v>Sim</v>
      </c>
      <c r="J26" s="90" t="str">
        <f t="array" aca="1" ref="J26" ca="1">IF(
    VLOOKUP(
        $A26,
        _xlfn._xlws.FILTER(
            INDIRECT("'"&amp;J$1&amp;"'!A2:G1000"), (INDIRECT("'"&amp;J$1&amp;"'!B2:B1000")=$B26) * (INDIRECT("'"&amp;J$1&amp;"'!C2:C1000")=$C26)
        ),
        5,
        FALSE
    )="",
    "",
    VLOOKUP(
        $A26,
        _xlfn._xlws.FILTER(
            INDIRECT("'"&amp;J$1&amp;"'!A2:G1000"), (INDIRECT("'"&amp;J$1&amp;"'!B2:B1000")=$B26) * (INDIRECT("'"&amp;J$1&amp;"'!C2:C1000")=$C26)
        ),7,
        FALSE
    )
)</f>
        <v>Sim</v>
      </c>
      <c r="K26" s="90" t="str">
        <f t="array" aca="1" ref="K26" ca="1">IF(
    VLOOKUP(
        $A26,
        _xlfn._xlws.FILTER(
            INDIRECT("'"&amp;K$1&amp;"'!A2:G1000"), (INDIRECT("'"&amp;K$1&amp;"'!B2:B1000")=$B26) * (INDIRECT("'"&amp;K$1&amp;"'!C2:C1000")=$C26)
        ),
        5,
        FALSE
    )="",
    "",
    VLOOKUP(
        $A26,
        _xlfn._xlws.FILTER(
            INDIRECT("'"&amp;K$1&amp;"'!A2:G1000"), (INDIRECT("'"&amp;K$1&amp;"'!B2:B1000")=$B26) * (INDIRECT("'"&amp;K$1&amp;"'!C2:C1000")=$C26)
        ),7,
        FALSE
    )
)</f>
        <v>Não</v>
      </c>
      <c r="L26" s="90" t="str">
        <f t="array" aca="1" ref="L26" ca="1">IF(
    VLOOKUP(
        $A26,
        _xlfn._xlws.FILTER(
            INDIRECT("'"&amp;L$1&amp;"'!A2:G1000"), (INDIRECT("'"&amp;L$1&amp;"'!B2:B1000")=$B26) * (INDIRECT("'"&amp;L$1&amp;"'!C2:C1000")=$C26)
        ),
        5,
        FALSE
    )="",
    "",
    VLOOKUP(
        $A26,
        _xlfn._xlws.FILTER(
            INDIRECT("'"&amp;L$1&amp;"'!A2:G1000"), (INDIRECT("'"&amp;L$1&amp;"'!B2:B1000")=$B26) * (INDIRECT("'"&amp;L$1&amp;"'!C2:C1000")=$C26)
        ),7,
        FALSE
    )
)</f>
        <v>Não</v>
      </c>
      <c r="M26" s="90" t="str">
        <f t="array" aca="1" ref="M26" ca="1">IF(
    VLOOKUP(
        $A26,
        _xlfn._xlws.FILTER(
            INDIRECT("'"&amp;M$1&amp;"'!A2:G1000"), (INDIRECT("'"&amp;M$1&amp;"'!B2:B1000")=$B26) * (INDIRECT("'"&amp;M$1&amp;"'!C2:C1000")=$C26)
        ),
        5,
        FALSE
    )="",
    "",
    VLOOKUP(
        $A26,
        _xlfn._xlws.FILTER(
            INDIRECT("'"&amp;M$1&amp;"'!A2:G1000"), (INDIRECT("'"&amp;M$1&amp;"'!B2:B1000")=$B26) * (INDIRECT("'"&amp;M$1&amp;"'!C2:C1000")=$C26)
        ),7,
        FALSE
    )
)</f>
        <v>Não</v>
      </c>
      <c r="N26" s="90" t="str">
        <f t="array" aca="1" ref="N26" ca="1">IF(
    VLOOKUP(
        $A26,
        _xlfn._xlws.FILTER(
            INDIRECT("'"&amp;N$1&amp;"'!A2:G1000"), (INDIRECT("'"&amp;N$1&amp;"'!B2:B1000")=$B26) * (INDIRECT("'"&amp;N$1&amp;"'!C2:C1000")=$C26)
        ),
        5,
        FALSE
    )="",
    "",
    VLOOKUP(
        $A26,
        _xlfn._xlws.FILTER(
            INDIRECT("'"&amp;N$1&amp;"'!A2:G1000"), (INDIRECT("'"&amp;N$1&amp;"'!B2:B1000")=$B26) * (INDIRECT("'"&amp;N$1&amp;"'!C2:C1000")=$C26)
        ),7,
        FALSE
    )
)</f>
        <v>Não</v>
      </c>
      <c r="O26" s="90" t="str">
        <f t="array" aca="1" ref="O26" ca="1">IF(
    VLOOKUP(
        $A26,
        _xlfn._xlws.FILTER(
            INDIRECT("'"&amp;O$1&amp;"'!A2:G1000"), (INDIRECT("'"&amp;O$1&amp;"'!B2:B1000")=$B26) * (INDIRECT("'"&amp;O$1&amp;"'!C2:C1000")=$C26)
        ),
        5,
        FALSE
    )="",
    "",
    VLOOKUP(
        $A26,
        _xlfn._xlws.FILTER(
            INDIRECT("'"&amp;O$1&amp;"'!A2:G1000"), (INDIRECT("'"&amp;O$1&amp;"'!B2:B1000")=$B26) * (INDIRECT("'"&amp;O$1&amp;"'!C2:C1000")=$C26)
        ),7,
        FALSE
    )
)</f>
        <v/>
      </c>
    </row>
    <row r="27" spans="1:15">
      <c r="A27" s="92" t="s">
        <v>37</v>
      </c>
      <c r="B27" s="112" t="s">
        <v>71</v>
      </c>
      <c r="C27" s="39">
        <v>1</v>
      </c>
      <c r="D27" s="90" t="str">
        <f t="array" aca="1" ref="D27" ca="1">IF(
    VLOOKUP(
        $A27,
        _xlfn._xlws.FILTER(
            INDIRECT("'"&amp;D$1&amp;"'!A2:G1000"), (INDIRECT("'"&amp;D$1&amp;"'!B2:B1000")=$B27) * (INDIRECT("'"&amp;D$1&amp;"'!C2:C1000")=$C27)
        ),
        5,
        FALSE
    )="",
    "",
    VLOOKUP(
        $A27,
        _xlfn._xlws.FILTER(
            INDIRECT("'"&amp;D$1&amp;"'!A2:G1000"), (INDIRECT("'"&amp;D$1&amp;"'!B2:B1000")=$B27) * (INDIRECT("'"&amp;D$1&amp;"'!C2:C1000")=$C27)
        ),7,
        FALSE
    )
)</f>
        <v>Sim</v>
      </c>
      <c r="E27" s="90" t="str">
        <f t="array" aca="1" ref="E27" ca="1">IF(
    VLOOKUP(
        $A27,
        _xlfn._xlws.FILTER(
            INDIRECT("'"&amp;E$1&amp;"'!A2:G1000"), (INDIRECT("'"&amp;E$1&amp;"'!B2:B1000")=$B27) * (INDIRECT("'"&amp;E$1&amp;"'!C2:C1000")=$C27)
        ),
        5,
        FALSE
    )="",
    "",
    VLOOKUP(
        $A27,
        _xlfn._xlws.FILTER(
            INDIRECT("'"&amp;E$1&amp;"'!A2:G1000"), (INDIRECT("'"&amp;E$1&amp;"'!B2:B1000")=$B27) * (INDIRECT("'"&amp;E$1&amp;"'!C2:C1000")=$C27)
        ),7,
        FALSE
    )
)</f>
        <v>Sim</v>
      </c>
      <c r="F27" s="90" t="str">
        <f t="array" aca="1" ref="F27" ca="1">IF(
    VLOOKUP(
        $A27,
        _xlfn._xlws.FILTER(
            INDIRECT("'"&amp;F$1&amp;"'!A2:G1000"), (INDIRECT("'"&amp;F$1&amp;"'!B2:B1000")=$B27) * (INDIRECT("'"&amp;F$1&amp;"'!C2:C1000")=$C27)
        ),
        5,
        FALSE
    )="",
    "",
    VLOOKUP(
        $A27,
        _xlfn._xlws.FILTER(
            INDIRECT("'"&amp;F$1&amp;"'!A2:G1000"), (INDIRECT("'"&amp;F$1&amp;"'!B2:B1000")=$B27) * (INDIRECT("'"&amp;F$1&amp;"'!C2:C1000")=$C27)
        ),7,
        FALSE
    )
)</f>
        <v>Sim</v>
      </c>
      <c r="G27" s="90" t="str">
        <f t="array" aca="1" ref="G27" ca="1">IF(
    VLOOKUP(
        $A27,
        _xlfn._xlws.FILTER(
            INDIRECT("'"&amp;G$1&amp;"'!A2:G1000"), (INDIRECT("'"&amp;G$1&amp;"'!B2:B1000")=$B27) * (INDIRECT("'"&amp;G$1&amp;"'!C2:C1000")=$C27)
        ),
        5,
        FALSE
    )="",
    "",
    VLOOKUP(
        $A27,
        _xlfn._xlws.FILTER(
            INDIRECT("'"&amp;G$1&amp;"'!A2:G1000"), (INDIRECT("'"&amp;G$1&amp;"'!B2:B1000")=$B27) * (INDIRECT("'"&amp;G$1&amp;"'!C2:C1000")=$C27)
        ),7,
        FALSE
    )
)</f>
        <v>Sim</v>
      </c>
      <c r="H27" s="90" t="str">
        <f t="array" aca="1" ref="H27" ca="1">IF(
    VLOOKUP(
        $A27,
        _xlfn._xlws.FILTER(
            INDIRECT("'"&amp;H$1&amp;"'!A2:G1000"), (INDIRECT("'"&amp;H$1&amp;"'!B2:B1000")=$B27) * (INDIRECT("'"&amp;H$1&amp;"'!C2:C1000")=$C27)
        ),
        5,
        FALSE
    )="",
    "",
    VLOOKUP(
        $A27,
        _xlfn._xlws.FILTER(
            INDIRECT("'"&amp;H$1&amp;"'!A2:G1000"), (INDIRECT("'"&amp;H$1&amp;"'!B2:B1000")=$B27) * (INDIRECT("'"&amp;H$1&amp;"'!C2:C1000")=$C27)
        ),7,
        FALSE
    )
)</f>
        <v>Sim</v>
      </c>
      <c r="I27" s="90" t="str">
        <f t="array" aca="1" ref="I27" ca="1">IF(
    VLOOKUP(
        $A27,
        _xlfn._xlws.FILTER(
            INDIRECT("'"&amp;I$1&amp;"'!A2:G1000"), (INDIRECT("'"&amp;I$1&amp;"'!B2:B1000")=$B27) * (INDIRECT("'"&amp;I$1&amp;"'!C2:C1000")=$C27)
        ),
        5,
        FALSE
    )="",
    "",
    VLOOKUP(
        $A27,
        _xlfn._xlws.FILTER(
            INDIRECT("'"&amp;I$1&amp;"'!A2:G1000"), (INDIRECT("'"&amp;I$1&amp;"'!B2:B1000")=$B27) * (INDIRECT("'"&amp;I$1&amp;"'!C2:C1000")=$C27)
        ),7,
        FALSE
    )
)</f>
        <v>Sim</v>
      </c>
      <c r="J27" s="90" t="str">
        <f t="array" aca="1" ref="J27" ca="1">IF(
    VLOOKUP(
        $A27,
        _xlfn._xlws.FILTER(
            INDIRECT("'"&amp;J$1&amp;"'!A2:G1000"), (INDIRECT("'"&amp;J$1&amp;"'!B2:B1000")=$B27) * (INDIRECT("'"&amp;J$1&amp;"'!C2:C1000")=$C27)
        ),
        5,
        FALSE
    )="",
    "",
    VLOOKUP(
        $A27,
        _xlfn._xlws.FILTER(
            INDIRECT("'"&amp;J$1&amp;"'!A2:G1000"), (INDIRECT("'"&amp;J$1&amp;"'!B2:B1000")=$B27) * (INDIRECT("'"&amp;J$1&amp;"'!C2:C1000")=$C27)
        ),7,
        FALSE
    )
)</f>
        <v>Sim</v>
      </c>
      <c r="K27" s="90" t="str">
        <f t="array" aca="1" ref="K27" ca="1">IF(
    VLOOKUP(
        $A27,
        _xlfn._xlws.FILTER(
            INDIRECT("'"&amp;K$1&amp;"'!A2:G1000"), (INDIRECT("'"&amp;K$1&amp;"'!B2:B1000")=$B27) * (INDIRECT("'"&amp;K$1&amp;"'!C2:C1000")=$C27)
        ),
        5,
        FALSE
    )="",
    "",
    VLOOKUP(
        $A27,
        _xlfn._xlws.FILTER(
            INDIRECT("'"&amp;K$1&amp;"'!A2:G1000"), (INDIRECT("'"&amp;K$1&amp;"'!B2:B1000")=$B27) * (INDIRECT("'"&amp;K$1&amp;"'!C2:C1000")=$C27)
        ),7,
        FALSE
    )
)</f>
        <v>Não</v>
      </c>
      <c r="L27" s="90" t="str">
        <f t="array" aca="1" ref="L27" ca="1">IF(
    VLOOKUP(
        $A27,
        _xlfn._xlws.FILTER(
            INDIRECT("'"&amp;L$1&amp;"'!A2:G1000"), (INDIRECT("'"&amp;L$1&amp;"'!B2:B1000")=$B27) * (INDIRECT("'"&amp;L$1&amp;"'!C2:C1000")=$C27)
        ),
        5,
        FALSE
    )="",
    "",
    VLOOKUP(
        $A27,
        _xlfn._xlws.FILTER(
            INDIRECT("'"&amp;L$1&amp;"'!A2:G1000"), (INDIRECT("'"&amp;L$1&amp;"'!B2:B1000")=$B27) * (INDIRECT("'"&amp;L$1&amp;"'!C2:C1000")=$C27)
        ),7,
        FALSE
    )
)</f>
        <v>Não</v>
      </c>
      <c r="M27" s="90" t="str">
        <f t="array" aca="1" ref="M27" ca="1">IF(
    VLOOKUP(
        $A27,
        _xlfn._xlws.FILTER(
            INDIRECT("'"&amp;M$1&amp;"'!A2:G1000"), (INDIRECT("'"&amp;M$1&amp;"'!B2:B1000")=$B27) * (INDIRECT("'"&amp;M$1&amp;"'!C2:C1000")=$C27)
        ),
        5,
        FALSE
    )="",
    "",
    VLOOKUP(
        $A27,
        _xlfn._xlws.FILTER(
            INDIRECT("'"&amp;M$1&amp;"'!A2:G1000"), (INDIRECT("'"&amp;M$1&amp;"'!B2:B1000")=$B27) * (INDIRECT("'"&amp;M$1&amp;"'!C2:C1000")=$C27)
        ),7,
        FALSE
    )
)</f>
        <v>Não</v>
      </c>
      <c r="N27" s="90" t="str">
        <f t="array" aca="1" ref="N27" ca="1">IF(
    VLOOKUP(
        $A27,
        _xlfn._xlws.FILTER(
            INDIRECT("'"&amp;N$1&amp;"'!A2:G1000"), (INDIRECT("'"&amp;N$1&amp;"'!B2:B1000")=$B27) * (INDIRECT("'"&amp;N$1&amp;"'!C2:C1000")=$C27)
        ),
        5,
        FALSE
    )="",
    "",
    VLOOKUP(
        $A27,
        _xlfn._xlws.FILTER(
            INDIRECT("'"&amp;N$1&amp;"'!A2:G1000"), (INDIRECT("'"&amp;N$1&amp;"'!B2:B1000")=$B27) * (INDIRECT("'"&amp;N$1&amp;"'!C2:C1000")=$C27)
        ),7,
        FALSE
    )
)</f>
        <v>Não</v>
      </c>
      <c r="O27" s="90" t="str">
        <f t="array" aca="1" ref="O27" ca="1">IF(
    VLOOKUP(
        $A27,
        _xlfn._xlws.FILTER(
            INDIRECT("'"&amp;O$1&amp;"'!A2:G1000"), (INDIRECT("'"&amp;O$1&amp;"'!B2:B1000")=$B27) * (INDIRECT("'"&amp;O$1&amp;"'!C2:C1000")=$C27)
        ),
        5,
        FALSE
    )="",
    "",
    VLOOKUP(
        $A27,
        _xlfn._xlws.FILTER(
            INDIRECT("'"&amp;O$1&amp;"'!A2:G1000"), (INDIRECT("'"&amp;O$1&amp;"'!B2:B1000")=$B27) * (INDIRECT("'"&amp;O$1&amp;"'!C2:C1000")=$C27)
        ),7,
        FALSE
    )
)</f>
        <v/>
      </c>
    </row>
    <row r="28" spans="1:15">
      <c r="A28" s="92" t="s">
        <v>37</v>
      </c>
      <c r="B28" s="112" t="s">
        <v>72</v>
      </c>
      <c r="C28" s="39">
        <v>1</v>
      </c>
      <c r="D28" s="90" t="str">
        <f t="array" aca="1" ref="D28" ca="1">IF(
    VLOOKUP(
        $A28,
        _xlfn._xlws.FILTER(
            INDIRECT("'"&amp;D$1&amp;"'!A2:G1000"), (INDIRECT("'"&amp;D$1&amp;"'!B2:B1000")=$B28) * (INDIRECT("'"&amp;D$1&amp;"'!C2:C1000")=$C28)
        ),
        5,
        FALSE
    )="",
    "",
    VLOOKUP(
        $A28,
        _xlfn._xlws.FILTER(
            INDIRECT("'"&amp;D$1&amp;"'!A2:G1000"), (INDIRECT("'"&amp;D$1&amp;"'!B2:B1000")=$B28) * (INDIRECT("'"&amp;D$1&amp;"'!C2:C1000")=$C28)
        ),7,
        FALSE
    )
)</f>
        <v>Sim</v>
      </c>
      <c r="E28" s="90" t="str">
        <f t="array" aca="1" ref="E28" ca="1">IF(
    VLOOKUP(
        $A28,
        _xlfn._xlws.FILTER(
            INDIRECT("'"&amp;E$1&amp;"'!A2:G1000"), (INDIRECT("'"&amp;E$1&amp;"'!B2:B1000")=$B28) * (INDIRECT("'"&amp;E$1&amp;"'!C2:C1000")=$C28)
        ),
        5,
        FALSE
    )="",
    "",
    VLOOKUP(
        $A28,
        _xlfn._xlws.FILTER(
            INDIRECT("'"&amp;E$1&amp;"'!A2:G1000"), (INDIRECT("'"&amp;E$1&amp;"'!B2:B1000")=$B28) * (INDIRECT("'"&amp;E$1&amp;"'!C2:C1000")=$C28)
        ),7,
        FALSE
    )
)</f>
        <v>Sim</v>
      </c>
      <c r="F28" s="90" t="str">
        <f t="array" aca="1" ref="F28" ca="1">IF(
    VLOOKUP(
        $A28,
        _xlfn._xlws.FILTER(
            INDIRECT("'"&amp;F$1&amp;"'!A2:G1000"), (INDIRECT("'"&amp;F$1&amp;"'!B2:B1000")=$B28) * (INDIRECT("'"&amp;F$1&amp;"'!C2:C1000")=$C28)
        ),
        5,
        FALSE
    )="",
    "",
    VLOOKUP(
        $A28,
        _xlfn._xlws.FILTER(
            INDIRECT("'"&amp;F$1&amp;"'!A2:G1000"), (INDIRECT("'"&amp;F$1&amp;"'!B2:B1000")=$B28) * (INDIRECT("'"&amp;F$1&amp;"'!C2:C1000")=$C28)
        ),7,
        FALSE
    )
)</f>
        <v>Sim</v>
      </c>
      <c r="G28" s="90" t="str">
        <f t="array" aca="1" ref="G28" ca="1">IF(
    VLOOKUP(
        $A28,
        _xlfn._xlws.FILTER(
            INDIRECT("'"&amp;G$1&amp;"'!A2:G1000"), (INDIRECT("'"&amp;G$1&amp;"'!B2:B1000")=$B28) * (INDIRECT("'"&amp;G$1&amp;"'!C2:C1000")=$C28)
        ),
        5,
        FALSE
    )="",
    "",
    VLOOKUP(
        $A28,
        _xlfn._xlws.FILTER(
            INDIRECT("'"&amp;G$1&amp;"'!A2:G1000"), (INDIRECT("'"&amp;G$1&amp;"'!B2:B1000")=$B28) * (INDIRECT("'"&amp;G$1&amp;"'!C2:C1000")=$C28)
        ),7,
        FALSE
    )
)</f>
        <v>Sim</v>
      </c>
      <c r="H28" s="90" t="str">
        <f t="array" aca="1" ref="H28" ca="1">IF(
    VLOOKUP(
        $A28,
        _xlfn._xlws.FILTER(
            INDIRECT("'"&amp;H$1&amp;"'!A2:G1000"), (INDIRECT("'"&amp;H$1&amp;"'!B2:B1000")=$B28) * (INDIRECT("'"&amp;H$1&amp;"'!C2:C1000")=$C28)
        ),
        5,
        FALSE
    )="",
    "",
    VLOOKUP(
        $A28,
        _xlfn._xlws.FILTER(
            INDIRECT("'"&amp;H$1&amp;"'!A2:G1000"), (INDIRECT("'"&amp;H$1&amp;"'!B2:B1000")=$B28) * (INDIRECT("'"&amp;H$1&amp;"'!C2:C1000")=$C28)
        ),7,
        FALSE
    )
)</f>
        <v>Sim</v>
      </c>
      <c r="I28" s="90" t="str">
        <f t="array" aca="1" ref="I28" ca="1">IF(
    VLOOKUP(
        $A28,
        _xlfn._xlws.FILTER(
            INDIRECT("'"&amp;I$1&amp;"'!A2:G1000"), (INDIRECT("'"&amp;I$1&amp;"'!B2:B1000")=$B28) * (INDIRECT("'"&amp;I$1&amp;"'!C2:C1000")=$C28)
        ),
        5,
        FALSE
    )="",
    "",
    VLOOKUP(
        $A28,
        _xlfn._xlws.FILTER(
            INDIRECT("'"&amp;I$1&amp;"'!A2:G1000"), (INDIRECT("'"&amp;I$1&amp;"'!B2:B1000")=$B28) * (INDIRECT("'"&amp;I$1&amp;"'!C2:C1000")=$C28)
        ),7,
        FALSE
    )
)</f>
        <v>Sim</v>
      </c>
      <c r="J28" s="90" t="str">
        <f t="array" aca="1" ref="J28" ca="1">IF(
    VLOOKUP(
        $A28,
        _xlfn._xlws.FILTER(
            INDIRECT("'"&amp;J$1&amp;"'!A2:G1000"), (INDIRECT("'"&amp;J$1&amp;"'!B2:B1000")=$B28) * (INDIRECT("'"&amp;J$1&amp;"'!C2:C1000")=$C28)
        ),
        5,
        FALSE
    )="",
    "",
    VLOOKUP(
        $A28,
        _xlfn._xlws.FILTER(
            INDIRECT("'"&amp;J$1&amp;"'!A2:G1000"), (INDIRECT("'"&amp;J$1&amp;"'!B2:B1000")=$B28) * (INDIRECT("'"&amp;J$1&amp;"'!C2:C1000")=$C28)
        ),7,
        FALSE
    )
)</f>
        <v>Sim</v>
      </c>
      <c r="K28" s="90" t="str">
        <f t="array" aca="1" ref="K28" ca="1">IF(
    VLOOKUP(
        $A28,
        _xlfn._xlws.FILTER(
            INDIRECT("'"&amp;K$1&amp;"'!A2:G1000"), (INDIRECT("'"&amp;K$1&amp;"'!B2:B1000")=$B28) * (INDIRECT("'"&amp;K$1&amp;"'!C2:C1000")=$C28)
        ),
        5,
        FALSE
    )="",
    "",
    VLOOKUP(
        $A28,
        _xlfn._xlws.FILTER(
            INDIRECT("'"&amp;K$1&amp;"'!A2:G1000"), (INDIRECT("'"&amp;K$1&amp;"'!B2:B1000")=$B28) * (INDIRECT("'"&amp;K$1&amp;"'!C2:C1000")=$C28)
        ),7,
        FALSE
    )
)</f>
        <v>Não</v>
      </c>
      <c r="L28" s="90" t="str">
        <f t="array" aca="1" ref="L28" ca="1">IF(
    VLOOKUP(
        $A28,
        _xlfn._xlws.FILTER(
            INDIRECT("'"&amp;L$1&amp;"'!A2:G1000"), (INDIRECT("'"&amp;L$1&amp;"'!B2:B1000")=$B28) * (INDIRECT("'"&amp;L$1&amp;"'!C2:C1000")=$C28)
        ),
        5,
        FALSE
    )="",
    "",
    VLOOKUP(
        $A28,
        _xlfn._xlws.FILTER(
            INDIRECT("'"&amp;L$1&amp;"'!A2:G1000"), (INDIRECT("'"&amp;L$1&amp;"'!B2:B1000")=$B28) * (INDIRECT("'"&amp;L$1&amp;"'!C2:C1000")=$C28)
        ),7,
        FALSE
    )
)</f>
        <v>Não</v>
      </c>
      <c r="M28" s="90" t="str">
        <f t="array" aca="1" ref="M28" ca="1">IF(
    VLOOKUP(
        $A28,
        _xlfn._xlws.FILTER(
            INDIRECT("'"&amp;M$1&amp;"'!A2:G1000"), (INDIRECT("'"&amp;M$1&amp;"'!B2:B1000")=$B28) * (INDIRECT("'"&amp;M$1&amp;"'!C2:C1000")=$C28)
        ),
        5,
        FALSE
    )="",
    "",
    VLOOKUP(
        $A28,
        _xlfn._xlws.FILTER(
            INDIRECT("'"&amp;M$1&amp;"'!A2:G1000"), (INDIRECT("'"&amp;M$1&amp;"'!B2:B1000")=$B28) * (INDIRECT("'"&amp;M$1&amp;"'!C2:C1000")=$C28)
        ),7,
        FALSE
    )
)</f>
        <v>Não</v>
      </c>
      <c r="N28" s="90" t="str">
        <f t="array" aca="1" ref="N28" ca="1">IF(
    VLOOKUP(
        $A28,
        _xlfn._xlws.FILTER(
            INDIRECT("'"&amp;N$1&amp;"'!A2:G1000"), (INDIRECT("'"&amp;N$1&amp;"'!B2:B1000")=$B28) * (INDIRECT("'"&amp;N$1&amp;"'!C2:C1000")=$C28)
        ),
        5,
        FALSE
    )="",
    "",
    VLOOKUP(
        $A28,
        _xlfn._xlws.FILTER(
            INDIRECT("'"&amp;N$1&amp;"'!A2:G1000"), (INDIRECT("'"&amp;N$1&amp;"'!B2:B1000")=$B28) * (INDIRECT("'"&amp;N$1&amp;"'!C2:C1000")=$C28)
        ),7,
        FALSE
    )
)</f>
        <v>Não</v>
      </c>
      <c r="O28" s="90" t="str">
        <f t="array" aca="1" ref="O28" ca="1">IF(
    VLOOKUP(
        $A28,
        _xlfn._xlws.FILTER(
            INDIRECT("'"&amp;O$1&amp;"'!A2:G1000"), (INDIRECT("'"&amp;O$1&amp;"'!B2:B1000")=$B28) * (INDIRECT("'"&amp;O$1&amp;"'!C2:C1000")=$C28)
        ),
        5,
        FALSE
    )="",
    "",
    VLOOKUP(
        $A28,
        _xlfn._xlws.FILTER(
            INDIRECT("'"&amp;O$1&amp;"'!A2:G1000"), (INDIRECT("'"&amp;O$1&amp;"'!B2:B1000")=$B28) * (INDIRECT("'"&amp;O$1&amp;"'!C2:C1000")=$C28)
        ),7,
        FALSE
    )
)</f>
        <v/>
      </c>
    </row>
    <row r="29" spans="1:15">
      <c r="A29" s="92" t="s">
        <v>37</v>
      </c>
      <c r="B29" s="114" t="s">
        <v>73</v>
      </c>
      <c r="C29" s="39">
        <v>1</v>
      </c>
      <c r="D29" s="90" t="str">
        <f t="array" aca="1" ref="D29" ca="1">IF(
    VLOOKUP(
        $A29,
        _xlfn._xlws.FILTER(
            INDIRECT("'"&amp;D$1&amp;"'!A2:G1000"), (INDIRECT("'"&amp;D$1&amp;"'!B2:B1000")=$B29) * (INDIRECT("'"&amp;D$1&amp;"'!C2:C1000")=$C29)
        ),
        5,
        FALSE
    )="",
    "",
    VLOOKUP(
        $A29,
        _xlfn._xlws.FILTER(
            INDIRECT("'"&amp;D$1&amp;"'!A2:G1000"), (INDIRECT("'"&amp;D$1&amp;"'!B2:B1000")=$B29) * (INDIRECT("'"&amp;D$1&amp;"'!C2:C1000")=$C29)
        ),7,
        FALSE
    )
)</f>
        <v>Sim</v>
      </c>
      <c r="E29" s="90" t="str">
        <f t="array" aca="1" ref="E29" ca="1">IF(
    VLOOKUP(
        $A29,
        _xlfn._xlws.FILTER(
            INDIRECT("'"&amp;E$1&amp;"'!A2:G1000"), (INDIRECT("'"&amp;E$1&amp;"'!B2:B1000")=$B29) * (INDIRECT("'"&amp;E$1&amp;"'!C2:C1000")=$C29)
        ),
        5,
        FALSE
    )="",
    "",
    VLOOKUP(
        $A29,
        _xlfn._xlws.FILTER(
            INDIRECT("'"&amp;E$1&amp;"'!A2:G1000"), (INDIRECT("'"&amp;E$1&amp;"'!B2:B1000")=$B29) * (INDIRECT("'"&amp;E$1&amp;"'!C2:C1000")=$C29)
        ),7,
        FALSE
    )
)</f>
        <v>Sim</v>
      </c>
      <c r="F29" s="90" t="str">
        <f t="array" aca="1" ref="F29" ca="1">IF(
    VLOOKUP(
        $A29,
        _xlfn._xlws.FILTER(
            INDIRECT("'"&amp;F$1&amp;"'!A2:G1000"), (INDIRECT("'"&amp;F$1&amp;"'!B2:B1000")=$B29) * (INDIRECT("'"&amp;F$1&amp;"'!C2:C1000")=$C29)
        ),
        5,
        FALSE
    )="",
    "",
    VLOOKUP(
        $A29,
        _xlfn._xlws.FILTER(
            INDIRECT("'"&amp;F$1&amp;"'!A2:G1000"), (INDIRECT("'"&amp;F$1&amp;"'!B2:B1000")=$B29) * (INDIRECT("'"&amp;F$1&amp;"'!C2:C1000")=$C29)
        ),7,
        FALSE
    )
)</f>
        <v>Sim</v>
      </c>
      <c r="G29" s="90" t="str">
        <f t="array" aca="1" ref="G29" ca="1">IF(
    VLOOKUP(
        $A29,
        _xlfn._xlws.FILTER(
            INDIRECT("'"&amp;G$1&amp;"'!A2:G1000"), (INDIRECT("'"&amp;G$1&amp;"'!B2:B1000")=$B29) * (INDIRECT("'"&amp;G$1&amp;"'!C2:C1000")=$C29)
        ),
        5,
        FALSE
    )="",
    "",
    VLOOKUP(
        $A29,
        _xlfn._xlws.FILTER(
            INDIRECT("'"&amp;G$1&amp;"'!A2:G1000"), (INDIRECT("'"&amp;G$1&amp;"'!B2:B1000")=$B29) * (INDIRECT("'"&amp;G$1&amp;"'!C2:C1000")=$C29)
        ),7,
        FALSE
    )
)</f>
        <v>Sim</v>
      </c>
      <c r="H29" s="90" t="str">
        <f t="array" aca="1" ref="H29" ca="1">IF(
    VLOOKUP(
        $A29,
        _xlfn._xlws.FILTER(
            INDIRECT("'"&amp;H$1&amp;"'!A2:G1000"), (INDIRECT("'"&amp;H$1&amp;"'!B2:B1000")=$B29) * (INDIRECT("'"&amp;H$1&amp;"'!C2:C1000")=$C29)
        ),
        5,
        FALSE
    )="",
    "",
    VLOOKUP(
        $A29,
        _xlfn._xlws.FILTER(
            INDIRECT("'"&amp;H$1&amp;"'!A2:G1000"), (INDIRECT("'"&amp;H$1&amp;"'!B2:B1000")=$B29) * (INDIRECT("'"&amp;H$1&amp;"'!C2:C1000")=$C29)
        ),7,
        FALSE
    )
)</f>
        <v>Sim</v>
      </c>
      <c r="I29" s="90" t="str">
        <f t="array" aca="1" ref="I29" ca="1">IF(
    VLOOKUP(
        $A29,
        _xlfn._xlws.FILTER(
            INDIRECT("'"&amp;I$1&amp;"'!A2:G1000"), (INDIRECT("'"&amp;I$1&amp;"'!B2:B1000")=$B29) * (INDIRECT("'"&amp;I$1&amp;"'!C2:C1000")=$C29)
        ),
        5,
        FALSE
    )="",
    "",
    VLOOKUP(
        $A29,
        _xlfn._xlws.FILTER(
            INDIRECT("'"&amp;I$1&amp;"'!A2:G1000"), (INDIRECT("'"&amp;I$1&amp;"'!B2:B1000")=$B29) * (INDIRECT("'"&amp;I$1&amp;"'!C2:C1000")=$C29)
        ),7,
        FALSE
    )
)</f>
        <v>Sim</v>
      </c>
      <c r="J29" s="90" t="str">
        <f t="array" aca="1" ref="J29" ca="1">IF(
    VLOOKUP(
        $A29,
        _xlfn._xlws.FILTER(
            INDIRECT("'"&amp;J$1&amp;"'!A2:G1000"), (INDIRECT("'"&amp;J$1&amp;"'!B2:B1000")=$B29) * (INDIRECT("'"&amp;J$1&amp;"'!C2:C1000")=$C29)
        ),
        5,
        FALSE
    )="",
    "",
    VLOOKUP(
        $A29,
        _xlfn._xlws.FILTER(
            INDIRECT("'"&amp;J$1&amp;"'!A2:G1000"), (INDIRECT("'"&amp;J$1&amp;"'!B2:B1000")=$B29) * (INDIRECT("'"&amp;J$1&amp;"'!C2:C1000")=$C29)
        ),7,
        FALSE
    )
)</f>
        <v>Sim</v>
      </c>
      <c r="K29" s="90" t="str">
        <f t="array" aca="1" ref="K29" ca="1">IF(
    VLOOKUP(
        $A29,
        _xlfn._xlws.FILTER(
            INDIRECT("'"&amp;K$1&amp;"'!A2:G1000"), (INDIRECT("'"&amp;K$1&amp;"'!B2:B1000")=$B29) * (INDIRECT("'"&amp;K$1&amp;"'!C2:C1000")=$C29)
        ),
        5,
        FALSE
    )="",
    "",
    VLOOKUP(
        $A29,
        _xlfn._xlws.FILTER(
            INDIRECT("'"&amp;K$1&amp;"'!A2:G1000"), (INDIRECT("'"&amp;K$1&amp;"'!B2:B1000")=$B29) * (INDIRECT("'"&amp;K$1&amp;"'!C2:C1000")=$C29)
        ),7,
        FALSE
    )
)</f>
        <v>Não</v>
      </c>
      <c r="L29" s="90" t="str">
        <f t="array" aca="1" ref="L29" ca="1">IF(
    VLOOKUP(
        $A29,
        _xlfn._xlws.FILTER(
            INDIRECT("'"&amp;L$1&amp;"'!A2:G1000"), (INDIRECT("'"&amp;L$1&amp;"'!B2:B1000")=$B29) * (INDIRECT("'"&amp;L$1&amp;"'!C2:C1000")=$C29)
        ),
        5,
        FALSE
    )="",
    "",
    VLOOKUP(
        $A29,
        _xlfn._xlws.FILTER(
            INDIRECT("'"&amp;L$1&amp;"'!A2:G1000"), (INDIRECT("'"&amp;L$1&amp;"'!B2:B1000")=$B29) * (INDIRECT("'"&amp;L$1&amp;"'!C2:C1000")=$C29)
        ),7,
        FALSE
    )
)</f>
        <v>Não</v>
      </c>
      <c r="M29" s="90" t="str">
        <f t="array" aca="1" ref="M29" ca="1">IF(
    VLOOKUP(
        $A29,
        _xlfn._xlws.FILTER(
            INDIRECT("'"&amp;M$1&amp;"'!A2:G1000"), (INDIRECT("'"&amp;M$1&amp;"'!B2:B1000")=$B29) * (INDIRECT("'"&amp;M$1&amp;"'!C2:C1000")=$C29)
        ),
        5,
        FALSE
    )="",
    "",
    VLOOKUP(
        $A29,
        _xlfn._xlws.FILTER(
            INDIRECT("'"&amp;M$1&amp;"'!A2:G1000"), (INDIRECT("'"&amp;M$1&amp;"'!B2:B1000")=$B29) * (INDIRECT("'"&amp;M$1&amp;"'!C2:C1000")=$C29)
        ),7,
        FALSE
    )
)</f>
        <v>Não</v>
      </c>
      <c r="N29" s="90" t="str">
        <f t="array" aca="1" ref="N29" ca="1">IF(
    VLOOKUP(
        $A29,
        _xlfn._xlws.FILTER(
            INDIRECT("'"&amp;N$1&amp;"'!A2:G1000"), (INDIRECT("'"&amp;N$1&amp;"'!B2:B1000")=$B29) * (INDIRECT("'"&amp;N$1&amp;"'!C2:C1000")=$C29)
        ),
        5,
        FALSE
    )="",
    "",
    VLOOKUP(
        $A29,
        _xlfn._xlws.FILTER(
            INDIRECT("'"&amp;N$1&amp;"'!A2:G1000"), (INDIRECT("'"&amp;N$1&amp;"'!B2:B1000")=$B29) * (INDIRECT("'"&amp;N$1&amp;"'!C2:C1000")=$C29)
        ),7,
        FALSE
    )
)</f>
        <v>Não</v>
      </c>
      <c r="O29" s="90" t="str">
        <f t="array" aca="1" ref="O29" ca="1">IF(
    VLOOKUP(
        $A29,
        _xlfn._xlws.FILTER(
            INDIRECT("'"&amp;O$1&amp;"'!A2:G1000"), (INDIRECT("'"&amp;O$1&amp;"'!B2:B1000")=$B29) * (INDIRECT("'"&amp;O$1&amp;"'!C2:C1000")=$C29)
        ),
        5,
        FALSE
    )="",
    "",
    VLOOKUP(
        $A29,
        _xlfn._xlws.FILTER(
            INDIRECT("'"&amp;O$1&amp;"'!A2:G1000"), (INDIRECT("'"&amp;O$1&amp;"'!B2:B1000")=$B29) * (INDIRECT("'"&amp;O$1&amp;"'!C2:C1000")=$C29)
        ),7,
        FALSE
    )
)</f>
        <v/>
      </c>
    </row>
    <row r="30" spans="1:15">
      <c r="A30" s="92" t="s">
        <v>37</v>
      </c>
      <c r="B30" s="112" t="s">
        <v>74</v>
      </c>
      <c r="C30" s="39">
        <v>1</v>
      </c>
      <c r="D30" s="90" t="str">
        <f t="array" aca="1" ref="D30" ca="1">IF(
    VLOOKUP(
        $A30,
        _xlfn._xlws.FILTER(
            INDIRECT("'"&amp;D$1&amp;"'!A2:G1000"), (INDIRECT("'"&amp;D$1&amp;"'!B2:B1000")=$B30) * (INDIRECT("'"&amp;D$1&amp;"'!C2:C1000")=$C30)
        ),
        5,
        FALSE
    )="",
    "",
    VLOOKUP(
        $A30,
        _xlfn._xlws.FILTER(
            INDIRECT("'"&amp;D$1&amp;"'!A2:G1000"), (INDIRECT("'"&amp;D$1&amp;"'!B2:B1000")=$B30) * (INDIRECT("'"&amp;D$1&amp;"'!C2:C1000")=$C30)
        ),7,
        FALSE
    )
)</f>
        <v>Sim</v>
      </c>
      <c r="E30" s="90" t="str">
        <f t="array" aca="1" ref="E30" ca="1">IF(
    VLOOKUP(
        $A30,
        _xlfn._xlws.FILTER(
            INDIRECT("'"&amp;E$1&amp;"'!A2:G1000"), (INDIRECT("'"&amp;E$1&amp;"'!B2:B1000")=$B30) * (INDIRECT("'"&amp;E$1&amp;"'!C2:C1000")=$C30)
        ),
        5,
        FALSE
    )="",
    "",
    VLOOKUP(
        $A30,
        _xlfn._xlws.FILTER(
            INDIRECT("'"&amp;E$1&amp;"'!A2:G1000"), (INDIRECT("'"&amp;E$1&amp;"'!B2:B1000")=$B30) * (INDIRECT("'"&amp;E$1&amp;"'!C2:C1000")=$C30)
        ),7,
        FALSE
    )
)</f>
        <v>Sim</v>
      </c>
      <c r="F30" s="90" t="str">
        <f t="array" aca="1" ref="F30" ca="1">IF(
    VLOOKUP(
        $A30,
        _xlfn._xlws.FILTER(
            INDIRECT("'"&amp;F$1&amp;"'!A2:G1000"), (INDIRECT("'"&amp;F$1&amp;"'!B2:B1000")=$B30) * (INDIRECT("'"&amp;F$1&amp;"'!C2:C1000")=$C30)
        ),
        5,
        FALSE
    )="",
    "",
    VLOOKUP(
        $A30,
        _xlfn._xlws.FILTER(
            INDIRECT("'"&amp;F$1&amp;"'!A2:G1000"), (INDIRECT("'"&amp;F$1&amp;"'!B2:B1000")=$B30) * (INDIRECT("'"&amp;F$1&amp;"'!C2:C1000")=$C30)
        ),7,
        FALSE
    )
)</f>
        <v>Sim</v>
      </c>
      <c r="G30" s="90" t="str">
        <f t="array" aca="1" ref="G30" ca="1">IF(
    VLOOKUP(
        $A30,
        _xlfn._xlws.FILTER(
            INDIRECT("'"&amp;G$1&amp;"'!A2:G1000"), (INDIRECT("'"&amp;G$1&amp;"'!B2:B1000")=$B30) * (INDIRECT("'"&amp;G$1&amp;"'!C2:C1000")=$C30)
        ),
        5,
        FALSE
    )="",
    "",
    VLOOKUP(
        $A30,
        _xlfn._xlws.FILTER(
            INDIRECT("'"&amp;G$1&amp;"'!A2:G1000"), (INDIRECT("'"&amp;G$1&amp;"'!B2:B1000")=$B30) * (INDIRECT("'"&amp;G$1&amp;"'!C2:C1000")=$C30)
        ),7,
        FALSE
    )
)</f>
        <v>Sim</v>
      </c>
      <c r="H30" s="90" t="str">
        <f t="array" aca="1" ref="H30" ca="1">IF(
    VLOOKUP(
        $A30,
        _xlfn._xlws.FILTER(
            INDIRECT("'"&amp;H$1&amp;"'!A2:G1000"), (INDIRECT("'"&amp;H$1&amp;"'!B2:B1000")=$B30) * (INDIRECT("'"&amp;H$1&amp;"'!C2:C1000")=$C30)
        ),
        5,
        FALSE
    )="",
    "",
    VLOOKUP(
        $A30,
        _xlfn._xlws.FILTER(
            INDIRECT("'"&amp;H$1&amp;"'!A2:G1000"), (INDIRECT("'"&amp;H$1&amp;"'!B2:B1000")=$B30) * (INDIRECT("'"&amp;H$1&amp;"'!C2:C1000")=$C30)
        ),7,
        FALSE
    )
)</f>
        <v>Sim</v>
      </c>
      <c r="I30" s="90" t="str">
        <f t="array" aca="1" ref="I30" ca="1">IF(
    VLOOKUP(
        $A30,
        _xlfn._xlws.FILTER(
            INDIRECT("'"&amp;I$1&amp;"'!A2:G1000"), (INDIRECT("'"&amp;I$1&amp;"'!B2:B1000")=$B30) * (INDIRECT("'"&amp;I$1&amp;"'!C2:C1000")=$C30)
        ),
        5,
        FALSE
    )="",
    "",
    VLOOKUP(
        $A30,
        _xlfn._xlws.FILTER(
            INDIRECT("'"&amp;I$1&amp;"'!A2:G1000"), (INDIRECT("'"&amp;I$1&amp;"'!B2:B1000")=$B30) * (INDIRECT("'"&amp;I$1&amp;"'!C2:C1000")=$C30)
        ),7,
        FALSE
    )
)</f>
        <v>Sim</v>
      </c>
      <c r="J30" s="90" t="str">
        <f t="array" aca="1" ref="J30" ca="1">IF(
    VLOOKUP(
        $A30,
        _xlfn._xlws.FILTER(
            INDIRECT("'"&amp;J$1&amp;"'!A2:G1000"), (INDIRECT("'"&amp;J$1&amp;"'!B2:B1000")=$B30) * (INDIRECT("'"&amp;J$1&amp;"'!C2:C1000")=$C30)
        ),
        5,
        FALSE
    )="",
    "",
    VLOOKUP(
        $A30,
        _xlfn._xlws.FILTER(
            INDIRECT("'"&amp;J$1&amp;"'!A2:G1000"), (INDIRECT("'"&amp;J$1&amp;"'!B2:B1000")=$B30) * (INDIRECT("'"&amp;J$1&amp;"'!C2:C1000")=$C30)
        ),7,
        FALSE
    )
)</f>
        <v>Sim</v>
      </c>
      <c r="K30" s="90" t="str">
        <f t="array" aca="1" ref="K30" ca="1">IF(
    VLOOKUP(
        $A30,
        _xlfn._xlws.FILTER(
            INDIRECT("'"&amp;K$1&amp;"'!A2:G1000"), (INDIRECT("'"&amp;K$1&amp;"'!B2:B1000")=$B30) * (INDIRECT("'"&amp;K$1&amp;"'!C2:C1000")=$C30)
        ),
        5,
        FALSE
    )="",
    "",
    VLOOKUP(
        $A30,
        _xlfn._xlws.FILTER(
            INDIRECT("'"&amp;K$1&amp;"'!A2:G1000"), (INDIRECT("'"&amp;K$1&amp;"'!B2:B1000")=$B30) * (INDIRECT("'"&amp;K$1&amp;"'!C2:C1000")=$C30)
        ),7,
        FALSE
    )
)</f>
        <v>Não</v>
      </c>
      <c r="L30" s="90" t="str">
        <f t="array" aca="1" ref="L30" ca="1">IF(
    VLOOKUP(
        $A30,
        _xlfn._xlws.FILTER(
            INDIRECT("'"&amp;L$1&amp;"'!A2:G1000"), (INDIRECT("'"&amp;L$1&amp;"'!B2:B1000")=$B30) * (INDIRECT("'"&amp;L$1&amp;"'!C2:C1000")=$C30)
        ),
        5,
        FALSE
    )="",
    "",
    VLOOKUP(
        $A30,
        _xlfn._xlws.FILTER(
            INDIRECT("'"&amp;L$1&amp;"'!A2:G1000"), (INDIRECT("'"&amp;L$1&amp;"'!B2:B1000")=$B30) * (INDIRECT("'"&amp;L$1&amp;"'!C2:C1000")=$C30)
        ),7,
        FALSE
    )
)</f>
        <v>Não</v>
      </c>
      <c r="M30" s="90" t="str">
        <f t="array" aca="1" ref="M30" ca="1">IF(
    VLOOKUP(
        $A30,
        _xlfn._xlws.FILTER(
            INDIRECT("'"&amp;M$1&amp;"'!A2:G1000"), (INDIRECT("'"&amp;M$1&amp;"'!B2:B1000")=$B30) * (INDIRECT("'"&amp;M$1&amp;"'!C2:C1000")=$C30)
        ),
        5,
        FALSE
    )="",
    "",
    VLOOKUP(
        $A30,
        _xlfn._xlws.FILTER(
            INDIRECT("'"&amp;M$1&amp;"'!A2:G1000"), (INDIRECT("'"&amp;M$1&amp;"'!B2:B1000")=$B30) * (INDIRECT("'"&amp;M$1&amp;"'!C2:C1000")=$C30)
        ),7,
        FALSE
    )
)</f>
        <v>Não</v>
      </c>
      <c r="N30" s="90" t="str">
        <f t="array" aca="1" ref="N30" ca="1">IF(
    VLOOKUP(
        $A30,
        _xlfn._xlws.FILTER(
            INDIRECT("'"&amp;N$1&amp;"'!A2:G1000"), (INDIRECT("'"&amp;N$1&amp;"'!B2:B1000")=$B30) * (INDIRECT("'"&amp;N$1&amp;"'!C2:C1000")=$C30)
        ),
        5,
        FALSE
    )="",
    "",
    VLOOKUP(
        $A30,
        _xlfn._xlws.FILTER(
            INDIRECT("'"&amp;N$1&amp;"'!A2:G1000"), (INDIRECT("'"&amp;N$1&amp;"'!B2:B1000")=$B30) * (INDIRECT("'"&amp;N$1&amp;"'!C2:C1000")=$C30)
        ),7,
        FALSE
    )
)</f>
        <v>Não</v>
      </c>
      <c r="O30" s="90" t="str">
        <f t="array" aca="1" ref="O30" ca="1">IF(
    VLOOKUP(
        $A30,
        _xlfn._xlws.FILTER(
            INDIRECT("'"&amp;O$1&amp;"'!A2:G1000"), (INDIRECT("'"&amp;O$1&amp;"'!B2:B1000")=$B30) * (INDIRECT("'"&amp;O$1&amp;"'!C2:C1000")=$C30)
        ),
        5,
        FALSE
    )="",
    "",
    VLOOKUP(
        $A30,
        _xlfn._xlws.FILTER(
            INDIRECT("'"&amp;O$1&amp;"'!A2:G1000"), (INDIRECT("'"&amp;O$1&amp;"'!B2:B1000")=$B30) * (INDIRECT("'"&amp;O$1&amp;"'!C2:C1000")=$C30)
        ),7,
        FALSE
    )
)</f>
        <v/>
      </c>
    </row>
    <row r="31" spans="1:15">
      <c r="A31" s="92" t="s">
        <v>37</v>
      </c>
      <c r="B31" s="112" t="s">
        <v>75</v>
      </c>
      <c r="C31" s="39">
        <v>1</v>
      </c>
      <c r="D31" s="90" t="str">
        <f t="array" aca="1" ref="D31" ca="1">IF(
    VLOOKUP(
        $A31,
        _xlfn._xlws.FILTER(
            INDIRECT("'"&amp;D$1&amp;"'!A2:G1000"), (INDIRECT("'"&amp;D$1&amp;"'!B2:B1000")=$B31) * (INDIRECT("'"&amp;D$1&amp;"'!C2:C1000")=$C31)
        ),
        5,
        FALSE
    )="",
    "",
    VLOOKUP(
        $A31,
        _xlfn._xlws.FILTER(
            INDIRECT("'"&amp;D$1&amp;"'!A2:G1000"), (INDIRECT("'"&amp;D$1&amp;"'!B2:B1000")=$B31) * (INDIRECT("'"&amp;D$1&amp;"'!C2:C1000")=$C31)
        ),7,
        FALSE
    )
)</f>
        <v>Sim</v>
      </c>
      <c r="E31" s="90" t="str">
        <f t="array" aca="1" ref="E31" ca="1">IF(
    VLOOKUP(
        $A31,
        _xlfn._xlws.FILTER(
            INDIRECT("'"&amp;E$1&amp;"'!A2:G1000"), (INDIRECT("'"&amp;E$1&amp;"'!B2:B1000")=$B31) * (INDIRECT("'"&amp;E$1&amp;"'!C2:C1000")=$C31)
        ),
        5,
        FALSE
    )="",
    "",
    VLOOKUP(
        $A31,
        _xlfn._xlws.FILTER(
            INDIRECT("'"&amp;E$1&amp;"'!A2:G1000"), (INDIRECT("'"&amp;E$1&amp;"'!B2:B1000")=$B31) * (INDIRECT("'"&amp;E$1&amp;"'!C2:C1000")=$C31)
        ),7,
        FALSE
    )
)</f>
        <v>Sim</v>
      </c>
      <c r="F31" s="90" t="str">
        <f t="array" aca="1" ref="F31" ca="1">IF(
    VLOOKUP(
        $A31,
        _xlfn._xlws.FILTER(
            INDIRECT("'"&amp;F$1&amp;"'!A2:G1000"), (INDIRECT("'"&amp;F$1&amp;"'!B2:B1000")=$B31) * (INDIRECT("'"&amp;F$1&amp;"'!C2:C1000")=$C31)
        ),
        5,
        FALSE
    )="",
    "",
    VLOOKUP(
        $A31,
        _xlfn._xlws.FILTER(
            INDIRECT("'"&amp;F$1&amp;"'!A2:G1000"), (INDIRECT("'"&amp;F$1&amp;"'!B2:B1000")=$B31) * (INDIRECT("'"&amp;F$1&amp;"'!C2:C1000")=$C31)
        ),7,
        FALSE
    )
)</f>
        <v>Sim</v>
      </c>
      <c r="G31" s="90" t="str">
        <f t="array" aca="1" ref="G31" ca="1">IF(
    VLOOKUP(
        $A31,
        _xlfn._xlws.FILTER(
            INDIRECT("'"&amp;G$1&amp;"'!A2:G1000"), (INDIRECT("'"&amp;G$1&amp;"'!B2:B1000")=$B31) * (INDIRECT("'"&amp;G$1&amp;"'!C2:C1000")=$C31)
        ),
        5,
        FALSE
    )="",
    "",
    VLOOKUP(
        $A31,
        _xlfn._xlws.FILTER(
            INDIRECT("'"&amp;G$1&amp;"'!A2:G1000"), (INDIRECT("'"&amp;G$1&amp;"'!B2:B1000")=$B31) * (INDIRECT("'"&amp;G$1&amp;"'!C2:C1000")=$C31)
        ),7,
        FALSE
    )
)</f>
        <v>Sim</v>
      </c>
      <c r="H31" s="90" t="str">
        <f t="array" aca="1" ref="H31" ca="1">IF(
    VLOOKUP(
        $A31,
        _xlfn._xlws.FILTER(
            INDIRECT("'"&amp;H$1&amp;"'!A2:G1000"), (INDIRECT("'"&amp;H$1&amp;"'!B2:B1000")=$B31) * (INDIRECT("'"&amp;H$1&amp;"'!C2:C1000")=$C31)
        ),
        5,
        FALSE
    )="",
    "",
    VLOOKUP(
        $A31,
        _xlfn._xlws.FILTER(
            INDIRECT("'"&amp;H$1&amp;"'!A2:G1000"), (INDIRECT("'"&amp;H$1&amp;"'!B2:B1000")=$B31) * (INDIRECT("'"&amp;H$1&amp;"'!C2:C1000")=$C31)
        ),7,
        FALSE
    )
)</f>
        <v>Sim</v>
      </c>
      <c r="I31" s="90" t="str">
        <f t="array" aca="1" ref="I31" ca="1">IF(
    VLOOKUP(
        $A31,
        _xlfn._xlws.FILTER(
            INDIRECT("'"&amp;I$1&amp;"'!A2:G1000"), (INDIRECT("'"&amp;I$1&amp;"'!B2:B1000")=$B31) * (INDIRECT("'"&amp;I$1&amp;"'!C2:C1000")=$C31)
        ),
        5,
        FALSE
    )="",
    "",
    VLOOKUP(
        $A31,
        _xlfn._xlws.FILTER(
            INDIRECT("'"&amp;I$1&amp;"'!A2:G1000"), (INDIRECT("'"&amp;I$1&amp;"'!B2:B1000")=$B31) * (INDIRECT("'"&amp;I$1&amp;"'!C2:C1000")=$C31)
        ),7,
        FALSE
    )
)</f>
        <v>Sim</v>
      </c>
      <c r="J31" s="90" t="str">
        <f t="array" aca="1" ref="J31" ca="1">IF(
    VLOOKUP(
        $A31,
        _xlfn._xlws.FILTER(
            INDIRECT("'"&amp;J$1&amp;"'!A2:G1000"), (INDIRECT("'"&amp;J$1&amp;"'!B2:B1000")=$B31) * (INDIRECT("'"&amp;J$1&amp;"'!C2:C1000")=$C31)
        ),
        5,
        FALSE
    )="",
    "",
    VLOOKUP(
        $A31,
        _xlfn._xlws.FILTER(
            INDIRECT("'"&amp;J$1&amp;"'!A2:G1000"), (INDIRECT("'"&amp;J$1&amp;"'!B2:B1000")=$B31) * (INDIRECT("'"&amp;J$1&amp;"'!C2:C1000")=$C31)
        ),7,
        FALSE
    )
)</f>
        <v>Sim</v>
      </c>
      <c r="K31" s="90" t="str">
        <f t="array" aca="1" ref="K31" ca="1">IF(
    VLOOKUP(
        $A31,
        _xlfn._xlws.FILTER(
            INDIRECT("'"&amp;K$1&amp;"'!A2:G1000"), (INDIRECT("'"&amp;K$1&amp;"'!B2:B1000")=$B31) * (INDIRECT("'"&amp;K$1&amp;"'!C2:C1000")=$C31)
        ),
        5,
        FALSE
    )="",
    "",
    VLOOKUP(
        $A31,
        _xlfn._xlws.FILTER(
            INDIRECT("'"&amp;K$1&amp;"'!A2:G1000"), (INDIRECT("'"&amp;K$1&amp;"'!B2:B1000")=$B31) * (INDIRECT("'"&amp;K$1&amp;"'!C2:C1000")=$C31)
        ),7,
        FALSE
    )
)</f>
        <v>Não</v>
      </c>
      <c r="L31" s="90" t="str">
        <f t="array" aca="1" ref="L31" ca="1">IF(
    VLOOKUP(
        $A31,
        _xlfn._xlws.FILTER(
            INDIRECT("'"&amp;L$1&amp;"'!A2:G1000"), (INDIRECT("'"&amp;L$1&amp;"'!B2:B1000")=$B31) * (INDIRECT("'"&amp;L$1&amp;"'!C2:C1000")=$C31)
        ),
        5,
        FALSE
    )="",
    "",
    VLOOKUP(
        $A31,
        _xlfn._xlws.FILTER(
            INDIRECT("'"&amp;L$1&amp;"'!A2:G1000"), (INDIRECT("'"&amp;L$1&amp;"'!B2:B1000")=$B31) * (INDIRECT("'"&amp;L$1&amp;"'!C2:C1000")=$C31)
        ),7,
        FALSE
    )
)</f>
        <v>Não</v>
      </c>
      <c r="M31" s="90" t="str">
        <f t="array" aca="1" ref="M31" ca="1">IF(
    VLOOKUP(
        $A31,
        _xlfn._xlws.FILTER(
            INDIRECT("'"&amp;M$1&amp;"'!A2:G1000"), (INDIRECT("'"&amp;M$1&amp;"'!B2:B1000")=$B31) * (INDIRECT("'"&amp;M$1&amp;"'!C2:C1000")=$C31)
        ),
        5,
        FALSE
    )="",
    "",
    VLOOKUP(
        $A31,
        _xlfn._xlws.FILTER(
            INDIRECT("'"&amp;M$1&amp;"'!A2:G1000"), (INDIRECT("'"&amp;M$1&amp;"'!B2:B1000")=$B31) * (INDIRECT("'"&amp;M$1&amp;"'!C2:C1000")=$C31)
        ),7,
        FALSE
    )
)</f>
        <v>Não</v>
      </c>
      <c r="N31" s="90" t="str">
        <f t="array" aca="1" ref="N31" ca="1">IF(
    VLOOKUP(
        $A31,
        _xlfn._xlws.FILTER(
            INDIRECT("'"&amp;N$1&amp;"'!A2:G1000"), (INDIRECT("'"&amp;N$1&amp;"'!B2:B1000")=$B31) * (INDIRECT("'"&amp;N$1&amp;"'!C2:C1000")=$C31)
        ),
        5,
        FALSE
    )="",
    "",
    VLOOKUP(
        $A31,
        _xlfn._xlws.FILTER(
            INDIRECT("'"&amp;N$1&amp;"'!A2:G1000"), (INDIRECT("'"&amp;N$1&amp;"'!B2:B1000")=$B31) * (INDIRECT("'"&amp;N$1&amp;"'!C2:C1000")=$C31)
        ),7,
        FALSE
    )
)</f>
        <v>Não</v>
      </c>
      <c r="O31" s="90" t="str">
        <f t="array" aca="1" ref="O31" ca="1">IF(
    VLOOKUP(
        $A31,
        _xlfn._xlws.FILTER(
            INDIRECT("'"&amp;O$1&amp;"'!A2:G1000"), (INDIRECT("'"&amp;O$1&amp;"'!B2:B1000")=$B31) * (INDIRECT("'"&amp;O$1&amp;"'!C2:C1000")=$C31)
        ),
        5,
        FALSE
    )="",
    "",
    VLOOKUP(
        $A31,
        _xlfn._xlws.FILTER(
            INDIRECT("'"&amp;O$1&amp;"'!A2:G1000"), (INDIRECT("'"&amp;O$1&amp;"'!B2:B1000")=$B31) * (INDIRECT("'"&amp;O$1&amp;"'!C2:C1000")=$C31)
        ),7,
        FALSE
    )
)</f>
        <v>Não</v>
      </c>
    </row>
    <row r="32" spans="1:15">
      <c r="A32" s="92" t="s">
        <v>37</v>
      </c>
      <c r="B32" s="112" t="s">
        <v>76</v>
      </c>
      <c r="C32" s="39">
        <v>1</v>
      </c>
      <c r="D32" s="90" t="str">
        <f t="array" aca="1" ref="D32" ca="1">IF(
    VLOOKUP(
        $A32,
        _xlfn._xlws.FILTER(
            INDIRECT("'"&amp;D$1&amp;"'!A2:G1000"), (INDIRECT("'"&amp;D$1&amp;"'!B2:B1000")=$B32) * (INDIRECT("'"&amp;D$1&amp;"'!C2:C1000")=$C32)
        ),
        5,
        FALSE
    )="",
    "",
    VLOOKUP(
        $A32,
        _xlfn._xlws.FILTER(
            INDIRECT("'"&amp;D$1&amp;"'!A2:G1000"), (INDIRECT("'"&amp;D$1&amp;"'!B2:B1000")=$B32) * (INDIRECT("'"&amp;D$1&amp;"'!C2:C1000")=$C32)
        ),7,
        FALSE
    )
)</f>
        <v>Sim</v>
      </c>
      <c r="E32" s="90" t="str">
        <f t="array" aca="1" ref="E32" ca="1">IF(
    VLOOKUP(
        $A32,
        _xlfn._xlws.FILTER(
            INDIRECT("'"&amp;E$1&amp;"'!A2:G1000"), (INDIRECT("'"&amp;E$1&amp;"'!B2:B1000")=$B32) * (INDIRECT("'"&amp;E$1&amp;"'!C2:C1000")=$C32)
        ),
        5,
        FALSE
    )="",
    "",
    VLOOKUP(
        $A32,
        _xlfn._xlws.FILTER(
            INDIRECT("'"&amp;E$1&amp;"'!A2:G1000"), (INDIRECT("'"&amp;E$1&amp;"'!B2:B1000")=$B32) * (INDIRECT("'"&amp;E$1&amp;"'!C2:C1000")=$C32)
        ),7,
        FALSE
    )
)</f>
        <v>Sim</v>
      </c>
      <c r="F32" s="90" t="str">
        <f t="array" aca="1" ref="F32" ca="1">IF(
    VLOOKUP(
        $A32,
        _xlfn._xlws.FILTER(
            INDIRECT("'"&amp;F$1&amp;"'!A2:G1000"), (INDIRECT("'"&amp;F$1&amp;"'!B2:B1000")=$B32) * (INDIRECT("'"&amp;F$1&amp;"'!C2:C1000")=$C32)
        ),
        5,
        FALSE
    )="",
    "",
    VLOOKUP(
        $A32,
        _xlfn._xlws.FILTER(
            INDIRECT("'"&amp;F$1&amp;"'!A2:G1000"), (INDIRECT("'"&amp;F$1&amp;"'!B2:B1000")=$B32) * (INDIRECT("'"&amp;F$1&amp;"'!C2:C1000")=$C32)
        ),7,
        FALSE
    )
)</f>
        <v>Sim</v>
      </c>
      <c r="G32" s="90" t="str">
        <f t="array" aca="1" ref="G32" ca="1">IF(
    VLOOKUP(
        $A32,
        _xlfn._xlws.FILTER(
            INDIRECT("'"&amp;G$1&amp;"'!A2:G1000"), (INDIRECT("'"&amp;G$1&amp;"'!B2:B1000")=$B32) * (INDIRECT("'"&amp;G$1&amp;"'!C2:C1000")=$C32)
        ),
        5,
        FALSE
    )="",
    "",
    VLOOKUP(
        $A32,
        _xlfn._xlws.FILTER(
            INDIRECT("'"&amp;G$1&amp;"'!A2:G1000"), (INDIRECT("'"&amp;G$1&amp;"'!B2:B1000")=$B32) * (INDIRECT("'"&amp;G$1&amp;"'!C2:C1000")=$C32)
        ),7,
        FALSE
    )
)</f>
        <v>Sim</v>
      </c>
      <c r="H32" s="90" t="str">
        <f t="array" aca="1" ref="H32" ca="1">IF(
    VLOOKUP(
        $A32,
        _xlfn._xlws.FILTER(
            INDIRECT("'"&amp;H$1&amp;"'!A2:G1000"), (INDIRECT("'"&amp;H$1&amp;"'!B2:B1000")=$B32) * (INDIRECT("'"&amp;H$1&amp;"'!C2:C1000")=$C32)
        ),
        5,
        FALSE
    )="",
    "",
    VLOOKUP(
        $A32,
        _xlfn._xlws.FILTER(
            INDIRECT("'"&amp;H$1&amp;"'!A2:G1000"), (INDIRECT("'"&amp;H$1&amp;"'!B2:B1000")=$B32) * (INDIRECT("'"&amp;H$1&amp;"'!C2:C1000")=$C32)
        ),7,
        FALSE
    )
)</f>
        <v>Sim</v>
      </c>
      <c r="I32" s="90" t="str">
        <f t="array" aca="1" ref="I32" ca="1">IF(
    VLOOKUP(
        $A32,
        _xlfn._xlws.FILTER(
            INDIRECT("'"&amp;I$1&amp;"'!A2:G1000"), (INDIRECT("'"&amp;I$1&amp;"'!B2:B1000")=$B32) * (INDIRECT("'"&amp;I$1&amp;"'!C2:C1000")=$C32)
        ),
        5,
        FALSE
    )="",
    "",
    VLOOKUP(
        $A32,
        _xlfn._xlws.FILTER(
            INDIRECT("'"&amp;I$1&amp;"'!A2:G1000"), (INDIRECT("'"&amp;I$1&amp;"'!B2:B1000")=$B32) * (INDIRECT("'"&amp;I$1&amp;"'!C2:C1000")=$C32)
        ),7,
        FALSE
    )
)</f>
        <v>Sim</v>
      </c>
      <c r="J32" s="90" t="str">
        <f t="array" aca="1" ref="J32" ca="1">IF(
    VLOOKUP(
        $A32,
        _xlfn._xlws.FILTER(
            INDIRECT("'"&amp;J$1&amp;"'!A2:G1000"), (INDIRECT("'"&amp;J$1&amp;"'!B2:B1000")=$B32) * (INDIRECT("'"&amp;J$1&amp;"'!C2:C1000")=$C32)
        ),
        5,
        FALSE
    )="",
    "",
    VLOOKUP(
        $A32,
        _xlfn._xlws.FILTER(
            INDIRECT("'"&amp;J$1&amp;"'!A2:G1000"), (INDIRECT("'"&amp;J$1&amp;"'!B2:B1000")=$B32) * (INDIRECT("'"&amp;J$1&amp;"'!C2:C1000")=$C32)
        ),7,
        FALSE
    )
)</f>
        <v>Sim</v>
      </c>
      <c r="K32" s="90" t="str">
        <f t="array" aca="1" ref="K32" ca="1">IF(
    VLOOKUP(
        $A32,
        _xlfn._xlws.FILTER(
            INDIRECT("'"&amp;K$1&amp;"'!A2:G1000"), (INDIRECT("'"&amp;K$1&amp;"'!B2:B1000")=$B32) * (INDIRECT("'"&amp;K$1&amp;"'!C2:C1000")=$C32)
        ),
        5,
        FALSE
    )="",
    "",
    VLOOKUP(
        $A32,
        _xlfn._xlws.FILTER(
            INDIRECT("'"&amp;K$1&amp;"'!A2:G1000"), (INDIRECT("'"&amp;K$1&amp;"'!B2:B1000")=$B32) * (INDIRECT("'"&amp;K$1&amp;"'!C2:C1000")=$C32)
        ),7,
        FALSE
    )
)</f>
        <v>Não</v>
      </c>
      <c r="L32" s="90" t="str">
        <f t="array" aca="1" ref="L32" ca="1">IF(
    VLOOKUP(
        $A32,
        _xlfn._xlws.FILTER(
            INDIRECT("'"&amp;L$1&amp;"'!A2:G1000"), (INDIRECT("'"&amp;L$1&amp;"'!B2:B1000")=$B32) * (INDIRECT("'"&amp;L$1&amp;"'!C2:C1000")=$C32)
        ),
        5,
        FALSE
    )="",
    "",
    VLOOKUP(
        $A32,
        _xlfn._xlws.FILTER(
            INDIRECT("'"&amp;L$1&amp;"'!A2:G1000"), (INDIRECT("'"&amp;L$1&amp;"'!B2:B1000")=$B32) * (INDIRECT("'"&amp;L$1&amp;"'!C2:C1000")=$C32)
        ),7,
        FALSE
    )
)</f>
        <v>Não</v>
      </c>
      <c r="M32" s="90" t="str">
        <f t="array" aca="1" ref="M32" ca="1">IF(
    VLOOKUP(
        $A32,
        _xlfn._xlws.FILTER(
            INDIRECT("'"&amp;M$1&amp;"'!A2:G1000"), (INDIRECT("'"&amp;M$1&amp;"'!B2:B1000")=$B32) * (INDIRECT("'"&amp;M$1&amp;"'!C2:C1000")=$C32)
        ),
        5,
        FALSE
    )="",
    "",
    VLOOKUP(
        $A32,
        _xlfn._xlws.FILTER(
            INDIRECT("'"&amp;M$1&amp;"'!A2:G1000"), (INDIRECT("'"&amp;M$1&amp;"'!B2:B1000")=$B32) * (INDIRECT("'"&amp;M$1&amp;"'!C2:C1000")=$C32)
        ),7,
        FALSE
    )
)</f>
        <v>Não</v>
      </c>
      <c r="N32" s="90" t="str">
        <f t="array" aca="1" ref="N32" ca="1">IF(
    VLOOKUP(
        $A32,
        _xlfn._xlws.FILTER(
            INDIRECT("'"&amp;N$1&amp;"'!A2:G1000"), (INDIRECT("'"&amp;N$1&amp;"'!B2:B1000")=$B32) * (INDIRECT("'"&amp;N$1&amp;"'!C2:C1000")=$C32)
        ),
        5,
        FALSE
    )="",
    "",
    VLOOKUP(
        $A32,
        _xlfn._xlws.FILTER(
            INDIRECT("'"&amp;N$1&amp;"'!A2:G1000"), (INDIRECT("'"&amp;N$1&amp;"'!B2:B1000")=$B32) * (INDIRECT("'"&amp;N$1&amp;"'!C2:C1000")=$C32)
        ),7,
        FALSE
    )
)</f>
        <v>Não</v>
      </c>
      <c r="O32" s="90" t="str">
        <f t="array" aca="1" ref="O32" ca="1">IF(
    VLOOKUP(
        $A32,
        _xlfn._xlws.FILTER(
            INDIRECT("'"&amp;O$1&amp;"'!A2:G1000"), (INDIRECT("'"&amp;O$1&amp;"'!B2:B1000")=$B32) * (INDIRECT("'"&amp;O$1&amp;"'!C2:C1000")=$C32)
        ),
        5,
        FALSE
    )="",
    "",
    VLOOKUP(
        $A32,
        _xlfn._xlws.FILTER(
            INDIRECT("'"&amp;O$1&amp;"'!A2:G1000"), (INDIRECT("'"&amp;O$1&amp;"'!B2:B1000")=$B32) * (INDIRECT("'"&amp;O$1&amp;"'!C2:C1000")=$C32)
        ),7,
        FALSE
    )
)</f>
        <v/>
      </c>
    </row>
    <row r="33" spans="1:15" ht="15.75" customHeight="1">
      <c r="A33" s="92" t="s">
        <v>37</v>
      </c>
      <c r="B33" s="112" t="s">
        <v>77</v>
      </c>
      <c r="C33" s="39">
        <v>1</v>
      </c>
      <c r="D33" s="90" t="str">
        <f t="array" aca="1" ref="D33" ca="1">IF(
    VLOOKUP(
        $A33,
        _xlfn._xlws.FILTER(
            INDIRECT("'"&amp;D$1&amp;"'!A2:G1000"), (INDIRECT("'"&amp;D$1&amp;"'!B2:B1000")=$B33) * (INDIRECT("'"&amp;D$1&amp;"'!C2:C1000")=$C33)
        ),
        5,
        FALSE
    )="",
    "",
    VLOOKUP(
        $A33,
        _xlfn._xlws.FILTER(
            INDIRECT("'"&amp;D$1&amp;"'!A2:G1000"), (INDIRECT("'"&amp;D$1&amp;"'!B2:B1000")=$B33) * (INDIRECT("'"&amp;D$1&amp;"'!C2:C1000")=$C33)
        ),7,
        FALSE
    )
)</f>
        <v>Sim</v>
      </c>
      <c r="E33" s="90" t="str">
        <f t="array" aca="1" ref="E33" ca="1">IF(
    VLOOKUP(
        $A33,
        _xlfn._xlws.FILTER(
            INDIRECT("'"&amp;E$1&amp;"'!A2:G1000"), (INDIRECT("'"&amp;E$1&amp;"'!B2:B1000")=$B33) * (INDIRECT("'"&amp;E$1&amp;"'!C2:C1000")=$C33)
        ),
        5,
        FALSE
    )="",
    "",
    VLOOKUP(
        $A33,
        _xlfn._xlws.FILTER(
            INDIRECT("'"&amp;E$1&amp;"'!A2:G1000"), (INDIRECT("'"&amp;E$1&amp;"'!B2:B1000")=$B33) * (INDIRECT("'"&amp;E$1&amp;"'!C2:C1000")=$C33)
        ),7,
        FALSE
    )
)</f>
        <v>Sim</v>
      </c>
      <c r="F33" s="90" t="str">
        <f t="array" aca="1" ref="F33" ca="1">IF(
    VLOOKUP(
        $A33,
        _xlfn._xlws.FILTER(
            INDIRECT("'"&amp;F$1&amp;"'!A2:G1000"), (INDIRECT("'"&amp;F$1&amp;"'!B2:B1000")=$B33) * (INDIRECT("'"&amp;F$1&amp;"'!C2:C1000")=$C33)
        ),
        5,
        FALSE
    )="",
    "",
    VLOOKUP(
        $A33,
        _xlfn._xlws.FILTER(
            INDIRECT("'"&amp;F$1&amp;"'!A2:G1000"), (INDIRECT("'"&amp;F$1&amp;"'!B2:B1000")=$B33) * (INDIRECT("'"&amp;F$1&amp;"'!C2:C1000")=$C33)
        ),7,
        FALSE
    )
)</f>
        <v>Sim</v>
      </c>
      <c r="G33" s="90" t="str">
        <f t="array" aca="1" ref="G33" ca="1">IF(
    VLOOKUP(
        $A33,
        _xlfn._xlws.FILTER(
            INDIRECT("'"&amp;G$1&amp;"'!A2:G1000"), (INDIRECT("'"&amp;G$1&amp;"'!B2:B1000")=$B33) * (INDIRECT("'"&amp;G$1&amp;"'!C2:C1000")=$C33)
        ),
        5,
        FALSE
    )="",
    "",
    VLOOKUP(
        $A33,
        _xlfn._xlws.FILTER(
            INDIRECT("'"&amp;G$1&amp;"'!A2:G1000"), (INDIRECT("'"&amp;G$1&amp;"'!B2:B1000")=$B33) * (INDIRECT("'"&amp;G$1&amp;"'!C2:C1000")=$C33)
        ),7,
        FALSE
    )
)</f>
        <v>Sim</v>
      </c>
      <c r="H33" s="90" t="str">
        <f t="array" aca="1" ref="H33" ca="1">IF(
    VLOOKUP(
        $A33,
        _xlfn._xlws.FILTER(
            INDIRECT("'"&amp;H$1&amp;"'!A2:G1000"), (INDIRECT("'"&amp;H$1&amp;"'!B2:B1000")=$B33) * (INDIRECT("'"&amp;H$1&amp;"'!C2:C1000")=$C33)
        ),
        5,
        FALSE
    )="",
    "",
    VLOOKUP(
        $A33,
        _xlfn._xlws.FILTER(
            INDIRECT("'"&amp;H$1&amp;"'!A2:G1000"), (INDIRECT("'"&amp;H$1&amp;"'!B2:B1000")=$B33) * (INDIRECT("'"&amp;H$1&amp;"'!C2:C1000")=$C33)
        ),7,
        FALSE
    )
)</f>
        <v>Sim</v>
      </c>
      <c r="I33" s="90" t="str">
        <f t="array" aca="1" ref="I33" ca="1">IF(
    VLOOKUP(
        $A33,
        _xlfn._xlws.FILTER(
            INDIRECT("'"&amp;I$1&amp;"'!A2:G1000"), (INDIRECT("'"&amp;I$1&amp;"'!B2:B1000")=$B33) * (INDIRECT("'"&amp;I$1&amp;"'!C2:C1000")=$C33)
        ),
        5,
        FALSE
    )="",
    "",
    VLOOKUP(
        $A33,
        _xlfn._xlws.FILTER(
            INDIRECT("'"&amp;I$1&amp;"'!A2:G1000"), (INDIRECT("'"&amp;I$1&amp;"'!B2:B1000")=$B33) * (INDIRECT("'"&amp;I$1&amp;"'!C2:C1000")=$C33)
        ),7,
        FALSE
    )
)</f>
        <v>Sim</v>
      </c>
      <c r="J33" s="90" t="str">
        <f t="array" aca="1" ref="J33" ca="1">IF(
    VLOOKUP(
        $A33,
        _xlfn._xlws.FILTER(
            INDIRECT("'"&amp;J$1&amp;"'!A2:G1000"), (INDIRECT("'"&amp;J$1&amp;"'!B2:B1000")=$B33) * (INDIRECT("'"&amp;J$1&amp;"'!C2:C1000")=$C33)
        ),
        5,
        FALSE
    )="",
    "",
    VLOOKUP(
        $A33,
        _xlfn._xlws.FILTER(
            INDIRECT("'"&amp;J$1&amp;"'!A2:G1000"), (INDIRECT("'"&amp;J$1&amp;"'!B2:B1000")=$B33) * (INDIRECT("'"&amp;J$1&amp;"'!C2:C1000")=$C33)
        ),7,
        FALSE
    )
)</f>
        <v>Sim</v>
      </c>
      <c r="K33" s="90" t="str">
        <f t="array" aca="1" ref="K33" ca="1">IF(
    VLOOKUP(
        $A33,
        _xlfn._xlws.FILTER(
            INDIRECT("'"&amp;K$1&amp;"'!A2:G1000"), (INDIRECT("'"&amp;K$1&amp;"'!B2:B1000")=$B33) * (INDIRECT("'"&amp;K$1&amp;"'!C2:C1000")=$C33)
        ),
        5,
        FALSE
    )="",
    "",
    VLOOKUP(
        $A33,
        _xlfn._xlws.FILTER(
            INDIRECT("'"&amp;K$1&amp;"'!A2:G1000"), (INDIRECT("'"&amp;K$1&amp;"'!B2:B1000")=$B33) * (INDIRECT("'"&amp;K$1&amp;"'!C2:C1000")=$C33)
        ),7,
        FALSE
    )
)</f>
        <v>Sim</v>
      </c>
      <c r="L33" s="90" t="str">
        <f t="array" aca="1" ref="L33" ca="1">IF(
    VLOOKUP(
        $A33,
        _xlfn._xlws.FILTER(
            INDIRECT("'"&amp;L$1&amp;"'!A2:G1000"), (INDIRECT("'"&amp;L$1&amp;"'!B2:B1000")=$B33) * (INDIRECT("'"&amp;L$1&amp;"'!C2:C1000")=$C33)
        ),
        5,
        FALSE
    )="",
    "",
    VLOOKUP(
        $A33,
        _xlfn._xlws.FILTER(
            INDIRECT("'"&amp;L$1&amp;"'!A2:G1000"), (INDIRECT("'"&amp;L$1&amp;"'!B2:B1000")=$B33) * (INDIRECT("'"&amp;L$1&amp;"'!C2:C1000")=$C33)
        ),7,
        FALSE
    )
)</f>
        <v>Não</v>
      </c>
      <c r="M33" s="90" t="str">
        <f t="array" aca="1" ref="M33" ca="1">IF(
    VLOOKUP(
        $A33,
        _xlfn._xlws.FILTER(
            INDIRECT("'"&amp;M$1&amp;"'!A2:G1000"), (INDIRECT("'"&amp;M$1&amp;"'!B2:B1000")=$B33) * (INDIRECT("'"&amp;M$1&amp;"'!C2:C1000")=$C33)
        ),
        5,
        FALSE
    )="",
    "",
    VLOOKUP(
        $A33,
        _xlfn._xlws.FILTER(
            INDIRECT("'"&amp;M$1&amp;"'!A2:G1000"), (INDIRECT("'"&amp;M$1&amp;"'!B2:B1000")=$B33) * (INDIRECT("'"&amp;M$1&amp;"'!C2:C1000")=$C33)
        ),7,
        FALSE
    )
)</f>
        <v>Não</v>
      </c>
      <c r="N33" s="90" t="str">
        <f t="array" aca="1" ref="N33" ca="1">IF(
    VLOOKUP(
        $A33,
        _xlfn._xlws.FILTER(
            INDIRECT("'"&amp;N$1&amp;"'!A2:G1000"), (INDIRECT("'"&amp;N$1&amp;"'!B2:B1000")=$B33) * (INDIRECT("'"&amp;N$1&amp;"'!C2:C1000")=$C33)
        ),
        5,
        FALSE
    )="",
    "",
    VLOOKUP(
        $A33,
        _xlfn._xlws.FILTER(
            INDIRECT("'"&amp;N$1&amp;"'!A2:G1000"), (INDIRECT("'"&amp;N$1&amp;"'!B2:B1000")=$B33) * (INDIRECT("'"&amp;N$1&amp;"'!C2:C1000")=$C33)
        ),7,
        FALSE
    )
)</f>
        <v>Não</v>
      </c>
      <c r="O33" s="90" t="str">
        <f t="array" aca="1" ref="O33" ca="1">IF(
    VLOOKUP(
        $A33,
        _xlfn._xlws.FILTER(
            INDIRECT("'"&amp;O$1&amp;"'!A2:G1000"), (INDIRECT("'"&amp;O$1&amp;"'!B2:B1000")=$B33) * (INDIRECT("'"&amp;O$1&amp;"'!C2:C1000")=$C33)
        ),
        5,
        FALSE
    )="",
    "",
    VLOOKUP(
        $A33,
        _xlfn._xlws.FILTER(
            INDIRECT("'"&amp;O$1&amp;"'!A2:G1000"), (INDIRECT("'"&amp;O$1&amp;"'!B2:B1000")=$B33) * (INDIRECT("'"&amp;O$1&amp;"'!C2:C1000")=$C33)
        ),7,
        FALSE
    )
)</f>
        <v/>
      </c>
    </row>
    <row r="34" spans="1:15" ht="15.75" customHeight="1">
      <c r="A34" s="92" t="s">
        <v>37</v>
      </c>
      <c r="B34" s="112" t="s">
        <v>78</v>
      </c>
      <c r="C34" s="39">
        <v>1</v>
      </c>
      <c r="D34" s="90" t="str">
        <f t="array" aca="1" ref="D34" ca="1">IF(
    VLOOKUP(
        $A34,
        _xlfn._xlws.FILTER(
            INDIRECT("'"&amp;D$1&amp;"'!A2:G1000"), (INDIRECT("'"&amp;D$1&amp;"'!B2:B1000")=$B34) * (INDIRECT("'"&amp;D$1&amp;"'!C2:C1000")=$C34)
        ),
        5,
        FALSE
    )="",
    "",
    VLOOKUP(
        $A34,
        _xlfn._xlws.FILTER(
            INDIRECT("'"&amp;D$1&amp;"'!A2:G1000"), (INDIRECT("'"&amp;D$1&amp;"'!B2:B1000")=$B34) * (INDIRECT("'"&amp;D$1&amp;"'!C2:C1000")=$C34)
        ),7,
        FALSE
    )
)</f>
        <v>Sim</v>
      </c>
      <c r="E34" s="90" t="str">
        <f t="array" aca="1" ref="E34" ca="1">IF(
    VLOOKUP(
        $A34,
        _xlfn._xlws.FILTER(
            INDIRECT("'"&amp;E$1&amp;"'!A2:G1000"), (INDIRECT("'"&amp;E$1&amp;"'!B2:B1000")=$B34) * (INDIRECT("'"&amp;E$1&amp;"'!C2:C1000")=$C34)
        ),
        5,
        FALSE
    )="",
    "",
    VLOOKUP(
        $A34,
        _xlfn._xlws.FILTER(
            INDIRECT("'"&amp;E$1&amp;"'!A2:G1000"), (INDIRECT("'"&amp;E$1&amp;"'!B2:B1000")=$B34) * (INDIRECT("'"&amp;E$1&amp;"'!C2:C1000")=$C34)
        ),7,
        FALSE
    )
)</f>
        <v>Sim</v>
      </c>
      <c r="F34" s="90" t="str">
        <f t="array" aca="1" ref="F34" ca="1">IF(
    VLOOKUP(
        $A34,
        _xlfn._xlws.FILTER(
            INDIRECT("'"&amp;F$1&amp;"'!A2:G1000"), (INDIRECT("'"&amp;F$1&amp;"'!B2:B1000")=$B34) * (INDIRECT("'"&amp;F$1&amp;"'!C2:C1000")=$C34)
        ),
        5,
        FALSE
    )="",
    "",
    VLOOKUP(
        $A34,
        _xlfn._xlws.FILTER(
            INDIRECT("'"&amp;F$1&amp;"'!A2:G1000"), (INDIRECT("'"&amp;F$1&amp;"'!B2:B1000")=$B34) * (INDIRECT("'"&amp;F$1&amp;"'!C2:C1000")=$C34)
        ),7,
        FALSE
    )
)</f>
        <v>Sim</v>
      </c>
      <c r="G34" s="90" t="str">
        <f t="array" aca="1" ref="G34" ca="1">IF(
    VLOOKUP(
        $A34,
        _xlfn._xlws.FILTER(
            INDIRECT("'"&amp;G$1&amp;"'!A2:G1000"), (INDIRECT("'"&amp;G$1&amp;"'!B2:B1000")=$B34) * (INDIRECT("'"&amp;G$1&amp;"'!C2:C1000")=$C34)
        ),
        5,
        FALSE
    )="",
    "",
    VLOOKUP(
        $A34,
        _xlfn._xlws.FILTER(
            INDIRECT("'"&amp;G$1&amp;"'!A2:G1000"), (INDIRECT("'"&amp;G$1&amp;"'!B2:B1000")=$B34) * (INDIRECT("'"&amp;G$1&amp;"'!C2:C1000")=$C34)
        ),7,
        FALSE
    )
)</f>
        <v>Sim</v>
      </c>
      <c r="H34" s="90" t="str">
        <f t="array" aca="1" ref="H34" ca="1">IF(
    VLOOKUP(
        $A34,
        _xlfn._xlws.FILTER(
            INDIRECT("'"&amp;H$1&amp;"'!A2:G1000"), (INDIRECT("'"&amp;H$1&amp;"'!B2:B1000")=$B34) * (INDIRECT("'"&amp;H$1&amp;"'!C2:C1000")=$C34)
        ),
        5,
        FALSE
    )="",
    "",
    VLOOKUP(
        $A34,
        _xlfn._xlws.FILTER(
            INDIRECT("'"&amp;H$1&amp;"'!A2:G1000"), (INDIRECT("'"&amp;H$1&amp;"'!B2:B1000")=$B34) * (INDIRECT("'"&amp;H$1&amp;"'!C2:C1000")=$C34)
        ),7,
        FALSE
    )
)</f>
        <v>Sim</v>
      </c>
      <c r="I34" s="90" t="str">
        <f t="array" aca="1" ref="I34" ca="1">IF(
    VLOOKUP(
        $A34,
        _xlfn._xlws.FILTER(
            INDIRECT("'"&amp;I$1&amp;"'!A2:G1000"), (INDIRECT("'"&amp;I$1&amp;"'!B2:B1000")=$B34) * (INDIRECT("'"&amp;I$1&amp;"'!C2:C1000")=$C34)
        ),
        5,
        FALSE
    )="",
    "",
    VLOOKUP(
        $A34,
        _xlfn._xlws.FILTER(
            INDIRECT("'"&amp;I$1&amp;"'!A2:G1000"), (INDIRECT("'"&amp;I$1&amp;"'!B2:B1000")=$B34) * (INDIRECT("'"&amp;I$1&amp;"'!C2:C1000")=$C34)
        ),7,
        FALSE
    )
)</f>
        <v>Sim</v>
      </c>
      <c r="J34" s="90" t="str">
        <f t="array" aca="1" ref="J34" ca="1">IF(
    VLOOKUP(
        $A34,
        _xlfn._xlws.FILTER(
            INDIRECT("'"&amp;J$1&amp;"'!A2:G1000"), (INDIRECT("'"&amp;J$1&amp;"'!B2:B1000")=$B34) * (INDIRECT("'"&amp;J$1&amp;"'!C2:C1000")=$C34)
        ),
        5,
        FALSE
    )="",
    "",
    VLOOKUP(
        $A34,
        _xlfn._xlws.FILTER(
            INDIRECT("'"&amp;J$1&amp;"'!A2:G1000"), (INDIRECT("'"&amp;J$1&amp;"'!B2:B1000")=$B34) * (INDIRECT("'"&amp;J$1&amp;"'!C2:C1000")=$C34)
        ),7,
        FALSE
    )
)</f>
        <v>Sim</v>
      </c>
      <c r="K34" s="90" t="str">
        <f t="array" aca="1" ref="K34" ca="1">IF(
    VLOOKUP(
        $A34,
        _xlfn._xlws.FILTER(
            INDIRECT("'"&amp;K$1&amp;"'!A2:G1000"), (INDIRECT("'"&amp;K$1&amp;"'!B2:B1000")=$B34) * (INDIRECT("'"&amp;K$1&amp;"'!C2:C1000")=$C34)
        ),
        5,
        FALSE
    )="",
    "",
    VLOOKUP(
        $A34,
        _xlfn._xlws.FILTER(
            INDIRECT("'"&amp;K$1&amp;"'!A2:G1000"), (INDIRECT("'"&amp;K$1&amp;"'!B2:B1000")=$B34) * (INDIRECT("'"&amp;K$1&amp;"'!C2:C1000")=$C34)
        ),7,
        FALSE
    )
)</f>
        <v>Não</v>
      </c>
      <c r="L34" s="90" t="str">
        <f t="array" aca="1" ref="L34" ca="1">IF(
    VLOOKUP(
        $A34,
        _xlfn._xlws.FILTER(
            INDIRECT("'"&amp;L$1&amp;"'!A2:G1000"), (INDIRECT("'"&amp;L$1&amp;"'!B2:B1000")=$B34) * (INDIRECT("'"&amp;L$1&amp;"'!C2:C1000")=$C34)
        ),
        5,
        FALSE
    )="",
    "",
    VLOOKUP(
        $A34,
        _xlfn._xlws.FILTER(
            INDIRECT("'"&amp;L$1&amp;"'!A2:G1000"), (INDIRECT("'"&amp;L$1&amp;"'!B2:B1000")=$B34) * (INDIRECT("'"&amp;L$1&amp;"'!C2:C1000")=$C34)
        ),7,
        FALSE
    )
)</f>
        <v>Não</v>
      </c>
      <c r="M34" s="90" t="str">
        <f t="array" aca="1" ref="M34" ca="1">IF(
    VLOOKUP(
        $A34,
        _xlfn._xlws.FILTER(
            INDIRECT("'"&amp;M$1&amp;"'!A2:G1000"), (INDIRECT("'"&amp;M$1&amp;"'!B2:B1000")=$B34) * (INDIRECT("'"&amp;M$1&amp;"'!C2:C1000")=$C34)
        ),
        5,
        FALSE
    )="",
    "",
    VLOOKUP(
        $A34,
        _xlfn._xlws.FILTER(
            INDIRECT("'"&amp;M$1&amp;"'!A2:G1000"), (INDIRECT("'"&amp;M$1&amp;"'!B2:B1000")=$B34) * (INDIRECT("'"&amp;M$1&amp;"'!C2:C1000")=$C34)
        ),7,
        FALSE
    )
)</f>
        <v>Não</v>
      </c>
      <c r="N34" s="90" t="str">
        <f t="array" aca="1" ref="N34" ca="1">IF(
    VLOOKUP(
        $A34,
        _xlfn._xlws.FILTER(
            INDIRECT("'"&amp;N$1&amp;"'!A2:G1000"), (INDIRECT("'"&amp;N$1&amp;"'!B2:B1000")=$B34) * (INDIRECT("'"&amp;N$1&amp;"'!C2:C1000")=$C34)
        ),
        5,
        FALSE
    )="",
    "",
    VLOOKUP(
        $A34,
        _xlfn._xlws.FILTER(
            INDIRECT("'"&amp;N$1&amp;"'!A2:G1000"), (INDIRECT("'"&amp;N$1&amp;"'!B2:B1000")=$B34) * (INDIRECT("'"&amp;N$1&amp;"'!C2:C1000")=$C34)
        ),7,
        FALSE
    )
)</f>
        <v>Não</v>
      </c>
      <c r="O34" s="90" t="str">
        <f t="array" aca="1" ref="O34" ca="1">IF(
    VLOOKUP(
        $A34,
        _xlfn._xlws.FILTER(
            INDIRECT("'"&amp;O$1&amp;"'!A2:G1000"), (INDIRECT("'"&amp;O$1&amp;"'!B2:B1000")=$B34) * (INDIRECT("'"&amp;O$1&amp;"'!C2:C1000")=$C34)
        ),
        5,
        FALSE
    )="",
    "",
    VLOOKUP(
        $A34,
        _xlfn._xlws.FILTER(
            INDIRECT("'"&amp;O$1&amp;"'!A2:G1000"), (INDIRECT("'"&amp;O$1&amp;"'!B2:B1000")=$B34) * (INDIRECT("'"&amp;O$1&amp;"'!C2:C1000")=$C34)
        ),7,
        FALSE
    )
)</f>
        <v/>
      </c>
    </row>
    <row r="35" spans="1:15">
      <c r="B35" s="35"/>
    </row>
    <row r="36" spans="1:15" ht="15.75" customHeight="1">
      <c r="A36" s="34" t="s">
        <v>25</v>
      </c>
      <c r="B36" s="34" t="s">
        <v>48</v>
      </c>
      <c r="C36" s="34" t="s">
        <v>49</v>
      </c>
      <c r="D36" s="36" t="s">
        <v>1</v>
      </c>
      <c r="E36" s="36" t="s">
        <v>2</v>
      </c>
      <c r="F36" s="36" t="s">
        <v>3</v>
      </c>
      <c r="G36" s="36" t="s">
        <v>4</v>
      </c>
      <c r="H36" s="36" t="s">
        <v>5</v>
      </c>
      <c r="I36" s="36" t="s">
        <v>6</v>
      </c>
      <c r="J36" s="36" t="s">
        <v>7</v>
      </c>
      <c r="K36" s="36" t="s">
        <v>8</v>
      </c>
      <c r="L36" s="36" t="s">
        <v>9</v>
      </c>
      <c r="M36" s="36" t="s">
        <v>10</v>
      </c>
      <c r="N36" s="36" t="s">
        <v>11</v>
      </c>
      <c r="O36" s="36" t="s">
        <v>12</v>
      </c>
    </row>
    <row r="37" spans="1:15">
      <c r="A37" s="94" t="s">
        <v>39</v>
      </c>
      <c r="B37" s="112" t="s">
        <v>79</v>
      </c>
      <c r="C37" s="39">
        <v>1</v>
      </c>
      <c r="D37" s="90" t="str">
        <f t="array" aca="1" ref="D37" ca="1">IF(
    VLOOKUP(
        $A37,
        _xlfn._xlws.FILTER(
            INDIRECT("'"&amp;D$1&amp;"'!A2:G1000"), (INDIRECT("'"&amp;D$1&amp;"'!B2:B1000")=$B37) * (INDIRECT("'"&amp;D$1&amp;"'!C2:C1000")=$C37)
        ),
        5,
        FALSE
    )="",
    "",
    VLOOKUP(
        $A37,
        _xlfn._xlws.FILTER(
            INDIRECT("'"&amp;D$1&amp;"'!A2:G1000"), (INDIRECT("'"&amp;D$1&amp;"'!B2:B1000")=$B37) * (INDIRECT("'"&amp;D$1&amp;"'!C2:C1000")=$C37)
        ),7,
        FALSE
    )
)</f>
        <v>Sim</v>
      </c>
      <c r="E37" s="90" t="str">
        <f t="array" aca="1" ref="E37" ca="1">IF(
    VLOOKUP(
        $A37,
        _xlfn._xlws.FILTER(
            INDIRECT("'"&amp;E$1&amp;"'!A2:G1000"), (INDIRECT("'"&amp;E$1&amp;"'!B2:B1000")=$B37) * (INDIRECT("'"&amp;E$1&amp;"'!C2:C1000")=$C37)
        ),
        5,
        FALSE
    )="",
    "",
    VLOOKUP(
        $A37,
        _xlfn._xlws.FILTER(
            INDIRECT("'"&amp;E$1&amp;"'!A2:G1000"), (INDIRECT("'"&amp;E$1&amp;"'!B2:B1000")=$B37) * (INDIRECT("'"&amp;E$1&amp;"'!C2:C1000")=$C37)
        ),7,
        FALSE
    )
)</f>
        <v>Sim</v>
      </c>
      <c r="F37" s="90" t="str">
        <f t="array" aca="1" ref="F37" ca="1">IF(
    VLOOKUP(
        $A37,
        _xlfn._xlws.FILTER(
            INDIRECT("'"&amp;F$1&amp;"'!A2:G1000"), (INDIRECT("'"&amp;F$1&amp;"'!B2:B1000")=$B37) * (INDIRECT("'"&amp;F$1&amp;"'!C2:C1000")=$C37)
        ),
        5,
        FALSE
    )="",
    "",
    VLOOKUP(
        $A37,
        _xlfn._xlws.FILTER(
            INDIRECT("'"&amp;F$1&amp;"'!A2:G1000"), (INDIRECT("'"&amp;F$1&amp;"'!B2:B1000")=$B37) * (INDIRECT("'"&amp;F$1&amp;"'!C2:C1000")=$C37)
        ),7,
        FALSE
    )
)</f>
        <v>Sim</v>
      </c>
      <c r="G37" s="90" t="str">
        <f t="array" aca="1" ref="G37" ca="1">IF(
    VLOOKUP(
        $A37,
        _xlfn._xlws.FILTER(
            INDIRECT("'"&amp;G$1&amp;"'!A2:G1000"), (INDIRECT("'"&amp;G$1&amp;"'!B2:B1000")=$B37) * (INDIRECT("'"&amp;G$1&amp;"'!C2:C1000")=$C37)
        ),
        5,
        FALSE
    )="",
    "",
    VLOOKUP(
        $A37,
        _xlfn._xlws.FILTER(
            INDIRECT("'"&amp;G$1&amp;"'!A2:G1000"), (INDIRECT("'"&amp;G$1&amp;"'!B2:B1000")=$B37) * (INDIRECT("'"&amp;G$1&amp;"'!C2:C1000")=$C37)
        ),7,
        FALSE
    )
)</f>
        <v>Sim</v>
      </c>
      <c r="H37" s="90" t="str">
        <f t="array" aca="1" ref="H37" ca="1">IF(
    VLOOKUP(
        $A37,
        _xlfn._xlws.FILTER(
            INDIRECT("'"&amp;H$1&amp;"'!A2:G1000"), (INDIRECT("'"&amp;H$1&amp;"'!B2:B1000")=$B37) * (INDIRECT("'"&amp;H$1&amp;"'!C2:C1000")=$C37)
        ),
        5,
        FALSE
    )="",
    "",
    VLOOKUP(
        $A37,
        _xlfn._xlws.FILTER(
            INDIRECT("'"&amp;H$1&amp;"'!A2:G1000"), (INDIRECT("'"&amp;H$1&amp;"'!B2:B1000")=$B37) * (INDIRECT("'"&amp;H$1&amp;"'!C2:C1000")=$C37)
        ),7,
        FALSE
    )
)</f>
        <v>Sim</v>
      </c>
      <c r="I37" s="90" t="str">
        <f t="array" aca="1" ref="I37" ca="1">IF(
    VLOOKUP(
        $A37,
        _xlfn._xlws.FILTER(
            INDIRECT("'"&amp;I$1&amp;"'!A2:G1000"), (INDIRECT("'"&amp;I$1&amp;"'!B2:B1000")=$B37) * (INDIRECT("'"&amp;I$1&amp;"'!C2:C1000")=$C37)
        ),
        5,
        FALSE
    )="",
    "",
    VLOOKUP(
        $A37,
        _xlfn._xlws.FILTER(
            INDIRECT("'"&amp;I$1&amp;"'!A2:G1000"), (INDIRECT("'"&amp;I$1&amp;"'!B2:B1000")=$B37) * (INDIRECT("'"&amp;I$1&amp;"'!C2:C1000")=$C37)
        ),7,
        FALSE
    )
)</f>
        <v>Sim</v>
      </c>
      <c r="J37" s="90" t="str">
        <f t="array" aca="1" ref="J37" ca="1">IF(
    VLOOKUP(
        $A37,
        _xlfn._xlws.FILTER(
            INDIRECT("'"&amp;J$1&amp;"'!A2:G1000"), (INDIRECT("'"&amp;J$1&amp;"'!B2:B1000")=$B37) * (INDIRECT("'"&amp;J$1&amp;"'!C2:C1000")=$C37)
        ),
        5,
        FALSE
    )="",
    "",
    VLOOKUP(
        $A37,
        _xlfn._xlws.FILTER(
            INDIRECT("'"&amp;J$1&amp;"'!A2:G1000"), (INDIRECT("'"&amp;J$1&amp;"'!B2:B1000")=$B37) * (INDIRECT("'"&amp;J$1&amp;"'!C2:C1000")=$C37)
        ),7,
        FALSE
    )
)</f>
        <v>Sim</v>
      </c>
      <c r="K37" s="90" t="str">
        <f t="array" aca="1" ref="K37" ca="1">IF(
    VLOOKUP(
        $A37,
        _xlfn._xlws.FILTER(
            INDIRECT("'"&amp;K$1&amp;"'!A2:G1000"), (INDIRECT("'"&amp;K$1&amp;"'!B2:B1000")=$B37) * (INDIRECT("'"&amp;K$1&amp;"'!C2:C1000")=$C37)
        ),
        5,
        FALSE
    )="",
    "",
    VLOOKUP(
        $A37,
        _xlfn._xlws.FILTER(
            INDIRECT("'"&amp;K$1&amp;"'!A2:G1000"), (INDIRECT("'"&amp;K$1&amp;"'!B2:B1000")=$B37) * (INDIRECT("'"&amp;K$1&amp;"'!C2:C1000")=$C37)
        ),7,
        FALSE
    )
)</f>
        <v>Não</v>
      </c>
      <c r="L37" s="90" t="str">
        <f t="array" aca="1" ref="L37" ca="1">IF(
    VLOOKUP(
        $A37,
        _xlfn._xlws.FILTER(
            INDIRECT("'"&amp;L$1&amp;"'!A2:G1000"), (INDIRECT("'"&amp;L$1&amp;"'!B2:B1000")=$B37) * (INDIRECT("'"&amp;L$1&amp;"'!C2:C1000")=$C37)
        ),
        5,
        FALSE
    )="",
    "",
    VLOOKUP(
        $A37,
        _xlfn._xlws.FILTER(
            INDIRECT("'"&amp;L$1&amp;"'!A2:G1000"), (INDIRECT("'"&amp;L$1&amp;"'!B2:B1000")=$B37) * (INDIRECT("'"&amp;L$1&amp;"'!C2:C1000")=$C37)
        ),7,
        FALSE
    )
)</f>
        <v>Não</v>
      </c>
      <c r="M37" s="90" t="str">
        <f t="array" aca="1" ref="M37" ca="1">IF(
    VLOOKUP(
        $A37,
        _xlfn._xlws.FILTER(
            INDIRECT("'"&amp;M$1&amp;"'!A2:G1000"), (INDIRECT("'"&amp;M$1&amp;"'!B2:B1000")=$B37) * (INDIRECT("'"&amp;M$1&amp;"'!C2:C1000")=$C37)
        ),
        5,
        FALSE
    )="",
    "",
    VLOOKUP(
        $A37,
        _xlfn._xlws.FILTER(
            INDIRECT("'"&amp;M$1&amp;"'!A2:G1000"), (INDIRECT("'"&amp;M$1&amp;"'!B2:B1000")=$B37) * (INDIRECT("'"&amp;M$1&amp;"'!C2:C1000")=$C37)
        ),7,
        FALSE
    )
)</f>
        <v>Não</v>
      </c>
      <c r="N37" s="90" t="str">
        <f t="array" aca="1" ref="N37" ca="1">IF(
    VLOOKUP(
        $A37,
        _xlfn._xlws.FILTER(
            INDIRECT("'"&amp;N$1&amp;"'!A2:G1000"), (INDIRECT("'"&amp;N$1&amp;"'!B2:B1000")=$B37) * (INDIRECT("'"&amp;N$1&amp;"'!C2:C1000")=$C37)
        ),
        5,
        FALSE
    )="",
    "",
    VLOOKUP(
        $A37,
        _xlfn._xlws.FILTER(
            INDIRECT("'"&amp;N$1&amp;"'!A2:G1000"), (INDIRECT("'"&amp;N$1&amp;"'!B2:B1000")=$B37) * (INDIRECT("'"&amp;N$1&amp;"'!C2:C1000")=$C37)
        ),7,
        FALSE
    )
)</f>
        <v>Não</v>
      </c>
      <c r="O37" s="90" t="str">
        <f t="array" aca="1" ref="O37" ca="1">IF(
    VLOOKUP(
        $A37,
        _xlfn._xlws.FILTER(
            INDIRECT("'"&amp;O$1&amp;"'!A2:G1000"), (INDIRECT("'"&amp;O$1&amp;"'!B2:B1000")=$B37) * (INDIRECT("'"&amp;O$1&amp;"'!C2:C1000")=$C37)
        ),
        5,
        FALSE
    )="",
    "",
    VLOOKUP(
        $A37,
        _xlfn._xlws.FILTER(
            INDIRECT("'"&amp;O$1&amp;"'!A2:G1000"), (INDIRECT("'"&amp;O$1&amp;"'!B2:B1000")=$B37) * (INDIRECT("'"&amp;O$1&amp;"'!C2:C1000")=$C37)
        ),7,
        FALSE
    )
)</f>
        <v>Não</v>
      </c>
    </row>
    <row r="38" spans="1:15">
      <c r="A38" s="94" t="s">
        <v>39</v>
      </c>
      <c r="B38" s="112" t="s">
        <v>80</v>
      </c>
      <c r="C38" s="39">
        <v>1</v>
      </c>
      <c r="D38" s="90" t="str">
        <f t="array" aca="1" ref="D38" ca="1">IF(
    VLOOKUP(
        $A38,
        _xlfn._xlws.FILTER(
            INDIRECT("'"&amp;D$1&amp;"'!A2:G1000"), (INDIRECT("'"&amp;D$1&amp;"'!B2:B1000")=$B38) * (INDIRECT("'"&amp;D$1&amp;"'!C2:C1000")=$C38)
        ),
        5,
        FALSE
    )="",
    "",
    VLOOKUP(
        $A38,
        _xlfn._xlws.FILTER(
            INDIRECT("'"&amp;D$1&amp;"'!A2:G1000"), (INDIRECT("'"&amp;D$1&amp;"'!B2:B1000")=$B38) * (INDIRECT("'"&amp;D$1&amp;"'!C2:C1000")=$C38)
        ),7,
        FALSE
    )
)</f>
        <v>Sim</v>
      </c>
      <c r="E38" s="90" t="str">
        <f t="array" aca="1" ref="E38" ca="1">IF(
    VLOOKUP(
        $A38,
        _xlfn._xlws.FILTER(
            INDIRECT("'"&amp;E$1&amp;"'!A2:G1000"), (INDIRECT("'"&amp;E$1&amp;"'!B2:B1000")=$B38) * (INDIRECT("'"&amp;E$1&amp;"'!C2:C1000")=$C38)
        ),
        5,
        FALSE
    )="",
    "",
    VLOOKUP(
        $A38,
        _xlfn._xlws.FILTER(
            INDIRECT("'"&amp;E$1&amp;"'!A2:G1000"), (INDIRECT("'"&amp;E$1&amp;"'!B2:B1000")=$B38) * (INDIRECT("'"&amp;E$1&amp;"'!C2:C1000")=$C38)
        ),7,
        FALSE
    )
)</f>
        <v>Sim</v>
      </c>
      <c r="F38" s="90" t="str">
        <f t="array" aca="1" ref="F38" ca="1">IF(
    VLOOKUP(
        $A38,
        _xlfn._xlws.FILTER(
            INDIRECT("'"&amp;F$1&amp;"'!A2:G1000"), (INDIRECT("'"&amp;F$1&amp;"'!B2:B1000")=$B38) * (INDIRECT("'"&amp;F$1&amp;"'!C2:C1000")=$C38)
        ),
        5,
        FALSE
    )="",
    "",
    VLOOKUP(
        $A38,
        _xlfn._xlws.FILTER(
            INDIRECT("'"&amp;F$1&amp;"'!A2:G1000"), (INDIRECT("'"&amp;F$1&amp;"'!B2:B1000")=$B38) * (INDIRECT("'"&amp;F$1&amp;"'!C2:C1000")=$C38)
        ),7,
        FALSE
    )
)</f>
        <v>Sim</v>
      </c>
      <c r="G38" s="90" t="str">
        <f t="array" aca="1" ref="G38" ca="1">IF(
    VLOOKUP(
        $A38,
        _xlfn._xlws.FILTER(
            INDIRECT("'"&amp;G$1&amp;"'!A2:G1000"), (INDIRECT("'"&amp;G$1&amp;"'!B2:B1000")=$B38) * (INDIRECT("'"&amp;G$1&amp;"'!C2:C1000")=$C38)
        ),
        5,
        FALSE
    )="",
    "",
    VLOOKUP(
        $A38,
        _xlfn._xlws.FILTER(
            INDIRECT("'"&amp;G$1&amp;"'!A2:G1000"), (INDIRECT("'"&amp;G$1&amp;"'!B2:B1000")=$B38) * (INDIRECT("'"&amp;G$1&amp;"'!C2:C1000")=$C38)
        ),7,
        FALSE
    )
)</f>
        <v>Sim</v>
      </c>
      <c r="H38" s="90" t="str">
        <f t="array" aca="1" ref="H38" ca="1">IF(
    VLOOKUP(
        $A38,
        _xlfn._xlws.FILTER(
            INDIRECT("'"&amp;H$1&amp;"'!A2:G1000"), (INDIRECT("'"&amp;H$1&amp;"'!B2:B1000")=$B38) * (INDIRECT("'"&amp;H$1&amp;"'!C2:C1000")=$C38)
        ),
        5,
        FALSE
    )="",
    "",
    VLOOKUP(
        $A38,
        _xlfn._xlws.FILTER(
            INDIRECT("'"&amp;H$1&amp;"'!A2:G1000"), (INDIRECT("'"&amp;H$1&amp;"'!B2:B1000")=$B38) * (INDIRECT("'"&amp;H$1&amp;"'!C2:C1000")=$C38)
        ),7,
        FALSE
    )
)</f>
        <v>Sim</v>
      </c>
      <c r="I38" s="90" t="str">
        <f t="array" aca="1" ref="I38" ca="1">IF(
    VLOOKUP(
        $A38,
        _xlfn._xlws.FILTER(
            INDIRECT("'"&amp;I$1&amp;"'!A2:G1000"), (INDIRECT("'"&amp;I$1&amp;"'!B2:B1000")=$B38) * (INDIRECT("'"&amp;I$1&amp;"'!C2:C1000")=$C38)
        ),
        5,
        FALSE
    )="",
    "",
    VLOOKUP(
        $A38,
        _xlfn._xlws.FILTER(
            INDIRECT("'"&amp;I$1&amp;"'!A2:G1000"), (INDIRECT("'"&amp;I$1&amp;"'!B2:B1000")=$B38) * (INDIRECT("'"&amp;I$1&amp;"'!C2:C1000")=$C38)
        ),7,
        FALSE
    )
)</f>
        <v>Sim</v>
      </c>
      <c r="J38" s="90" t="str">
        <f t="array" aca="1" ref="J38" ca="1">IF(
    VLOOKUP(
        $A38,
        _xlfn._xlws.FILTER(
            INDIRECT("'"&amp;J$1&amp;"'!A2:G1000"), (INDIRECT("'"&amp;J$1&amp;"'!B2:B1000")=$B38) * (INDIRECT("'"&amp;J$1&amp;"'!C2:C1000")=$C38)
        ),
        5,
        FALSE
    )="",
    "",
    VLOOKUP(
        $A38,
        _xlfn._xlws.FILTER(
            INDIRECT("'"&amp;J$1&amp;"'!A2:G1000"), (INDIRECT("'"&amp;J$1&amp;"'!B2:B1000")=$B38) * (INDIRECT("'"&amp;J$1&amp;"'!C2:C1000")=$C38)
        ),7,
        FALSE
    )
)</f>
        <v>Sim</v>
      </c>
      <c r="K38" s="90" t="str">
        <f t="array" aca="1" ref="K38" ca="1">IF(
    VLOOKUP(
        $A38,
        _xlfn._xlws.FILTER(
            INDIRECT("'"&amp;K$1&amp;"'!A2:G1000"), (INDIRECT("'"&amp;K$1&amp;"'!B2:B1000")=$B38) * (INDIRECT("'"&amp;K$1&amp;"'!C2:C1000")=$C38)
        ),
        5,
        FALSE
    )="",
    "",
    VLOOKUP(
        $A38,
        _xlfn._xlws.FILTER(
            INDIRECT("'"&amp;K$1&amp;"'!A2:G1000"), (INDIRECT("'"&amp;K$1&amp;"'!B2:B1000")=$B38) * (INDIRECT("'"&amp;K$1&amp;"'!C2:C1000")=$C38)
        ),7,
        FALSE
    )
)</f>
        <v>Não</v>
      </c>
      <c r="L38" s="90" t="str">
        <f t="array" aca="1" ref="L38" ca="1">IF(
    VLOOKUP(
        $A38,
        _xlfn._xlws.FILTER(
            INDIRECT("'"&amp;L$1&amp;"'!A2:G1000"), (INDIRECT("'"&amp;L$1&amp;"'!B2:B1000")=$B38) * (INDIRECT("'"&amp;L$1&amp;"'!C2:C1000")=$C38)
        ),
        5,
        FALSE
    )="",
    "",
    VLOOKUP(
        $A38,
        _xlfn._xlws.FILTER(
            INDIRECT("'"&amp;L$1&amp;"'!A2:G1000"), (INDIRECT("'"&amp;L$1&amp;"'!B2:B1000")=$B38) * (INDIRECT("'"&amp;L$1&amp;"'!C2:C1000")=$C38)
        ),7,
        FALSE
    )
)</f>
        <v>Não</v>
      </c>
      <c r="M38" s="90" t="str">
        <f t="array" aca="1" ref="M38" ca="1">IF(
    VLOOKUP(
        $A38,
        _xlfn._xlws.FILTER(
            INDIRECT("'"&amp;M$1&amp;"'!A2:G1000"), (INDIRECT("'"&amp;M$1&amp;"'!B2:B1000")=$B38) * (INDIRECT("'"&amp;M$1&amp;"'!C2:C1000")=$C38)
        ),
        5,
        FALSE
    )="",
    "",
    VLOOKUP(
        $A38,
        _xlfn._xlws.FILTER(
            INDIRECT("'"&amp;M$1&amp;"'!A2:G1000"), (INDIRECT("'"&amp;M$1&amp;"'!B2:B1000")=$B38) * (INDIRECT("'"&amp;M$1&amp;"'!C2:C1000")=$C38)
        ),7,
        FALSE
    )
)</f>
        <v>Não</v>
      </c>
      <c r="N38" s="90" t="str">
        <f t="array" aca="1" ref="N38" ca="1">IF(
    VLOOKUP(
        $A38,
        _xlfn._xlws.FILTER(
            INDIRECT("'"&amp;N$1&amp;"'!A2:G1000"), (INDIRECT("'"&amp;N$1&amp;"'!B2:B1000")=$B38) * (INDIRECT("'"&amp;N$1&amp;"'!C2:C1000")=$C38)
        ),
        5,
        FALSE
    )="",
    "",
    VLOOKUP(
        $A38,
        _xlfn._xlws.FILTER(
            INDIRECT("'"&amp;N$1&amp;"'!A2:G1000"), (INDIRECT("'"&amp;N$1&amp;"'!B2:B1000")=$B38) * (INDIRECT("'"&amp;N$1&amp;"'!C2:C1000")=$C38)
        ),7,
        FALSE
    )
)</f>
        <v>Não</v>
      </c>
      <c r="O38" s="90" t="str">
        <f t="array" aca="1" ref="O38" ca="1">IF(
    VLOOKUP(
        $A38,
        _xlfn._xlws.FILTER(
            INDIRECT("'"&amp;O$1&amp;"'!A2:G1000"), (INDIRECT("'"&amp;O$1&amp;"'!B2:B1000")=$B38) * (INDIRECT("'"&amp;O$1&amp;"'!C2:C1000")=$C38)
        ),
        5,
        FALSE
    )="",
    "",
    VLOOKUP(
        $A38,
        _xlfn._xlws.FILTER(
            INDIRECT("'"&amp;O$1&amp;"'!A2:G1000"), (INDIRECT("'"&amp;O$1&amp;"'!B2:B1000")=$B38) * (INDIRECT("'"&amp;O$1&amp;"'!C2:C1000")=$C38)
        ),7,
        FALSE
    )
)</f>
        <v>Não</v>
      </c>
    </row>
    <row r="39" spans="1:15">
      <c r="A39" s="94" t="s">
        <v>39</v>
      </c>
      <c r="B39" s="112" t="s">
        <v>81</v>
      </c>
      <c r="C39" s="39">
        <v>1</v>
      </c>
      <c r="D39" s="90" t="str">
        <f t="array" aca="1" ref="D39" ca="1">IF(
    VLOOKUP(
        $A39,
        _xlfn._xlws.FILTER(
            INDIRECT("'"&amp;D$1&amp;"'!A2:G1000"), (INDIRECT("'"&amp;D$1&amp;"'!B2:B1000")=$B39) * (INDIRECT("'"&amp;D$1&amp;"'!C2:C1000")=$C39)
        ),
        5,
        FALSE
    )="",
    "",
    VLOOKUP(
        $A39,
        _xlfn._xlws.FILTER(
            INDIRECT("'"&amp;D$1&amp;"'!A2:G1000"), (INDIRECT("'"&amp;D$1&amp;"'!B2:B1000")=$B39) * (INDIRECT("'"&amp;D$1&amp;"'!C2:C1000")=$C39)
        ),7,
        FALSE
    )
)</f>
        <v>Sim</v>
      </c>
      <c r="E39" s="90" t="str">
        <f t="array" aca="1" ref="E39" ca="1">IF(
    VLOOKUP(
        $A39,
        _xlfn._xlws.FILTER(
            INDIRECT("'"&amp;E$1&amp;"'!A2:G1000"), (INDIRECT("'"&amp;E$1&amp;"'!B2:B1000")=$B39) * (INDIRECT("'"&amp;E$1&amp;"'!C2:C1000")=$C39)
        ),
        5,
        FALSE
    )="",
    "",
    VLOOKUP(
        $A39,
        _xlfn._xlws.FILTER(
            INDIRECT("'"&amp;E$1&amp;"'!A2:G1000"), (INDIRECT("'"&amp;E$1&amp;"'!B2:B1000")=$B39) * (INDIRECT("'"&amp;E$1&amp;"'!C2:C1000")=$C39)
        ),7,
        FALSE
    )
)</f>
        <v>Sim</v>
      </c>
      <c r="F39" s="90" t="str">
        <f t="array" aca="1" ref="F39" ca="1">IF(
    VLOOKUP(
        $A39,
        _xlfn._xlws.FILTER(
            INDIRECT("'"&amp;F$1&amp;"'!A2:G1000"), (INDIRECT("'"&amp;F$1&amp;"'!B2:B1000")=$B39) * (INDIRECT("'"&amp;F$1&amp;"'!C2:C1000")=$C39)
        ),
        5,
        FALSE
    )="",
    "",
    VLOOKUP(
        $A39,
        _xlfn._xlws.FILTER(
            INDIRECT("'"&amp;F$1&amp;"'!A2:G1000"), (INDIRECT("'"&amp;F$1&amp;"'!B2:B1000")=$B39) * (INDIRECT("'"&amp;F$1&amp;"'!C2:C1000")=$C39)
        ),7,
        FALSE
    )
)</f>
        <v>Sim</v>
      </c>
      <c r="G39" s="90" t="str">
        <f t="array" aca="1" ref="G39" ca="1">IF(
    VLOOKUP(
        $A39,
        _xlfn._xlws.FILTER(
            INDIRECT("'"&amp;G$1&amp;"'!A2:G1000"), (INDIRECT("'"&amp;G$1&amp;"'!B2:B1000")=$B39) * (INDIRECT("'"&amp;G$1&amp;"'!C2:C1000")=$C39)
        ),
        5,
        FALSE
    )="",
    "",
    VLOOKUP(
        $A39,
        _xlfn._xlws.FILTER(
            INDIRECT("'"&amp;G$1&amp;"'!A2:G1000"), (INDIRECT("'"&amp;G$1&amp;"'!B2:B1000")=$B39) * (INDIRECT("'"&amp;G$1&amp;"'!C2:C1000")=$C39)
        ),7,
        FALSE
    )
)</f>
        <v>Sim</v>
      </c>
      <c r="H39" s="90" t="str">
        <f t="array" aca="1" ref="H39" ca="1">IF(
    VLOOKUP(
        $A39,
        _xlfn._xlws.FILTER(
            INDIRECT("'"&amp;H$1&amp;"'!A2:G1000"), (INDIRECT("'"&amp;H$1&amp;"'!B2:B1000")=$B39) * (INDIRECT("'"&amp;H$1&amp;"'!C2:C1000")=$C39)
        ),
        5,
        FALSE
    )="",
    "",
    VLOOKUP(
        $A39,
        _xlfn._xlws.FILTER(
            INDIRECT("'"&amp;H$1&amp;"'!A2:G1000"), (INDIRECT("'"&amp;H$1&amp;"'!B2:B1000")=$B39) * (INDIRECT("'"&amp;H$1&amp;"'!C2:C1000")=$C39)
        ),7,
        FALSE
    )
)</f>
        <v>Sim</v>
      </c>
      <c r="I39" s="90" t="str">
        <f t="array" aca="1" ref="I39" ca="1">IF(
    VLOOKUP(
        $A39,
        _xlfn._xlws.FILTER(
            INDIRECT("'"&amp;I$1&amp;"'!A2:G1000"), (INDIRECT("'"&amp;I$1&amp;"'!B2:B1000")=$B39) * (INDIRECT("'"&amp;I$1&amp;"'!C2:C1000")=$C39)
        ),
        5,
        FALSE
    )="",
    "",
    VLOOKUP(
        $A39,
        _xlfn._xlws.FILTER(
            INDIRECT("'"&amp;I$1&amp;"'!A2:G1000"), (INDIRECT("'"&amp;I$1&amp;"'!B2:B1000")=$B39) * (INDIRECT("'"&amp;I$1&amp;"'!C2:C1000")=$C39)
        ),7,
        FALSE
    )
)</f>
        <v>Sim</v>
      </c>
      <c r="J39" s="90" t="str">
        <f t="array" aca="1" ref="J39" ca="1">IF(
    VLOOKUP(
        $A39,
        _xlfn._xlws.FILTER(
            INDIRECT("'"&amp;J$1&amp;"'!A2:G1000"), (INDIRECT("'"&amp;J$1&amp;"'!B2:B1000")=$B39) * (INDIRECT("'"&amp;J$1&amp;"'!C2:C1000")=$C39)
        ),
        5,
        FALSE
    )="",
    "",
    VLOOKUP(
        $A39,
        _xlfn._xlws.FILTER(
            INDIRECT("'"&amp;J$1&amp;"'!A2:G1000"), (INDIRECT("'"&amp;J$1&amp;"'!B2:B1000")=$B39) * (INDIRECT("'"&amp;J$1&amp;"'!C2:C1000")=$C39)
        ),7,
        FALSE
    )
)</f>
        <v>Sim</v>
      </c>
      <c r="K39" s="90" t="str">
        <f t="array" aca="1" ref="K39" ca="1">IF(
    VLOOKUP(
        $A39,
        _xlfn._xlws.FILTER(
            INDIRECT("'"&amp;K$1&amp;"'!A2:G1000"), (INDIRECT("'"&amp;K$1&amp;"'!B2:B1000")=$B39) * (INDIRECT("'"&amp;K$1&amp;"'!C2:C1000")=$C39)
        ),
        5,
        FALSE
    )="",
    "",
    VLOOKUP(
        $A39,
        _xlfn._xlws.FILTER(
            INDIRECT("'"&amp;K$1&amp;"'!A2:G1000"), (INDIRECT("'"&amp;K$1&amp;"'!B2:B1000")=$B39) * (INDIRECT("'"&amp;K$1&amp;"'!C2:C1000")=$C39)
        ),7,
        FALSE
    )
)</f>
        <v>Não</v>
      </c>
      <c r="L39" s="90" t="str">
        <f t="array" aca="1" ref="L39" ca="1">IF(
    VLOOKUP(
        $A39,
        _xlfn._xlws.FILTER(
            INDIRECT("'"&amp;L$1&amp;"'!A2:G1000"), (INDIRECT("'"&amp;L$1&amp;"'!B2:B1000")=$B39) * (INDIRECT("'"&amp;L$1&amp;"'!C2:C1000")=$C39)
        ),
        5,
        FALSE
    )="",
    "",
    VLOOKUP(
        $A39,
        _xlfn._xlws.FILTER(
            INDIRECT("'"&amp;L$1&amp;"'!A2:G1000"), (INDIRECT("'"&amp;L$1&amp;"'!B2:B1000")=$B39) * (INDIRECT("'"&amp;L$1&amp;"'!C2:C1000")=$C39)
        ),7,
        FALSE
    )
)</f>
        <v>Não</v>
      </c>
      <c r="M39" s="90" t="str">
        <f t="array" aca="1" ref="M39" ca="1">IF(
    VLOOKUP(
        $A39,
        _xlfn._xlws.FILTER(
            INDIRECT("'"&amp;M$1&amp;"'!A2:G1000"), (INDIRECT("'"&amp;M$1&amp;"'!B2:B1000")=$B39) * (INDIRECT("'"&amp;M$1&amp;"'!C2:C1000")=$C39)
        ),
        5,
        FALSE
    )="",
    "",
    VLOOKUP(
        $A39,
        _xlfn._xlws.FILTER(
            INDIRECT("'"&amp;M$1&amp;"'!A2:G1000"), (INDIRECT("'"&amp;M$1&amp;"'!B2:B1000")=$B39) * (INDIRECT("'"&amp;M$1&amp;"'!C2:C1000")=$C39)
        ),7,
        FALSE
    )
)</f>
        <v>Não</v>
      </c>
      <c r="N39" s="90" t="str">
        <f t="array" aca="1" ref="N39" ca="1">IF(
    VLOOKUP(
        $A39,
        _xlfn._xlws.FILTER(
            INDIRECT("'"&amp;N$1&amp;"'!A2:G1000"), (INDIRECT("'"&amp;N$1&amp;"'!B2:B1000")=$B39) * (INDIRECT("'"&amp;N$1&amp;"'!C2:C1000")=$C39)
        ),
        5,
        FALSE
    )="",
    "",
    VLOOKUP(
        $A39,
        _xlfn._xlws.FILTER(
            INDIRECT("'"&amp;N$1&amp;"'!A2:G1000"), (INDIRECT("'"&amp;N$1&amp;"'!B2:B1000")=$B39) * (INDIRECT("'"&amp;N$1&amp;"'!C2:C1000")=$C39)
        ),7,
        FALSE
    )
)</f>
        <v>Não</v>
      </c>
      <c r="O39" s="90" t="str">
        <f t="array" aca="1" ref="O39" ca="1">IF(
    VLOOKUP(
        $A39,
        _xlfn._xlws.FILTER(
            INDIRECT("'"&amp;O$1&amp;"'!A2:G1000"), (INDIRECT("'"&amp;O$1&amp;"'!B2:B1000")=$B39) * (INDIRECT("'"&amp;O$1&amp;"'!C2:C1000")=$C39)
        ),
        5,
        FALSE
    )="",
    "",
    VLOOKUP(
        $A39,
        _xlfn._xlws.FILTER(
            INDIRECT("'"&amp;O$1&amp;"'!A2:G1000"), (INDIRECT("'"&amp;O$1&amp;"'!B2:B1000")=$B39) * (INDIRECT("'"&amp;O$1&amp;"'!C2:C1000")=$C39)
        ),7,
        FALSE
    )
)</f>
        <v>Não</v>
      </c>
    </row>
    <row r="40" spans="1:15">
      <c r="A40" s="94" t="s">
        <v>39</v>
      </c>
      <c r="B40" s="112" t="s">
        <v>82</v>
      </c>
      <c r="C40" s="39">
        <v>1</v>
      </c>
      <c r="D40" s="90" t="str">
        <f t="array" aca="1" ref="D40" ca="1">IF(
    VLOOKUP(
        $A40,
        _xlfn._xlws.FILTER(
            INDIRECT("'"&amp;D$1&amp;"'!A2:G1000"), (INDIRECT("'"&amp;D$1&amp;"'!B2:B1000")=$B40) * (INDIRECT("'"&amp;D$1&amp;"'!C2:C1000")=$C40)
        ),
        5,
        FALSE
    )="",
    "",
    VLOOKUP(
        $A40,
        _xlfn._xlws.FILTER(
            INDIRECT("'"&amp;D$1&amp;"'!A2:G1000"), (INDIRECT("'"&amp;D$1&amp;"'!B2:B1000")=$B40) * (INDIRECT("'"&amp;D$1&amp;"'!C2:C1000")=$C40)
        ),7,
        FALSE
    )
)</f>
        <v>Sim</v>
      </c>
      <c r="E40" s="90" t="str">
        <f t="array" aca="1" ref="E40" ca="1">IF(
    VLOOKUP(
        $A40,
        _xlfn._xlws.FILTER(
            INDIRECT("'"&amp;E$1&amp;"'!A2:G1000"), (INDIRECT("'"&amp;E$1&amp;"'!B2:B1000")=$B40) * (INDIRECT("'"&amp;E$1&amp;"'!C2:C1000")=$C40)
        ),
        5,
        FALSE
    )="",
    "",
    VLOOKUP(
        $A40,
        _xlfn._xlws.FILTER(
            INDIRECT("'"&amp;E$1&amp;"'!A2:G1000"), (INDIRECT("'"&amp;E$1&amp;"'!B2:B1000")=$B40) * (INDIRECT("'"&amp;E$1&amp;"'!C2:C1000")=$C40)
        ),7,
        FALSE
    )
)</f>
        <v>Sim</v>
      </c>
      <c r="F40" s="90" t="str">
        <f t="array" aca="1" ref="F40" ca="1">IF(
    VLOOKUP(
        $A40,
        _xlfn._xlws.FILTER(
            INDIRECT("'"&amp;F$1&amp;"'!A2:G1000"), (INDIRECT("'"&amp;F$1&amp;"'!B2:B1000")=$B40) * (INDIRECT("'"&amp;F$1&amp;"'!C2:C1000")=$C40)
        ),
        5,
        FALSE
    )="",
    "",
    VLOOKUP(
        $A40,
        _xlfn._xlws.FILTER(
            INDIRECT("'"&amp;F$1&amp;"'!A2:G1000"), (INDIRECT("'"&amp;F$1&amp;"'!B2:B1000")=$B40) * (INDIRECT("'"&amp;F$1&amp;"'!C2:C1000")=$C40)
        ),7,
        FALSE
    )
)</f>
        <v>Sim</v>
      </c>
      <c r="G40" s="90" t="str">
        <f t="array" aca="1" ref="G40" ca="1">IF(
    VLOOKUP(
        $A40,
        _xlfn._xlws.FILTER(
            INDIRECT("'"&amp;G$1&amp;"'!A2:G1000"), (INDIRECT("'"&amp;G$1&amp;"'!B2:B1000")=$B40) * (INDIRECT("'"&amp;G$1&amp;"'!C2:C1000")=$C40)
        ),
        5,
        FALSE
    )="",
    "",
    VLOOKUP(
        $A40,
        _xlfn._xlws.FILTER(
            INDIRECT("'"&amp;G$1&amp;"'!A2:G1000"), (INDIRECT("'"&amp;G$1&amp;"'!B2:B1000")=$B40) * (INDIRECT("'"&amp;G$1&amp;"'!C2:C1000")=$C40)
        ),7,
        FALSE
    )
)</f>
        <v>Sim</v>
      </c>
      <c r="H40" s="90" t="str">
        <f t="array" aca="1" ref="H40" ca="1">IF(
    VLOOKUP(
        $A40,
        _xlfn._xlws.FILTER(
            INDIRECT("'"&amp;H$1&amp;"'!A2:G1000"), (INDIRECT("'"&amp;H$1&amp;"'!B2:B1000")=$B40) * (INDIRECT("'"&amp;H$1&amp;"'!C2:C1000")=$C40)
        ),
        5,
        FALSE
    )="",
    "",
    VLOOKUP(
        $A40,
        _xlfn._xlws.FILTER(
            INDIRECT("'"&amp;H$1&amp;"'!A2:G1000"), (INDIRECT("'"&amp;H$1&amp;"'!B2:B1000")=$B40) * (INDIRECT("'"&amp;H$1&amp;"'!C2:C1000")=$C40)
        ),7,
        FALSE
    )
)</f>
        <v>Sim</v>
      </c>
      <c r="I40" s="90" t="str">
        <f t="array" aca="1" ref="I40" ca="1">IF(
    VLOOKUP(
        $A40,
        _xlfn._xlws.FILTER(
            INDIRECT("'"&amp;I$1&amp;"'!A2:G1000"), (INDIRECT("'"&amp;I$1&amp;"'!B2:B1000")=$B40) * (INDIRECT("'"&amp;I$1&amp;"'!C2:C1000")=$C40)
        ),
        5,
        FALSE
    )="",
    "",
    VLOOKUP(
        $A40,
        _xlfn._xlws.FILTER(
            INDIRECT("'"&amp;I$1&amp;"'!A2:G1000"), (INDIRECT("'"&amp;I$1&amp;"'!B2:B1000")=$B40) * (INDIRECT("'"&amp;I$1&amp;"'!C2:C1000")=$C40)
        ),7,
        FALSE
    )
)</f>
        <v>Sim</v>
      </c>
      <c r="J40" s="90" t="str">
        <f t="array" aca="1" ref="J40" ca="1">IF(
    VLOOKUP(
        $A40,
        _xlfn._xlws.FILTER(
            INDIRECT("'"&amp;J$1&amp;"'!A2:G1000"), (INDIRECT("'"&amp;J$1&amp;"'!B2:B1000")=$B40) * (INDIRECT("'"&amp;J$1&amp;"'!C2:C1000")=$C40)
        ),
        5,
        FALSE
    )="",
    "",
    VLOOKUP(
        $A40,
        _xlfn._xlws.FILTER(
            INDIRECT("'"&amp;J$1&amp;"'!A2:G1000"), (INDIRECT("'"&amp;J$1&amp;"'!B2:B1000")=$B40) * (INDIRECT("'"&amp;J$1&amp;"'!C2:C1000")=$C40)
        ),7,
        FALSE
    )
)</f>
        <v>Sim</v>
      </c>
      <c r="K40" s="90" t="str">
        <f t="array" aca="1" ref="K40" ca="1">IF(
    VLOOKUP(
        $A40,
        _xlfn._xlws.FILTER(
            INDIRECT("'"&amp;K$1&amp;"'!A2:G1000"), (INDIRECT("'"&amp;K$1&amp;"'!B2:B1000")=$B40) * (INDIRECT("'"&amp;K$1&amp;"'!C2:C1000")=$C40)
        ),
        5,
        FALSE
    )="",
    "",
    VLOOKUP(
        $A40,
        _xlfn._xlws.FILTER(
            INDIRECT("'"&amp;K$1&amp;"'!A2:G1000"), (INDIRECT("'"&amp;K$1&amp;"'!B2:B1000")=$B40) * (INDIRECT("'"&amp;K$1&amp;"'!C2:C1000")=$C40)
        ),7,
        FALSE
    )
)</f>
        <v>Não</v>
      </c>
      <c r="L40" s="90" t="str">
        <f t="array" aca="1" ref="L40" ca="1">IF(
    VLOOKUP(
        $A40,
        _xlfn._xlws.FILTER(
            INDIRECT("'"&amp;L$1&amp;"'!A2:G1000"), (INDIRECT("'"&amp;L$1&amp;"'!B2:B1000")=$B40) * (INDIRECT("'"&amp;L$1&amp;"'!C2:C1000")=$C40)
        ),
        5,
        FALSE
    )="",
    "",
    VLOOKUP(
        $A40,
        _xlfn._xlws.FILTER(
            INDIRECT("'"&amp;L$1&amp;"'!A2:G1000"), (INDIRECT("'"&amp;L$1&amp;"'!B2:B1000")=$B40) * (INDIRECT("'"&amp;L$1&amp;"'!C2:C1000")=$C40)
        ),7,
        FALSE
    )
)</f>
        <v>Não</v>
      </c>
      <c r="M40" s="90" t="str">
        <f t="array" aca="1" ref="M40" ca="1">IF(
    VLOOKUP(
        $A40,
        _xlfn._xlws.FILTER(
            INDIRECT("'"&amp;M$1&amp;"'!A2:G1000"), (INDIRECT("'"&amp;M$1&amp;"'!B2:B1000")=$B40) * (INDIRECT("'"&amp;M$1&amp;"'!C2:C1000")=$C40)
        ),
        5,
        FALSE
    )="",
    "",
    VLOOKUP(
        $A40,
        _xlfn._xlws.FILTER(
            INDIRECT("'"&amp;M$1&amp;"'!A2:G1000"), (INDIRECT("'"&amp;M$1&amp;"'!B2:B1000")=$B40) * (INDIRECT("'"&amp;M$1&amp;"'!C2:C1000")=$C40)
        ),7,
        FALSE
    )
)</f>
        <v>Não</v>
      </c>
      <c r="N40" s="90" t="str">
        <f t="array" aca="1" ref="N40" ca="1">IF(
    VLOOKUP(
        $A40,
        _xlfn._xlws.FILTER(
            INDIRECT("'"&amp;N$1&amp;"'!A2:G1000"), (INDIRECT("'"&amp;N$1&amp;"'!B2:B1000")=$B40) * (INDIRECT("'"&amp;N$1&amp;"'!C2:C1000")=$C40)
        ),
        5,
        FALSE
    )="",
    "",
    VLOOKUP(
        $A40,
        _xlfn._xlws.FILTER(
            INDIRECT("'"&amp;N$1&amp;"'!A2:G1000"), (INDIRECT("'"&amp;N$1&amp;"'!B2:B1000")=$B40) * (INDIRECT("'"&amp;N$1&amp;"'!C2:C1000")=$C40)
        ),7,
        FALSE
    )
)</f>
        <v>Não</v>
      </c>
      <c r="O40" s="90" t="str">
        <f t="array" aca="1" ref="O40" ca="1">IF(
    VLOOKUP(
        $A40,
        _xlfn._xlws.FILTER(
            INDIRECT("'"&amp;O$1&amp;"'!A2:G1000"), (INDIRECT("'"&amp;O$1&amp;"'!B2:B1000")=$B40) * (INDIRECT("'"&amp;O$1&amp;"'!C2:C1000")=$C40)
        ),
        5,
        FALSE
    )="",
    "",
    VLOOKUP(
        $A40,
        _xlfn._xlws.FILTER(
            INDIRECT("'"&amp;O$1&amp;"'!A2:G1000"), (INDIRECT("'"&amp;O$1&amp;"'!B2:B1000")=$B40) * (INDIRECT("'"&amp;O$1&amp;"'!C2:C1000")=$C40)
        ),7,
        FALSE
    )
)</f>
        <v>Não</v>
      </c>
    </row>
    <row r="41" spans="1:15">
      <c r="B41" s="35"/>
    </row>
    <row r="42" spans="1:15" ht="15.75" customHeight="1">
      <c r="A42" s="34" t="s">
        <v>25</v>
      </c>
      <c r="B42" s="34" t="s">
        <v>48</v>
      </c>
      <c r="C42" s="34" t="s">
        <v>49</v>
      </c>
      <c r="D42" s="36" t="s">
        <v>1</v>
      </c>
      <c r="E42" s="36" t="s">
        <v>2</v>
      </c>
      <c r="F42" s="36" t="s">
        <v>3</v>
      </c>
      <c r="G42" s="36" t="s">
        <v>4</v>
      </c>
      <c r="H42" s="36" t="s">
        <v>5</v>
      </c>
      <c r="I42" s="36" t="s">
        <v>6</v>
      </c>
      <c r="J42" s="36" t="s">
        <v>7</v>
      </c>
      <c r="K42" s="36" t="s">
        <v>8</v>
      </c>
      <c r="L42" s="36" t="s">
        <v>9</v>
      </c>
      <c r="M42" s="36" t="s">
        <v>10</v>
      </c>
      <c r="N42" s="36" t="s">
        <v>11</v>
      </c>
      <c r="O42" s="36" t="s">
        <v>12</v>
      </c>
    </row>
    <row r="43" spans="1:15">
      <c r="A43" s="96" t="s">
        <v>26</v>
      </c>
      <c r="B43" s="112" t="s">
        <v>83</v>
      </c>
      <c r="C43" s="39">
        <v>1</v>
      </c>
      <c r="D43" s="90" t="str">
        <f t="array" aca="1" ref="D43" ca="1">IF(
    VLOOKUP(
        $A43,
        _xlfn._xlws.FILTER(
            INDIRECT("'"&amp;D$1&amp;"'!A2:G1000"), (INDIRECT("'"&amp;D$1&amp;"'!B2:B1000")=$B43) * (INDIRECT("'"&amp;D$1&amp;"'!C2:C1000")=$C43)
        ),
        5,
        FALSE
    )="",
    "",
    VLOOKUP(
        $A43,
        _xlfn._xlws.FILTER(
            INDIRECT("'"&amp;D$1&amp;"'!A2:G1000"), (INDIRECT("'"&amp;D$1&amp;"'!B2:B1000")=$B43) * (INDIRECT("'"&amp;D$1&amp;"'!C2:C1000")=$C43)
        ),7,
        FALSE
    )
)</f>
        <v>Sim</v>
      </c>
      <c r="E43" s="90" t="str">
        <f t="array" aca="1" ref="E43" ca="1">IF(
    VLOOKUP(
        $A43,
        _xlfn._xlws.FILTER(
            INDIRECT("'"&amp;E$1&amp;"'!A2:G1000"), (INDIRECT("'"&amp;E$1&amp;"'!B2:B1000")=$B43) * (INDIRECT("'"&amp;E$1&amp;"'!C2:C1000")=$C43)
        ),
        5,
        FALSE
    )="",
    "",
    VLOOKUP(
        $A43,
        _xlfn._xlws.FILTER(
            INDIRECT("'"&amp;E$1&amp;"'!A2:G1000"), (INDIRECT("'"&amp;E$1&amp;"'!B2:B1000")=$B43) * (INDIRECT("'"&amp;E$1&amp;"'!C2:C1000")=$C43)
        ),7,
        FALSE
    )
)</f>
        <v>Sim</v>
      </c>
      <c r="F43" s="90" t="str">
        <f t="array" aca="1" ref="F43" ca="1">IF(
    VLOOKUP(
        $A43,
        _xlfn._xlws.FILTER(
            INDIRECT("'"&amp;F$1&amp;"'!A2:G1000"), (INDIRECT("'"&amp;F$1&amp;"'!B2:B1000")=$B43) * (INDIRECT("'"&amp;F$1&amp;"'!C2:C1000")=$C43)
        ),
        5,
        FALSE
    )="",
    "",
    VLOOKUP(
        $A43,
        _xlfn._xlws.FILTER(
            INDIRECT("'"&amp;F$1&amp;"'!A2:G1000"), (INDIRECT("'"&amp;F$1&amp;"'!B2:B1000")=$B43) * (INDIRECT("'"&amp;F$1&amp;"'!C2:C1000")=$C43)
        ),7,
        FALSE
    )
)</f>
        <v>Sim</v>
      </c>
      <c r="G43" s="90" t="str">
        <f t="array" aca="1" ref="G43" ca="1">IF(
    VLOOKUP(
        $A43,
        _xlfn._xlws.FILTER(
            INDIRECT("'"&amp;G$1&amp;"'!A2:G1000"), (INDIRECT("'"&amp;G$1&amp;"'!B2:B1000")=$B43) * (INDIRECT("'"&amp;G$1&amp;"'!C2:C1000")=$C43)
        ),
        5,
        FALSE
    )="",
    "",
    VLOOKUP(
        $A43,
        _xlfn._xlws.FILTER(
            INDIRECT("'"&amp;G$1&amp;"'!A2:G1000"), (INDIRECT("'"&amp;G$1&amp;"'!B2:B1000")=$B43) * (INDIRECT("'"&amp;G$1&amp;"'!C2:C1000")=$C43)
        ),7,
        FALSE
    )
)</f>
        <v>Sim</v>
      </c>
      <c r="H43" s="90" t="str">
        <f t="array" aca="1" ref="H43" ca="1">IF(
    VLOOKUP(
        $A43,
        _xlfn._xlws.FILTER(
            INDIRECT("'"&amp;H$1&amp;"'!A2:G1000"), (INDIRECT("'"&amp;H$1&amp;"'!B2:B1000")=$B43) * (INDIRECT("'"&amp;H$1&amp;"'!C2:C1000")=$C43)
        ),
        5,
        FALSE
    )="",
    "",
    VLOOKUP(
        $A43,
        _xlfn._xlws.FILTER(
            INDIRECT("'"&amp;H$1&amp;"'!A2:G1000"), (INDIRECT("'"&amp;H$1&amp;"'!B2:B1000")=$B43) * (INDIRECT("'"&amp;H$1&amp;"'!C2:C1000")=$C43)
        ),7,
        FALSE
    )
)</f>
        <v>Sim</v>
      </c>
      <c r="I43" s="90" t="str">
        <f t="array" aca="1" ref="I43" ca="1">IF(
    VLOOKUP(
        $A43,
        _xlfn._xlws.FILTER(
            INDIRECT("'"&amp;I$1&amp;"'!A2:G1000"), (INDIRECT("'"&amp;I$1&amp;"'!B2:B1000")=$B43) * (INDIRECT("'"&amp;I$1&amp;"'!C2:C1000")=$C43)
        ),
        5,
        FALSE
    )="",
    "",
    VLOOKUP(
        $A43,
        _xlfn._xlws.FILTER(
            INDIRECT("'"&amp;I$1&amp;"'!A2:G1000"), (INDIRECT("'"&amp;I$1&amp;"'!B2:B1000")=$B43) * (INDIRECT("'"&amp;I$1&amp;"'!C2:C1000")=$C43)
        ),7,
        FALSE
    )
)</f>
        <v>Sim</v>
      </c>
      <c r="J43" s="90" t="str">
        <f t="array" aca="1" ref="J43" ca="1">IF(
    VLOOKUP(
        $A43,
        _xlfn._xlws.FILTER(
            INDIRECT("'"&amp;J$1&amp;"'!A2:G1000"), (INDIRECT("'"&amp;J$1&amp;"'!B2:B1000")=$B43) * (INDIRECT("'"&amp;J$1&amp;"'!C2:C1000")=$C43)
        ),
        5,
        FALSE
    )="",
    "",
    VLOOKUP(
        $A43,
        _xlfn._xlws.FILTER(
            INDIRECT("'"&amp;J$1&amp;"'!A2:G1000"), (INDIRECT("'"&amp;J$1&amp;"'!B2:B1000")=$B43) * (INDIRECT("'"&amp;J$1&amp;"'!C2:C1000")=$C43)
        ),7,
        FALSE
    )
)</f>
        <v>Sim</v>
      </c>
      <c r="K43" s="90" t="str">
        <f t="array" aca="1" ref="K43" ca="1">IF(
    VLOOKUP(
        $A43,
        _xlfn._xlws.FILTER(
            INDIRECT("'"&amp;K$1&amp;"'!A2:G1000"), (INDIRECT("'"&amp;K$1&amp;"'!B2:B1000")=$B43) * (INDIRECT("'"&amp;K$1&amp;"'!C2:C1000")=$C43)
        ),
        5,
        FALSE
    )="",
    "",
    VLOOKUP(
        $A43,
        _xlfn._xlws.FILTER(
            INDIRECT("'"&amp;K$1&amp;"'!A2:G1000"), (INDIRECT("'"&amp;K$1&amp;"'!B2:B1000")=$B43) * (INDIRECT("'"&amp;K$1&amp;"'!C2:C1000")=$C43)
        ),7,
        FALSE
    )
)</f>
        <v>Não</v>
      </c>
      <c r="L43" s="90" t="str">
        <f t="array" aca="1" ref="L43" ca="1">IF(
    VLOOKUP(
        $A43,
        _xlfn._xlws.FILTER(
            INDIRECT("'"&amp;L$1&amp;"'!A2:G1000"), (INDIRECT("'"&amp;L$1&amp;"'!B2:B1000")=$B43) * (INDIRECT("'"&amp;L$1&amp;"'!C2:C1000")=$C43)
        ),
        5,
        FALSE
    )="",
    "",
    VLOOKUP(
        $A43,
        _xlfn._xlws.FILTER(
            INDIRECT("'"&amp;L$1&amp;"'!A2:G1000"), (INDIRECT("'"&amp;L$1&amp;"'!B2:B1000")=$B43) * (INDIRECT("'"&amp;L$1&amp;"'!C2:C1000")=$C43)
        ),7,
        FALSE
    )
)</f>
        <v>Não</v>
      </c>
      <c r="M43" s="90" t="str">
        <f t="array" aca="1" ref="M43" ca="1">IF(
    VLOOKUP(
        $A43,
        _xlfn._xlws.FILTER(
            INDIRECT("'"&amp;M$1&amp;"'!A2:G1000"), (INDIRECT("'"&amp;M$1&amp;"'!B2:B1000")=$B43) * (INDIRECT("'"&amp;M$1&amp;"'!C2:C1000")=$C43)
        ),
        5,
        FALSE
    )="",
    "",
    VLOOKUP(
        $A43,
        _xlfn._xlws.FILTER(
            INDIRECT("'"&amp;M$1&amp;"'!A2:G1000"), (INDIRECT("'"&amp;M$1&amp;"'!B2:B1000")=$B43) * (INDIRECT("'"&amp;M$1&amp;"'!C2:C1000")=$C43)
        ),7,
        FALSE
    )
)</f>
        <v>Não</v>
      </c>
      <c r="N43" s="90" t="str">
        <f t="array" aca="1" ref="N43" ca="1">IF(
    VLOOKUP(
        $A43,
        _xlfn._xlws.FILTER(
            INDIRECT("'"&amp;N$1&amp;"'!A2:G1000"), (INDIRECT("'"&amp;N$1&amp;"'!B2:B1000")=$B43) * (INDIRECT("'"&amp;N$1&amp;"'!C2:C1000")=$C43)
        ),
        5,
        FALSE
    )="",
    "",
    VLOOKUP(
        $A43,
        _xlfn._xlws.FILTER(
            INDIRECT("'"&amp;N$1&amp;"'!A2:G1000"), (INDIRECT("'"&amp;N$1&amp;"'!B2:B1000")=$B43) * (INDIRECT("'"&amp;N$1&amp;"'!C2:C1000")=$C43)
        ),7,
        FALSE
    )
)</f>
        <v>Não</v>
      </c>
      <c r="O43" s="90" t="str">
        <f t="array" aca="1" ref="O43" ca="1">IF(
    VLOOKUP(
        $A43,
        _xlfn._xlws.FILTER(
            INDIRECT("'"&amp;O$1&amp;"'!A2:G1000"), (INDIRECT("'"&amp;O$1&amp;"'!B2:B1000")=$B43) * (INDIRECT("'"&amp;O$1&amp;"'!C2:C1000")=$C43)
        ),
        5,
        FALSE
    )="",
    "",
    VLOOKUP(
        $A43,
        _xlfn._xlws.FILTER(
            INDIRECT("'"&amp;O$1&amp;"'!A2:G1000"), (INDIRECT("'"&amp;O$1&amp;"'!B2:B1000")=$B43) * (INDIRECT("'"&amp;O$1&amp;"'!C2:C1000")=$C43)
        ),7,
        FALSE
    )
)</f>
        <v/>
      </c>
    </row>
    <row r="44" spans="1:15">
      <c r="A44" s="96" t="s">
        <v>26</v>
      </c>
      <c r="B44" s="112" t="s">
        <v>84</v>
      </c>
      <c r="C44" s="39">
        <v>1</v>
      </c>
      <c r="D44" s="90" t="str">
        <f t="array" aca="1" ref="D44" ca="1">IF(
    VLOOKUP(
        $A44,
        _xlfn._xlws.FILTER(
            INDIRECT("'"&amp;D$1&amp;"'!A2:G1000"), (INDIRECT("'"&amp;D$1&amp;"'!B2:B1000")=$B44) * (INDIRECT("'"&amp;D$1&amp;"'!C2:C1000")=$C44)
        ),
        5,
        FALSE
    )="",
    "",
    VLOOKUP(
        $A44,
        _xlfn._xlws.FILTER(
            INDIRECT("'"&amp;D$1&amp;"'!A2:G1000"), (INDIRECT("'"&amp;D$1&amp;"'!B2:B1000")=$B44) * (INDIRECT("'"&amp;D$1&amp;"'!C2:C1000")=$C44)
        ),7,
        FALSE
    )
)</f>
        <v>Sim</v>
      </c>
      <c r="E44" s="90" t="str">
        <f t="array" aca="1" ref="E44" ca="1">IF(
    VLOOKUP(
        $A44,
        _xlfn._xlws.FILTER(
            INDIRECT("'"&amp;E$1&amp;"'!A2:G1000"), (INDIRECT("'"&amp;E$1&amp;"'!B2:B1000")=$B44) * (INDIRECT("'"&amp;E$1&amp;"'!C2:C1000")=$C44)
        ),
        5,
        FALSE
    )="",
    "",
    VLOOKUP(
        $A44,
        _xlfn._xlws.FILTER(
            INDIRECT("'"&amp;E$1&amp;"'!A2:G1000"), (INDIRECT("'"&amp;E$1&amp;"'!B2:B1000")=$B44) * (INDIRECT("'"&amp;E$1&amp;"'!C2:C1000")=$C44)
        ),7,
        FALSE
    )
)</f>
        <v>Sim</v>
      </c>
      <c r="F44" s="90" t="str">
        <f t="array" aca="1" ref="F44" ca="1">IF(
    VLOOKUP(
        $A44,
        _xlfn._xlws.FILTER(
            INDIRECT("'"&amp;F$1&amp;"'!A2:G1000"), (INDIRECT("'"&amp;F$1&amp;"'!B2:B1000")=$B44) * (INDIRECT("'"&amp;F$1&amp;"'!C2:C1000")=$C44)
        ),
        5,
        FALSE
    )="",
    "",
    VLOOKUP(
        $A44,
        _xlfn._xlws.FILTER(
            INDIRECT("'"&amp;F$1&amp;"'!A2:G1000"), (INDIRECT("'"&amp;F$1&amp;"'!B2:B1000")=$B44) * (INDIRECT("'"&amp;F$1&amp;"'!C2:C1000")=$C44)
        ),7,
        FALSE
    )
)</f>
        <v>Sim</v>
      </c>
      <c r="G44" s="90" t="str">
        <f t="array" aca="1" ref="G44" ca="1">IF(
    VLOOKUP(
        $A44,
        _xlfn._xlws.FILTER(
            INDIRECT("'"&amp;G$1&amp;"'!A2:G1000"), (INDIRECT("'"&amp;G$1&amp;"'!B2:B1000")=$B44) * (INDIRECT("'"&amp;G$1&amp;"'!C2:C1000")=$C44)
        ),
        5,
        FALSE
    )="",
    "",
    VLOOKUP(
        $A44,
        _xlfn._xlws.FILTER(
            INDIRECT("'"&amp;G$1&amp;"'!A2:G1000"), (INDIRECT("'"&amp;G$1&amp;"'!B2:B1000")=$B44) * (INDIRECT("'"&amp;G$1&amp;"'!C2:C1000")=$C44)
        ),7,
        FALSE
    )
)</f>
        <v>Sim</v>
      </c>
      <c r="H44" s="90" t="str">
        <f t="array" aca="1" ref="H44" ca="1">IF(
    VLOOKUP(
        $A44,
        _xlfn._xlws.FILTER(
            INDIRECT("'"&amp;H$1&amp;"'!A2:G1000"), (INDIRECT("'"&amp;H$1&amp;"'!B2:B1000")=$B44) * (INDIRECT("'"&amp;H$1&amp;"'!C2:C1000")=$C44)
        ),
        5,
        FALSE
    )="",
    "",
    VLOOKUP(
        $A44,
        _xlfn._xlws.FILTER(
            INDIRECT("'"&amp;H$1&amp;"'!A2:G1000"), (INDIRECT("'"&amp;H$1&amp;"'!B2:B1000")=$B44) * (INDIRECT("'"&amp;H$1&amp;"'!C2:C1000")=$C44)
        ),7,
        FALSE
    )
)</f>
        <v>Sim</v>
      </c>
      <c r="I44" s="90" t="str">
        <f t="array" aca="1" ref="I44" ca="1">IF(
    VLOOKUP(
        $A44,
        _xlfn._xlws.FILTER(
            INDIRECT("'"&amp;I$1&amp;"'!A2:G1000"), (INDIRECT("'"&amp;I$1&amp;"'!B2:B1000")=$B44) * (INDIRECT("'"&amp;I$1&amp;"'!C2:C1000")=$C44)
        ),
        5,
        FALSE
    )="",
    "",
    VLOOKUP(
        $A44,
        _xlfn._xlws.FILTER(
            INDIRECT("'"&amp;I$1&amp;"'!A2:G1000"), (INDIRECT("'"&amp;I$1&amp;"'!B2:B1000")=$B44) * (INDIRECT("'"&amp;I$1&amp;"'!C2:C1000")=$C44)
        ),7,
        FALSE
    )
)</f>
        <v>Sim</v>
      </c>
      <c r="J44" s="90" t="str">
        <f t="array" aca="1" ref="J44" ca="1">IF(
    VLOOKUP(
        $A44,
        _xlfn._xlws.FILTER(
            INDIRECT("'"&amp;J$1&amp;"'!A2:G1000"), (INDIRECT("'"&amp;J$1&amp;"'!B2:B1000")=$B44) * (INDIRECT("'"&amp;J$1&amp;"'!C2:C1000")=$C44)
        ),
        5,
        FALSE
    )="",
    "",
    VLOOKUP(
        $A44,
        _xlfn._xlws.FILTER(
            INDIRECT("'"&amp;J$1&amp;"'!A2:G1000"), (INDIRECT("'"&amp;J$1&amp;"'!B2:B1000")=$B44) * (INDIRECT("'"&amp;J$1&amp;"'!C2:C1000")=$C44)
        ),7,
        FALSE
    )
)</f>
        <v>Sim</v>
      </c>
      <c r="K44" s="90" t="str">
        <f t="array" aca="1" ref="K44" ca="1">IF(
    VLOOKUP(
        $A44,
        _xlfn._xlws.FILTER(
            INDIRECT("'"&amp;K$1&amp;"'!A2:G1000"), (INDIRECT("'"&amp;K$1&amp;"'!B2:B1000")=$B44) * (INDIRECT("'"&amp;K$1&amp;"'!C2:C1000")=$C44)
        ),
        5,
        FALSE
    )="",
    "",
    VLOOKUP(
        $A44,
        _xlfn._xlws.FILTER(
            INDIRECT("'"&amp;K$1&amp;"'!A2:G1000"), (INDIRECT("'"&amp;K$1&amp;"'!B2:B1000")=$B44) * (INDIRECT("'"&amp;K$1&amp;"'!C2:C1000")=$C44)
        ),7,
        FALSE
    )
)</f>
        <v>Não</v>
      </c>
      <c r="L44" s="90" t="str">
        <f t="array" aca="1" ref="L44" ca="1">IF(
    VLOOKUP(
        $A44,
        _xlfn._xlws.FILTER(
            INDIRECT("'"&amp;L$1&amp;"'!A2:G1000"), (INDIRECT("'"&amp;L$1&amp;"'!B2:B1000")=$B44) * (INDIRECT("'"&amp;L$1&amp;"'!C2:C1000")=$C44)
        ),
        5,
        FALSE
    )="",
    "",
    VLOOKUP(
        $A44,
        _xlfn._xlws.FILTER(
            INDIRECT("'"&amp;L$1&amp;"'!A2:G1000"), (INDIRECT("'"&amp;L$1&amp;"'!B2:B1000")=$B44) * (INDIRECT("'"&amp;L$1&amp;"'!C2:C1000")=$C44)
        ),7,
        FALSE
    )
)</f>
        <v>Não</v>
      </c>
      <c r="M44" s="90" t="str">
        <f t="array" aca="1" ref="M44" ca="1">IF(
    VLOOKUP(
        $A44,
        _xlfn._xlws.FILTER(
            INDIRECT("'"&amp;M$1&amp;"'!A2:G1000"), (INDIRECT("'"&amp;M$1&amp;"'!B2:B1000")=$B44) * (INDIRECT("'"&amp;M$1&amp;"'!C2:C1000")=$C44)
        ),
        5,
        FALSE
    )="",
    "",
    VLOOKUP(
        $A44,
        _xlfn._xlws.FILTER(
            INDIRECT("'"&amp;M$1&amp;"'!A2:G1000"), (INDIRECT("'"&amp;M$1&amp;"'!B2:B1000")=$B44) * (INDIRECT("'"&amp;M$1&amp;"'!C2:C1000")=$C44)
        ),7,
        FALSE
    )
)</f>
        <v>Não</v>
      </c>
      <c r="N44" s="90" t="str">
        <f t="array" aca="1" ref="N44" ca="1">IF(
    VLOOKUP(
        $A44,
        _xlfn._xlws.FILTER(
            INDIRECT("'"&amp;N$1&amp;"'!A2:G1000"), (INDIRECT("'"&amp;N$1&amp;"'!B2:B1000")=$B44) * (INDIRECT("'"&amp;N$1&amp;"'!C2:C1000")=$C44)
        ),
        5,
        FALSE
    )="",
    "",
    VLOOKUP(
        $A44,
        _xlfn._xlws.FILTER(
            INDIRECT("'"&amp;N$1&amp;"'!A2:G1000"), (INDIRECT("'"&amp;N$1&amp;"'!B2:B1000")=$B44) * (INDIRECT("'"&amp;N$1&amp;"'!C2:C1000")=$C44)
        ),7,
        FALSE
    )
)</f>
        <v>Não</v>
      </c>
      <c r="O44" s="90" t="str">
        <f t="array" aca="1" ref="O44" ca="1">IF(
    VLOOKUP(
        $A44,
        _xlfn._xlws.FILTER(
            INDIRECT("'"&amp;O$1&amp;"'!A2:G1000"), (INDIRECT("'"&amp;O$1&amp;"'!B2:B1000")=$B44) * (INDIRECT("'"&amp;O$1&amp;"'!C2:C1000")=$C44)
        ),
        5,
        FALSE
    )="",
    "",
    VLOOKUP(
        $A44,
        _xlfn._xlws.FILTER(
            INDIRECT("'"&amp;O$1&amp;"'!A2:G1000"), (INDIRECT("'"&amp;O$1&amp;"'!B2:B1000")=$B44) * (INDIRECT("'"&amp;O$1&amp;"'!C2:C1000")=$C44)
        ),7,
        FALSE
    )
)</f>
        <v/>
      </c>
    </row>
    <row r="45" spans="1:15">
      <c r="A45" s="96" t="s">
        <v>26</v>
      </c>
      <c r="B45" s="112" t="s">
        <v>85</v>
      </c>
      <c r="C45" s="39">
        <v>1</v>
      </c>
      <c r="D45" s="90" t="str">
        <f t="array" aca="1" ref="D45" ca="1">IF(
    VLOOKUP(
        $A45,
        _xlfn._xlws.FILTER(
            INDIRECT("'"&amp;D$1&amp;"'!A2:G1000"), (INDIRECT("'"&amp;D$1&amp;"'!B2:B1000")=$B45) * (INDIRECT("'"&amp;D$1&amp;"'!C2:C1000")=$C45)
        ),
        5,
        FALSE
    )="",
    "",
    VLOOKUP(
        $A45,
        _xlfn._xlws.FILTER(
            INDIRECT("'"&amp;D$1&amp;"'!A2:G1000"), (INDIRECT("'"&amp;D$1&amp;"'!B2:B1000")=$B45) * (INDIRECT("'"&amp;D$1&amp;"'!C2:C1000")=$C45)
        ),7,
        FALSE
    )
)</f>
        <v>Sim</v>
      </c>
      <c r="E45" s="90" t="str">
        <f t="array" aca="1" ref="E45" ca="1">IF(
    VLOOKUP(
        $A45,
        _xlfn._xlws.FILTER(
            INDIRECT("'"&amp;E$1&amp;"'!A2:G1000"), (INDIRECT("'"&amp;E$1&amp;"'!B2:B1000")=$B45) * (INDIRECT("'"&amp;E$1&amp;"'!C2:C1000")=$C45)
        ),
        5,
        FALSE
    )="",
    "",
    VLOOKUP(
        $A45,
        _xlfn._xlws.FILTER(
            INDIRECT("'"&amp;E$1&amp;"'!A2:G1000"), (INDIRECT("'"&amp;E$1&amp;"'!B2:B1000")=$B45) * (INDIRECT("'"&amp;E$1&amp;"'!C2:C1000")=$C45)
        ),7,
        FALSE
    )
)</f>
        <v>Sim</v>
      </c>
      <c r="F45" s="90" t="str">
        <f t="array" aca="1" ref="F45" ca="1">IF(
    VLOOKUP(
        $A45,
        _xlfn._xlws.FILTER(
            INDIRECT("'"&amp;F$1&amp;"'!A2:G1000"), (INDIRECT("'"&amp;F$1&amp;"'!B2:B1000")=$B45) * (INDIRECT("'"&amp;F$1&amp;"'!C2:C1000")=$C45)
        ),
        5,
        FALSE
    )="",
    "",
    VLOOKUP(
        $A45,
        _xlfn._xlws.FILTER(
            INDIRECT("'"&amp;F$1&amp;"'!A2:G1000"), (INDIRECT("'"&amp;F$1&amp;"'!B2:B1000")=$B45) * (INDIRECT("'"&amp;F$1&amp;"'!C2:C1000")=$C45)
        ),7,
        FALSE
    )
)</f>
        <v>Sim</v>
      </c>
      <c r="G45" s="90" t="str">
        <f t="array" aca="1" ref="G45" ca="1">IF(
    VLOOKUP(
        $A45,
        _xlfn._xlws.FILTER(
            INDIRECT("'"&amp;G$1&amp;"'!A2:G1000"), (INDIRECT("'"&amp;G$1&amp;"'!B2:B1000")=$B45) * (INDIRECT("'"&amp;G$1&amp;"'!C2:C1000")=$C45)
        ),
        5,
        FALSE
    )="",
    "",
    VLOOKUP(
        $A45,
        _xlfn._xlws.FILTER(
            INDIRECT("'"&amp;G$1&amp;"'!A2:G1000"), (INDIRECT("'"&amp;G$1&amp;"'!B2:B1000")=$B45) * (INDIRECT("'"&amp;G$1&amp;"'!C2:C1000")=$C45)
        ),7,
        FALSE
    )
)</f>
        <v>Sim</v>
      </c>
      <c r="H45" s="90" t="str">
        <f t="array" aca="1" ref="H45" ca="1">IF(
    VLOOKUP(
        $A45,
        _xlfn._xlws.FILTER(
            INDIRECT("'"&amp;H$1&amp;"'!A2:G1000"), (INDIRECT("'"&amp;H$1&amp;"'!B2:B1000")=$B45) * (INDIRECT("'"&amp;H$1&amp;"'!C2:C1000")=$C45)
        ),
        5,
        FALSE
    )="",
    "",
    VLOOKUP(
        $A45,
        _xlfn._xlws.FILTER(
            INDIRECT("'"&amp;H$1&amp;"'!A2:G1000"), (INDIRECT("'"&amp;H$1&amp;"'!B2:B1000")=$B45) * (INDIRECT("'"&amp;H$1&amp;"'!C2:C1000")=$C45)
        ),7,
        FALSE
    )
)</f>
        <v>Sim</v>
      </c>
      <c r="I45" s="90" t="str">
        <f t="array" aca="1" ref="I45" ca="1">IF(
    VLOOKUP(
        $A45,
        _xlfn._xlws.FILTER(
            INDIRECT("'"&amp;I$1&amp;"'!A2:G1000"), (INDIRECT("'"&amp;I$1&amp;"'!B2:B1000")=$B45) * (INDIRECT("'"&amp;I$1&amp;"'!C2:C1000")=$C45)
        ),
        5,
        FALSE
    )="",
    "",
    VLOOKUP(
        $A45,
        _xlfn._xlws.FILTER(
            INDIRECT("'"&amp;I$1&amp;"'!A2:G1000"), (INDIRECT("'"&amp;I$1&amp;"'!B2:B1000")=$B45) * (INDIRECT("'"&amp;I$1&amp;"'!C2:C1000")=$C45)
        ),7,
        FALSE
    )
)</f>
        <v>Sim</v>
      </c>
      <c r="J45" s="90" t="str">
        <f t="array" aca="1" ref="J45" ca="1">IF(
    VLOOKUP(
        $A45,
        _xlfn._xlws.FILTER(
            INDIRECT("'"&amp;J$1&amp;"'!A2:G1000"), (INDIRECT("'"&amp;J$1&amp;"'!B2:B1000")=$B45) * (INDIRECT("'"&amp;J$1&amp;"'!C2:C1000")=$C45)
        ),
        5,
        FALSE
    )="",
    "",
    VLOOKUP(
        $A45,
        _xlfn._xlws.FILTER(
            INDIRECT("'"&amp;J$1&amp;"'!A2:G1000"), (INDIRECT("'"&amp;J$1&amp;"'!B2:B1000")=$B45) * (INDIRECT("'"&amp;J$1&amp;"'!C2:C1000")=$C45)
        ),7,
        FALSE
    )
)</f>
        <v>Sim</v>
      </c>
      <c r="K45" s="90" t="str">
        <f t="array" aca="1" ref="K45" ca="1">IF(
    VLOOKUP(
        $A45,
        _xlfn._xlws.FILTER(
            INDIRECT("'"&amp;K$1&amp;"'!A2:G1000"), (INDIRECT("'"&amp;K$1&amp;"'!B2:B1000")=$B45) * (INDIRECT("'"&amp;K$1&amp;"'!C2:C1000")=$C45)
        ),
        5,
        FALSE
    )="",
    "",
    VLOOKUP(
        $A45,
        _xlfn._xlws.FILTER(
            INDIRECT("'"&amp;K$1&amp;"'!A2:G1000"), (INDIRECT("'"&amp;K$1&amp;"'!B2:B1000")=$B45) * (INDIRECT("'"&amp;K$1&amp;"'!C2:C1000")=$C45)
        ),7,
        FALSE
    )
)</f>
        <v>Não</v>
      </c>
      <c r="L45" s="90" t="str">
        <f t="array" aca="1" ref="L45" ca="1">IF(
    VLOOKUP(
        $A45,
        _xlfn._xlws.FILTER(
            INDIRECT("'"&amp;L$1&amp;"'!A2:G1000"), (INDIRECT("'"&amp;L$1&amp;"'!B2:B1000")=$B45) * (INDIRECT("'"&amp;L$1&amp;"'!C2:C1000")=$C45)
        ),
        5,
        FALSE
    )="",
    "",
    VLOOKUP(
        $A45,
        _xlfn._xlws.FILTER(
            INDIRECT("'"&amp;L$1&amp;"'!A2:G1000"), (INDIRECT("'"&amp;L$1&amp;"'!B2:B1000")=$B45) * (INDIRECT("'"&amp;L$1&amp;"'!C2:C1000")=$C45)
        ),7,
        FALSE
    )
)</f>
        <v>Não</v>
      </c>
      <c r="M45" s="90" t="str">
        <f t="array" aca="1" ref="M45" ca="1">IF(
    VLOOKUP(
        $A45,
        _xlfn._xlws.FILTER(
            INDIRECT("'"&amp;M$1&amp;"'!A2:G1000"), (INDIRECT("'"&amp;M$1&amp;"'!B2:B1000")=$B45) * (INDIRECT("'"&amp;M$1&amp;"'!C2:C1000")=$C45)
        ),
        5,
        FALSE
    )="",
    "",
    VLOOKUP(
        $A45,
        _xlfn._xlws.FILTER(
            INDIRECT("'"&amp;M$1&amp;"'!A2:G1000"), (INDIRECT("'"&amp;M$1&amp;"'!B2:B1000")=$B45) * (INDIRECT("'"&amp;M$1&amp;"'!C2:C1000")=$C45)
        ),7,
        FALSE
    )
)</f>
        <v>Não</v>
      </c>
      <c r="N45" s="90" t="str">
        <f t="array" aca="1" ref="N45" ca="1">IF(
    VLOOKUP(
        $A45,
        _xlfn._xlws.FILTER(
            INDIRECT("'"&amp;N$1&amp;"'!A2:G1000"), (INDIRECT("'"&amp;N$1&amp;"'!B2:B1000")=$B45) * (INDIRECT("'"&amp;N$1&amp;"'!C2:C1000")=$C45)
        ),
        5,
        FALSE
    )="",
    "",
    VLOOKUP(
        $A45,
        _xlfn._xlws.FILTER(
            INDIRECT("'"&amp;N$1&amp;"'!A2:G1000"), (INDIRECT("'"&amp;N$1&amp;"'!B2:B1000")=$B45) * (INDIRECT("'"&amp;N$1&amp;"'!C2:C1000")=$C45)
        ),7,
        FALSE
    )
)</f>
        <v>Não</v>
      </c>
      <c r="O45" s="90" t="str">
        <f t="array" aca="1" ref="O45" ca="1">IF(
    VLOOKUP(
        $A45,
        _xlfn._xlws.FILTER(
            INDIRECT("'"&amp;O$1&amp;"'!A2:G1000"), (INDIRECT("'"&amp;O$1&amp;"'!B2:B1000")=$B45) * (INDIRECT("'"&amp;O$1&amp;"'!C2:C1000")=$C45)
        ),
        5,
        FALSE
    )="",
    "",
    VLOOKUP(
        $A45,
        _xlfn._xlws.FILTER(
            INDIRECT("'"&amp;O$1&amp;"'!A2:G1000"), (INDIRECT("'"&amp;O$1&amp;"'!B2:B1000")=$B45) * (INDIRECT("'"&amp;O$1&amp;"'!C2:C1000")=$C45)
        ),7,
        FALSE
    )
)</f>
        <v/>
      </c>
    </row>
    <row r="46" spans="1:15">
      <c r="A46" s="96" t="s">
        <v>26</v>
      </c>
      <c r="B46" s="112" t="s">
        <v>86</v>
      </c>
      <c r="C46" s="39">
        <v>1</v>
      </c>
      <c r="D46" s="90" t="str">
        <f t="array" aca="1" ref="D46" ca="1">IF(
    VLOOKUP(
        $A46,
        _xlfn._xlws.FILTER(
            INDIRECT("'"&amp;D$1&amp;"'!A2:G1000"), (INDIRECT("'"&amp;D$1&amp;"'!B2:B1000")=$B46) * (INDIRECT("'"&amp;D$1&amp;"'!C2:C1000")=$C46)
        ),
        5,
        FALSE
    )="",
    "",
    VLOOKUP(
        $A46,
        _xlfn._xlws.FILTER(
            INDIRECT("'"&amp;D$1&amp;"'!A2:G1000"), (INDIRECT("'"&amp;D$1&amp;"'!B2:B1000")=$B46) * (INDIRECT("'"&amp;D$1&amp;"'!C2:C1000")=$C46)
        ),7,
        FALSE
    )
)</f>
        <v>Sim</v>
      </c>
      <c r="E46" s="90" t="str">
        <f t="array" aca="1" ref="E46" ca="1">IF(
    VLOOKUP(
        $A46,
        _xlfn._xlws.FILTER(
            INDIRECT("'"&amp;E$1&amp;"'!A2:G1000"), (INDIRECT("'"&amp;E$1&amp;"'!B2:B1000")=$B46) * (INDIRECT("'"&amp;E$1&amp;"'!C2:C1000")=$C46)
        ),
        5,
        FALSE
    )="",
    "",
    VLOOKUP(
        $A46,
        _xlfn._xlws.FILTER(
            INDIRECT("'"&amp;E$1&amp;"'!A2:G1000"), (INDIRECT("'"&amp;E$1&amp;"'!B2:B1000")=$B46) * (INDIRECT("'"&amp;E$1&amp;"'!C2:C1000")=$C46)
        ),7,
        FALSE
    )
)</f>
        <v>Sim</v>
      </c>
      <c r="F46" s="90" t="str">
        <f t="array" aca="1" ref="F46" ca="1">IF(
    VLOOKUP(
        $A46,
        _xlfn._xlws.FILTER(
            INDIRECT("'"&amp;F$1&amp;"'!A2:G1000"), (INDIRECT("'"&amp;F$1&amp;"'!B2:B1000")=$B46) * (INDIRECT("'"&amp;F$1&amp;"'!C2:C1000")=$C46)
        ),
        5,
        FALSE
    )="",
    "",
    VLOOKUP(
        $A46,
        _xlfn._xlws.FILTER(
            INDIRECT("'"&amp;F$1&amp;"'!A2:G1000"), (INDIRECT("'"&amp;F$1&amp;"'!B2:B1000")=$B46) * (INDIRECT("'"&amp;F$1&amp;"'!C2:C1000")=$C46)
        ),7,
        FALSE
    )
)</f>
        <v>Sim</v>
      </c>
      <c r="G46" s="90" t="str">
        <f t="array" aca="1" ref="G46" ca="1">IF(
    VLOOKUP(
        $A46,
        _xlfn._xlws.FILTER(
            INDIRECT("'"&amp;G$1&amp;"'!A2:G1000"), (INDIRECT("'"&amp;G$1&amp;"'!B2:B1000")=$B46) * (INDIRECT("'"&amp;G$1&amp;"'!C2:C1000")=$C46)
        ),
        5,
        FALSE
    )="",
    "",
    VLOOKUP(
        $A46,
        _xlfn._xlws.FILTER(
            INDIRECT("'"&amp;G$1&amp;"'!A2:G1000"), (INDIRECT("'"&amp;G$1&amp;"'!B2:B1000")=$B46) * (INDIRECT("'"&amp;G$1&amp;"'!C2:C1000")=$C46)
        ),7,
        FALSE
    )
)</f>
        <v>Sim</v>
      </c>
      <c r="H46" s="90" t="str">
        <f t="array" aca="1" ref="H46" ca="1">IF(
    VLOOKUP(
        $A46,
        _xlfn._xlws.FILTER(
            INDIRECT("'"&amp;H$1&amp;"'!A2:G1000"), (INDIRECT("'"&amp;H$1&amp;"'!B2:B1000")=$B46) * (INDIRECT("'"&amp;H$1&amp;"'!C2:C1000")=$C46)
        ),
        5,
        FALSE
    )="",
    "",
    VLOOKUP(
        $A46,
        _xlfn._xlws.FILTER(
            INDIRECT("'"&amp;H$1&amp;"'!A2:G1000"), (INDIRECT("'"&amp;H$1&amp;"'!B2:B1000")=$B46) * (INDIRECT("'"&amp;H$1&amp;"'!C2:C1000")=$C46)
        ),7,
        FALSE
    )
)</f>
        <v>Sim</v>
      </c>
      <c r="I46" s="90" t="str">
        <f t="array" aca="1" ref="I46" ca="1">IF(
    VLOOKUP(
        $A46,
        _xlfn._xlws.FILTER(
            INDIRECT("'"&amp;I$1&amp;"'!A2:G1000"), (INDIRECT("'"&amp;I$1&amp;"'!B2:B1000")=$B46) * (INDIRECT("'"&amp;I$1&amp;"'!C2:C1000")=$C46)
        ),
        5,
        FALSE
    )="",
    "",
    VLOOKUP(
        $A46,
        _xlfn._xlws.FILTER(
            INDIRECT("'"&amp;I$1&amp;"'!A2:G1000"), (INDIRECT("'"&amp;I$1&amp;"'!B2:B1000")=$B46) * (INDIRECT("'"&amp;I$1&amp;"'!C2:C1000")=$C46)
        ),7,
        FALSE
    )
)</f>
        <v>Sim</v>
      </c>
      <c r="J46" s="90" t="str">
        <f t="array" aca="1" ref="J46" ca="1">IF(
    VLOOKUP(
        $A46,
        _xlfn._xlws.FILTER(
            INDIRECT("'"&amp;J$1&amp;"'!A2:G1000"), (INDIRECT("'"&amp;J$1&amp;"'!B2:B1000")=$B46) * (INDIRECT("'"&amp;J$1&amp;"'!C2:C1000")=$C46)
        ),
        5,
        FALSE
    )="",
    "",
    VLOOKUP(
        $A46,
        _xlfn._xlws.FILTER(
            INDIRECT("'"&amp;J$1&amp;"'!A2:G1000"), (INDIRECT("'"&amp;J$1&amp;"'!B2:B1000")=$B46) * (INDIRECT("'"&amp;J$1&amp;"'!C2:C1000")=$C46)
        ),7,
        FALSE
    )
)</f>
        <v>Sim</v>
      </c>
      <c r="K46" s="90" t="str">
        <f t="array" aca="1" ref="K46" ca="1">IF(
    VLOOKUP(
        $A46,
        _xlfn._xlws.FILTER(
            INDIRECT("'"&amp;K$1&amp;"'!A2:G1000"), (INDIRECT("'"&amp;K$1&amp;"'!B2:B1000")=$B46) * (INDIRECT("'"&amp;K$1&amp;"'!C2:C1000")=$C46)
        ),
        5,
        FALSE
    )="",
    "",
    VLOOKUP(
        $A46,
        _xlfn._xlws.FILTER(
            INDIRECT("'"&amp;K$1&amp;"'!A2:G1000"), (INDIRECT("'"&amp;K$1&amp;"'!B2:B1000")=$B46) * (INDIRECT("'"&amp;K$1&amp;"'!C2:C1000")=$C46)
        ),7,
        FALSE
    )
)</f>
        <v>Não</v>
      </c>
      <c r="L46" s="90" t="str">
        <f t="array" aca="1" ref="L46" ca="1">IF(
    VLOOKUP(
        $A46,
        _xlfn._xlws.FILTER(
            INDIRECT("'"&amp;L$1&amp;"'!A2:G1000"), (INDIRECT("'"&amp;L$1&amp;"'!B2:B1000")=$B46) * (INDIRECT("'"&amp;L$1&amp;"'!C2:C1000")=$C46)
        ),
        5,
        FALSE
    )="",
    "",
    VLOOKUP(
        $A46,
        _xlfn._xlws.FILTER(
            INDIRECT("'"&amp;L$1&amp;"'!A2:G1000"), (INDIRECT("'"&amp;L$1&amp;"'!B2:B1000")=$B46) * (INDIRECT("'"&amp;L$1&amp;"'!C2:C1000")=$C46)
        ),7,
        FALSE
    )
)</f>
        <v>Não</v>
      </c>
      <c r="M46" s="90" t="str">
        <f t="array" aca="1" ref="M46" ca="1">IF(
    VLOOKUP(
        $A46,
        _xlfn._xlws.FILTER(
            INDIRECT("'"&amp;M$1&amp;"'!A2:G1000"), (INDIRECT("'"&amp;M$1&amp;"'!B2:B1000")=$B46) * (INDIRECT("'"&amp;M$1&amp;"'!C2:C1000")=$C46)
        ),
        5,
        FALSE
    )="",
    "",
    VLOOKUP(
        $A46,
        _xlfn._xlws.FILTER(
            INDIRECT("'"&amp;M$1&amp;"'!A2:G1000"), (INDIRECT("'"&amp;M$1&amp;"'!B2:B1000")=$B46) * (INDIRECT("'"&amp;M$1&amp;"'!C2:C1000")=$C46)
        ),7,
        FALSE
    )
)</f>
        <v>Não</v>
      </c>
      <c r="N46" s="90" t="str">
        <f t="array" aca="1" ref="N46" ca="1">IF(
    VLOOKUP(
        $A46,
        _xlfn._xlws.FILTER(
            INDIRECT("'"&amp;N$1&amp;"'!A2:G1000"), (INDIRECT("'"&amp;N$1&amp;"'!B2:B1000")=$B46) * (INDIRECT("'"&amp;N$1&amp;"'!C2:C1000")=$C46)
        ),
        5,
        FALSE
    )="",
    "",
    VLOOKUP(
        $A46,
        _xlfn._xlws.FILTER(
            INDIRECT("'"&amp;N$1&amp;"'!A2:G1000"), (INDIRECT("'"&amp;N$1&amp;"'!B2:B1000")=$B46) * (INDIRECT("'"&amp;N$1&amp;"'!C2:C1000")=$C46)
        ),7,
        FALSE
    )
)</f>
        <v>Não</v>
      </c>
      <c r="O46" s="90" t="str">
        <f t="array" aca="1" ref="O46" ca="1">IF(
    VLOOKUP(
        $A46,
        _xlfn._xlws.FILTER(
            INDIRECT("'"&amp;O$1&amp;"'!A2:G1000"), (INDIRECT("'"&amp;O$1&amp;"'!B2:B1000")=$B46) * (INDIRECT("'"&amp;O$1&amp;"'!C2:C1000")=$C46)
        ),
        5,
        FALSE
    )="",
    "",
    VLOOKUP(
        $A46,
        _xlfn._xlws.FILTER(
            INDIRECT("'"&amp;O$1&amp;"'!A2:G1000"), (INDIRECT("'"&amp;O$1&amp;"'!B2:B1000")=$B46) * (INDIRECT("'"&amp;O$1&amp;"'!C2:C1000")=$C46)
        ),7,
        FALSE
    )
)</f>
        <v/>
      </c>
    </row>
    <row r="47" spans="1:15">
      <c r="A47" s="96" t="s">
        <v>26</v>
      </c>
      <c r="B47" s="112" t="s">
        <v>87</v>
      </c>
      <c r="C47" s="39">
        <v>1</v>
      </c>
      <c r="D47" s="90" t="str">
        <f t="array" aca="1" ref="D47" ca="1">IF(
    VLOOKUP(
        $A47,
        _xlfn._xlws.FILTER(
            INDIRECT("'"&amp;D$1&amp;"'!A2:G1000"), (INDIRECT("'"&amp;D$1&amp;"'!B2:B1000")=$B47) * (INDIRECT("'"&amp;D$1&amp;"'!C2:C1000")=$C47)
        ),
        5,
        FALSE
    )="",
    "",
    VLOOKUP(
        $A47,
        _xlfn._xlws.FILTER(
            INDIRECT("'"&amp;D$1&amp;"'!A2:G1000"), (INDIRECT("'"&amp;D$1&amp;"'!B2:B1000")=$B47) * (INDIRECT("'"&amp;D$1&amp;"'!C2:C1000")=$C47)
        ),7,
        FALSE
    )
)</f>
        <v>Sim</v>
      </c>
      <c r="E47" s="90" t="str">
        <f t="array" aca="1" ref="E47" ca="1">IF(
    VLOOKUP(
        $A47,
        _xlfn._xlws.FILTER(
            INDIRECT("'"&amp;E$1&amp;"'!A2:G1000"), (INDIRECT("'"&amp;E$1&amp;"'!B2:B1000")=$B47) * (INDIRECT("'"&amp;E$1&amp;"'!C2:C1000")=$C47)
        ),
        5,
        FALSE
    )="",
    "",
    VLOOKUP(
        $A47,
        _xlfn._xlws.FILTER(
            INDIRECT("'"&amp;E$1&amp;"'!A2:G1000"), (INDIRECT("'"&amp;E$1&amp;"'!B2:B1000")=$B47) * (INDIRECT("'"&amp;E$1&amp;"'!C2:C1000")=$C47)
        ),7,
        FALSE
    )
)</f>
        <v>Sim</v>
      </c>
      <c r="F47" s="90" t="str">
        <f t="array" aca="1" ref="F47" ca="1">IF(
    VLOOKUP(
        $A47,
        _xlfn._xlws.FILTER(
            INDIRECT("'"&amp;F$1&amp;"'!A2:G1000"), (INDIRECT("'"&amp;F$1&amp;"'!B2:B1000")=$B47) * (INDIRECT("'"&amp;F$1&amp;"'!C2:C1000")=$C47)
        ),
        5,
        FALSE
    )="",
    "",
    VLOOKUP(
        $A47,
        _xlfn._xlws.FILTER(
            INDIRECT("'"&amp;F$1&amp;"'!A2:G1000"), (INDIRECT("'"&amp;F$1&amp;"'!B2:B1000")=$B47) * (INDIRECT("'"&amp;F$1&amp;"'!C2:C1000")=$C47)
        ),7,
        FALSE
    )
)</f>
        <v>Sim</v>
      </c>
      <c r="G47" s="90" t="str">
        <f t="array" aca="1" ref="G47" ca="1">IF(
    VLOOKUP(
        $A47,
        _xlfn._xlws.FILTER(
            INDIRECT("'"&amp;G$1&amp;"'!A2:G1000"), (INDIRECT("'"&amp;G$1&amp;"'!B2:B1000")=$B47) * (INDIRECT("'"&amp;G$1&amp;"'!C2:C1000")=$C47)
        ),
        5,
        FALSE
    )="",
    "",
    VLOOKUP(
        $A47,
        _xlfn._xlws.FILTER(
            INDIRECT("'"&amp;G$1&amp;"'!A2:G1000"), (INDIRECT("'"&amp;G$1&amp;"'!B2:B1000")=$B47) * (INDIRECT("'"&amp;G$1&amp;"'!C2:C1000")=$C47)
        ),7,
        FALSE
    )
)</f>
        <v>Sim</v>
      </c>
      <c r="H47" s="90" t="str">
        <f t="array" aca="1" ref="H47" ca="1">IF(
    VLOOKUP(
        $A47,
        _xlfn._xlws.FILTER(
            INDIRECT("'"&amp;H$1&amp;"'!A2:G1000"), (INDIRECT("'"&amp;H$1&amp;"'!B2:B1000")=$B47) * (INDIRECT("'"&amp;H$1&amp;"'!C2:C1000")=$C47)
        ),
        5,
        FALSE
    )="",
    "",
    VLOOKUP(
        $A47,
        _xlfn._xlws.FILTER(
            INDIRECT("'"&amp;H$1&amp;"'!A2:G1000"), (INDIRECT("'"&amp;H$1&amp;"'!B2:B1000")=$B47) * (INDIRECT("'"&amp;H$1&amp;"'!C2:C1000")=$C47)
        ),7,
        FALSE
    )
)</f>
        <v>Sim</v>
      </c>
      <c r="I47" s="90" t="str">
        <f t="array" aca="1" ref="I47" ca="1">IF(
    VLOOKUP(
        $A47,
        _xlfn._xlws.FILTER(
            INDIRECT("'"&amp;I$1&amp;"'!A2:G1000"), (INDIRECT("'"&amp;I$1&amp;"'!B2:B1000")=$B47) * (INDIRECT("'"&amp;I$1&amp;"'!C2:C1000")=$C47)
        ),
        5,
        FALSE
    )="",
    "",
    VLOOKUP(
        $A47,
        _xlfn._xlws.FILTER(
            INDIRECT("'"&amp;I$1&amp;"'!A2:G1000"), (INDIRECT("'"&amp;I$1&amp;"'!B2:B1000")=$B47) * (INDIRECT("'"&amp;I$1&amp;"'!C2:C1000")=$C47)
        ),7,
        FALSE
    )
)</f>
        <v>Sim</v>
      </c>
      <c r="J47" s="90" t="str">
        <f t="array" aca="1" ref="J47" ca="1">IF(
    VLOOKUP(
        $A47,
        _xlfn._xlws.FILTER(
            INDIRECT("'"&amp;J$1&amp;"'!A2:G1000"), (INDIRECT("'"&amp;J$1&amp;"'!B2:B1000")=$B47) * (INDIRECT("'"&amp;J$1&amp;"'!C2:C1000")=$C47)
        ),
        5,
        FALSE
    )="",
    "",
    VLOOKUP(
        $A47,
        _xlfn._xlws.FILTER(
            INDIRECT("'"&amp;J$1&amp;"'!A2:G1000"), (INDIRECT("'"&amp;J$1&amp;"'!B2:B1000")=$B47) * (INDIRECT("'"&amp;J$1&amp;"'!C2:C1000")=$C47)
        ),7,
        FALSE
    )
)</f>
        <v>Sim</v>
      </c>
      <c r="K47" s="90" t="str">
        <f t="array" aca="1" ref="K47" ca="1">IF(
    VLOOKUP(
        $A47,
        _xlfn._xlws.FILTER(
            INDIRECT("'"&amp;K$1&amp;"'!A2:G1000"), (INDIRECT("'"&amp;K$1&amp;"'!B2:B1000")=$B47) * (INDIRECT("'"&amp;K$1&amp;"'!C2:C1000")=$C47)
        ),
        5,
        FALSE
    )="",
    "",
    VLOOKUP(
        $A47,
        _xlfn._xlws.FILTER(
            INDIRECT("'"&amp;K$1&amp;"'!A2:G1000"), (INDIRECT("'"&amp;K$1&amp;"'!B2:B1000")=$B47) * (INDIRECT("'"&amp;K$1&amp;"'!C2:C1000")=$C47)
        ),7,
        FALSE
    )
)</f>
        <v>Não</v>
      </c>
      <c r="L47" s="90" t="str">
        <f t="array" aca="1" ref="L47" ca="1">IF(
    VLOOKUP(
        $A47,
        _xlfn._xlws.FILTER(
            INDIRECT("'"&amp;L$1&amp;"'!A2:G1000"), (INDIRECT("'"&amp;L$1&amp;"'!B2:B1000")=$B47) * (INDIRECT("'"&amp;L$1&amp;"'!C2:C1000")=$C47)
        ),
        5,
        FALSE
    )="",
    "",
    VLOOKUP(
        $A47,
        _xlfn._xlws.FILTER(
            INDIRECT("'"&amp;L$1&amp;"'!A2:G1000"), (INDIRECT("'"&amp;L$1&amp;"'!B2:B1000")=$B47) * (INDIRECT("'"&amp;L$1&amp;"'!C2:C1000")=$C47)
        ),7,
        FALSE
    )
)</f>
        <v>Não</v>
      </c>
      <c r="M47" s="90" t="str">
        <f t="array" aca="1" ref="M47" ca="1">IF(
    VLOOKUP(
        $A47,
        _xlfn._xlws.FILTER(
            INDIRECT("'"&amp;M$1&amp;"'!A2:G1000"), (INDIRECT("'"&amp;M$1&amp;"'!B2:B1000")=$B47) * (INDIRECT("'"&amp;M$1&amp;"'!C2:C1000")=$C47)
        ),
        5,
        FALSE
    )="",
    "",
    VLOOKUP(
        $A47,
        _xlfn._xlws.FILTER(
            INDIRECT("'"&amp;M$1&amp;"'!A2:G1000"), (INDIRECT("'"&amp;M$1&amp;"'!B2:B1000")=$B47) * (INDIRECT("'"&amp;M$1&amp;"'!C2:C1000")=$C47)
        ),7,
        FALSE
    )
)</f>
        <v>Não</v>
      </c>
      <c r="N47" s="90" t="str">
        <f t="array" aca="1" ref="N47" ca="1">IF(
    VLOOKUP(
        $A47,
        _xlfn._xlws.FILTER(
            INDIRECT("'"&amp;N$1&amp;"'!A2:G1000"), (INDIRECT("'"&amp;N$1&amp;"'!B2:B1000")=$B47) * (INDIRECT("'"&amp;N$1&amp;"'!C2:C1000")=$C47)
        ),
        5,
        FALSE
    )="",
    "",
    VLOOKUP(
        $A47,
        _xlfn._xlws.FILTER(
            INDIRECT("'"&amp;N$1&amp;"'!A2:G1000"), (INDIRECT("'"&amp;N$1&amp;"'!B2:B1000")=$B47) * (INDIRECT("'"&amp;N$1&amp;"'!C2:C1000")=$C47)
        ),7,
        FALSE
    )
)</f>
        <v>Não</v>
      </c>
      <c r="O47" s="90" t="str">
        <f t="array" aca="1" ref="O47" ca="1">IF(
    VLOOKUP(
        $A47,
        _xlfn._xlws.FILTER(
            INDIRECT("'"&amp;O$1&amp;"'!A2:G1000"), (INDIRECT("'"&amp;O$1&amp;"'!B2:B1000")=$B47) * (INDIRECT("'"&amp;O$1&amp;"'!C2:C1000")=$C47)
        ),
        5,
        FALSE
    )="",
    "",
    VLOOKUP(
        $A47,
        _xlfn._xlws.FILTER(
            INDIRECT("'"&amp;O$1&amp;"'!A2:G1000"), (INDIRECT("'"&amp;O$1&amp;"'!B2:B1000")=$B47) * (INDIRECT("'"&amp;O$1&amp;"'!C2:C1000")=$C47)
        ),7,
        FALSE
    )
)</f>
        <v/>
      </c>
    </row>
    <row r="48" spans="1:15">
      <c r="A48" s="96" t="s">
        <v>26</v>
      </c>
      <c r="B48" s="112" t="s">
        <v>88</v>
      </c>
      <c r="C48" s="39">
        <v>1</v>
      </c>
      <c r="D48" s="90" t="str">
        <f t="array" aca="1" ref="D48" ca="1">IF(
    VLOOKUP(
        $A48,
        _xlfn._xlws.FILTER(
            INDIRECT("'"&amp;D$1&amp;"'!A2:G1000"), (INDIRECT("'"&amp;D$1&amp;"'!B2:B1000")=$B48) * (INDIRECT("'"&amp;D$1&amp;"'!C2:C1000")=$C48)
        ),
        5,
        FALSE
    )="",
    "",
    VLOOKUP(
        $A48,
        _xlfn._xlws.FILTER(
            INDIRECT("'"&amp;D$1&amp;"'!A2:G1000"), (INDIRECT("'"&amp;D$1&amp;"'!B2:B1000")=$B48) * (INDIRECT("'"&amp;D$1&amp;"'!C2:C1000")=$C48)
        ),7,
        FALSE
    )
)</f>
        <v>Sim</v>
      </c>
      <c r="E48" s="90" t="str">
        <f t="array" aca="1" ref="E48" ca="1">IF(
    VLOOKUP(
        $A48,
        _xlfn._xlws.FILTER(
            INDIRECT("'"&amp;E$1&amp;"'!A2:G1000"), (INDIRECT("'"&amp;E$1&amp;"'!B2:B1000")=$B48) * (INDIRECT("'"&amp;E$1&amp;"'!C2:C1000")=$C48)
        ),
        5,
        FALSE
    )="",
    "",
    VLOOKUP(
        $A48,
        _xlfn._xlws.FILTER(
            INDIRECT("'"&amp;E$1&amp;"'!A2:G1000"), (INDIRECT("'"&amp;E$1&amp;"'!B2:B1000")=$B48) * (INDIRECT("'"&amp;E$1&amp;"'!C2:C1000")=$C48)
        ),7,
        FALSE
    )
)</f>
        <v>Sim</v>
      </c>
      <c r="F48" s="90" t="str">
        <f t="array" aca="1" ref="F48" ca="1">IF(
    VLOOKUP(
        $A48,
        _xlfn._xlws.FILTER(
            INDIRECT("'"&amp;F$1&amp;"'!A2:G1000"), (INDIRECT("'"&amp;F$1&amp;"'!B2:B1000")=$B48) * (INDIRECT("'"&amp;F$1&amp;"'!C2:C1000")=$C48)
        ),
        5,
        FALSE
    )="",
    "",
    VLOOKUP(
        $A48,
        _xlfn._xlws.FILTER(
            INDIRECT("'"&amp;F$1&amp;"'!A2:G1000"), (INDIRECT("'"&amp;F$1&amp;"'!B2:B1000")=$B48) * (INDIRECT("'"&amp;F$1&amp;"'!C2:C1000")=$C48)
        ),7,
        FALSE
    )
)</f>
        <v>Sim</v>
      </c>
      <c r="G48" s="90" t="str">
        <f t="array" aca="1" ref="G48" ca="1">IF(
    VLOOKUP(
        $A48,
        _xlfn._xlws.FILTER(
            INDIRECT("'"&amp;G$1&amp;"'!A2:G1000"), (INDIRECT("'"&amp;G$1&amp;"'!B2:B1000")=$B48) * (INDIRECT("'"&amp;G$1&amp;"'!C2:C1000")=$C48)
        ),
        5,
        FALSE
    )="",
    "",
    VLOOKUP(
        $A48,
        _xlfn._xlws.FILTER(
            INDIRECT("'"&amp;G$1&amp;"'!A2:G1000"), (INDIRECT("'"&amp;G$1&amp;"'!B2:B1000")=$B48) * (INDIRECT("'"&amp;G$1&amp;"'!C2:C1000")=$C48)
        ),7,
        FALSE
    )
)</f>
        <v>Sim</v>
      </c>
      <c r="H48" s="90" t="str">
        <f t="array" aca="1" ref="H48" ca="1">IF(
    VLOOKUP(
        $A48,
        _xlfn._xlws.FILTER(
            INDIRECT("'"&amp;H$1&amp;"'!A2:G1000"), (INDIRECT("'"&amp;H$1&amp;"'!B2:B1000")=$B48) * (INDIRECT("'"&amp;H$1&amp;"'!C2:C1000")=$C48)
        ),
        5,
        FALSE
    )="",
    "",
    VLOOKUP(
        $A48,
        _xlfn._xlws.FILTER(
            INDIRECT("'"&amp;H$1&amp;"'!A2:G1000"), (INDIRECT("'"&amp;H$1&amp;"'!B2:B1000")=$B48) * (INDIRECT("'"&amp;H$1&amp;"'!C2:C1000")=$C48)
        ),7,
        FALSE
    )
)</f>
        <v>Sim</v>
      </c>
      <c r="I48" s="90" t="str">
        <f t="array" aca="1" ref="I48" ca="1">IF(
    VLOOKUP(
        $A48,
        _xlfn._xlws.FILTER(
            INDIRECT("'"&amp;I$1&amp;"'!A2:G1000"), (INDIRECT("'"&amp;I$1&amp;"'!B2:B1000")=$B48) * (INDIRECT("'"&amp;I$1&amp;"'!C2:C1000")=$C48)
        ),
        5,
        FALSE
    )="",
    "",
    VLOOKUP(
        $A48,
        _xlfn._xlws.FILTER(
            INDIRECT("'"&amp;I$1&amp;"'!A2:G1000"), (INDIRECT("'"&amp;I$1&amp;"'!B2:B1000")=$B48) * (INDIRECT("'"&amp;I$1&amp;"'!C2:C1000")=$C48)
        ),7,
        FALSE
    )
)</f>
        <v>Sim</v>
      </c>
      <c r="J48" s="90" t="str">
        <f t="array" aca="1" ref="J48" ca="1">IF(
    VLOOKUP(
        $A48,
        _xlfn._xlws.FILTER(
            INDIRECT("'"&amp;J$1&amp;"'!A2:G1000"), (INDIRECT("'"&amp;J$1&amp;"'!B2:B1000")=$B48) * (INDIRECT("'"&amp;J$1&amp;"'!C2:C1000")=$C48)
        ),
        5,
        FALSE
    )="",
    "",
    VLOOKUP(
        $A48,
        _xlfn._xlws.FILTER(
            INDIRECT("'"&amp;J$1&amp;"'!A2:G1000"), (INDIRECT("'"&amp;J$1&amp;"'!B2:B1000")=$B48) * (INDIRECT("'"&amp;J$1&amp;"'!C2:C1000")=$C48)
        ),7,
        FALSE
    )
)</f>
        <v>Sim</v>
      </c>
      <c r="K48" s="90" t="str">
        <f t="array" aca="1" ref="K48" ca="1">IF(
    VLOOKUP(
        $A48,
        _xlfn._xlws.FILTER(
            INDIRECT("'"&amp;K$1&amp;"'!A2:G1000"), (INDIRECT("'"&amp;K$1&amp;"'!B2:B1000")=$B48) * (INDIRECT("'"&amp;K$1&amp;"'!C2:C1000")=$C48)
        ),
        5,
        FALSE
    )="",
    "",
    VLOOKUP(
        $A48,
        _xlfn._xlws.FILTER(
            INDIRECT("'"&amp;K$1&amp;"'!A2:G1000"), (INDIRECT("'"&amp;K$1&amp;"'!B2:B1000")=$B48) * (INDIRECT("'"&amp;K$1&amp;"'!C2:C1000")=$C48)
        ),7,
        FALSE
    )
)</f>
        <v>Não</v>
      </c>
      <c r="L48" s="90" t="str">
        <f t="array" aca="1" ref="L48" ca="1">IF(
    VLOOKUP(
        $A48,
        _xlfn._xlws.FILTER(
            INDIRECT("'"&amp;L$1&amp;"'!A2:G1000"), (INDIRECT("'"&amp;L$1&amp;"'!B2:B1000")=$B48) * (INDIRECT("'"&amp;L$1&amp;"'!C2:C1000")=$C48)
        ),
        5,
        FALSE
    )="",
    "",
    VLOOKUP(
        $A48,
        _xlfn._xlws.FILTER(
            INDIRECT("'"&amp;L$1&amp;"'!A2:G1000"), (INDIRECT("'"&amp;L$1&amp;"'!B2:B1000")=$B48) * (INDIRECT("'"&amp;L$1&amp;"'!C2:C1000")=$C48)
        ),7,
        FALSE
    )
)</f>
        <v>Não</v>
      </c>
      <c r="M48" s="90" t="str">
        <f t="array" aca="1" ref="M48" ca="1">IF(
    VLOOKUP(
        $A48,
        _xlfn._xlws.FILTER(
            INDIRECT("'"&amp;M$1&amp;"'!A2:G1000"), (INDIRECT("'"&amp;M$1&amp;"'!B2:B1000")=$B48) * (INDIRECT("'"&amp;M$1&amp;"'!C2:C1000")=$C48)
        ),
        5,
        FALSE
    )="",
    "",
    VLOOKUP(
        $A48,
        _xlfn._xlws.FILTER(
            INDIRECT("'"&amp;M$1&amp;"'!A2:G1000"), (INDIRECT("'"&amp;M$1&amp;"'!B2:B1000")=$B48) * (INDIRECT("'"&amp;M$1&amp;"'!C2:C1000")=$C48)
        ),7,
        FALSE
    )
)</f>
        <v>Não</v>
      </c>
      <c r="N48" s="90" t="str">
        <f t="array" aca="1" ref="N48" ca="1">IF(
    VLOOKUP(
        $A48,
        _xlfn._xlws.FILTER(
            INDIRECT("'"&amp;N$1&amp;"'!A2:G1000"), (INDIRECT("'"&amp;N$1&amp;"'!B2:B1000")=$B48) * (INDIRECT("'"&amp;N$1&amp;"'!C2:C1000")=$C48)
        ),
        5,
        FALSE
    )="",
    "",
    VLOOKUP(
        $A48,
        _xlfn._xlws.FILTER(
            INDIRECT("'"&amp;N$1&amp;"'!A2:G1000"), (INDIRECT("'"&amp;N$1&amp;"'!B2:B1000")=$B48) * (INDIRECT("'"&amp;N$1&amp;"'!C2:C1000")=$C48)
        ),7,
        FALSE
    )
)</f>
        <v>Não</v>
      </c>
      <c r="O48" s="90" t="str">
        <f t="array" aca="1" ref="O48" ca="1">IF(
    VLOOKUP(
        $A48,
        _xlfn._xlws.FILTER(
            INDIRECT("'"&amp;O$1&amp;"'!A2:G1000"), (INDIRECT("'"&amp;O$1&amp;"'!B2:B1000")=$B48) * (INDIRECT("'"&amp;O$1&amp;"'!C2:C1000")=$C48)
        ),
        5,
        FALSE
    )="",
    "",
    VLOOKUP(
        $A48,
        _xlfn._xlws.FILTER(
            INDIRECT("'"&amp;O$1&amp;"'!A2:G1000"), (INDIRECT("'"&amp;O$1&amp;"'!B2:B1000")=$B48) * (INDIRECT("'"&amp;O$1&amp;"'!C2:C1000")=$C48)
        ),7,
        FALSE
    )
)</f>
        <v/>
      </c>
    </row>
    <row r="49" spans="1:15" ht="15.75" customHeight="1">
      <c r="A49" s="96" t="s">
        <v>26</v>
      </c>
      <c r="B49" s="112" t="s">
        <v>89</v>
      </c>
      <c r="C49" s="39">
        <v>1</v>
      </c>
      <c r="D49" s="90" t="str">
        <f t="array" aca="1" ref="D49" ca="1">IF(
    VLOOKUP(
        $A49,
        _xlfn._xlws.FILTER(
            INDIRECT("'"&amp;D$1&amp;"'!A2:G1000"), (INDIRECT("'"&amp;D$1&amp;"'!B2:B1000")=$B49) * (INDIRECT("'"&amp;D$1&amp;"'!C2:C1000")=$C49)
        ),
        5,
        FALSE
    )="",
    "",
    VLOOKUP(
        $A49,
        _xlfn._xlws.FILTER(
            INDIRECT("'"&amp;D$1&amp;"'!A2:G1000"), (INDIRECT("'"&amp;D$1&amp;"'!B2:B1000")=$B49) * (INDIRECT("'"&amp;D$1&amp;"'!C2:C1000")=$C49)
        ),7,
        FALSE
    )
)</f>
        <v>Sim</v>
      </c>
      <c r="E49" s="90" t="str">
        <f t="array" aca="1" ref="E49" ca="1">IF(
    VLOOKUP(
        $A49,
        _xlfn._xlws.FILTER(
            INDIRECT("'"&amp;E$1&amp;"'!A2:G1000"), (INDIRECT("'"&amp;E$1&amp;"'!B2:B1000")=$B49) * (INDIRECT("'"&amp;E$1&amp;"'!C2:C1000")=$C49)
        ),
        5,
        FALSE
    )="",
    "",
    VLOOKUP(
        $A49,
        _xlfn._xlws.FILTER(
            INDIRECT("'"&amp;E$1&amp;"'!A2:G1000"), (INDIRECT("'"&amp;E$1&amp;"'!B2:B1000")=$B49) * (INDIRECT("'"&amp;E$1&amp;"'!C2:C1000")=$C49)
        ),7,
        FALSE
    )
)</f>
        <v>Sim</v>
      </c>
      <c r="F49" s="90" t="str">
        <f t="array" aca="1" ref="F49" ca="1">IF(
    VLOOKUP(
        $A49,
        _xlfn._xlws.FILTER(
            INDIRECT("'"&amp;F$1&amp;"'!A2:G1000"), (INDIRECT("'"&amp;F$1&amp;"'!B2:B1000")=$B49) * (INDIRECT("'"&amp;F$1&amp;"'!C2:C1000")=$C49)
        ),
        5,
        FALSE
    )="",
    "",
    VLOOKUP(
        $A49,
        _xlfn._xlws.FILTER(
            INDIRECT("'"&amp;F$1&amp;"'!A2:G1000"), (INDIRECT("'"&amp;F$1&amp;"'!B2:B1000")=$B49) * (INDIRECT("'"&amp;F$1&amp;"'!C2:C1000")=$C49)
        ),7,
        FALSE
    )
)</f>
        <v>Sim</v>
      </c>
      <c r="G49" s="90" t="str">
        <f t="array" aca="1" ref="G49" ca="1">IF(
    VLOOKUP(
        $A49,
        _xlfn._xlws.FILTER(
            INDIRECT("'"&amp;G$1&amp;"'!A2:G1000"), (INDIRECT("'"&amp;G$1&amp;"'!B2:B1000")=$B49) * (INDIRECT("'"&amp;G$1&amp;"'!C2:C1000")=$C49)
        ),
        5,
        FALSE
    )="",
    "",
    VLOOKUP(
        $A49,
        _xlfn._xlws.FILTER(
            INDIRECT("'"&amp;G$1&amp;"'!A2:G1000"), (INDIRECT("'"&amp;G$1&amp;"'!B2:B1000")=$B49) * (INDIRECT("'"&amp;G$1&amp;"'!C2:C1000")=$C49)
        ),7,
        FALSE
    )
)</f>
        <v>Sim</v>
      </c>
      <c r="H49" s="90" t="str">
        <f t="array" aca="1" ref="H49" ca="1">IF(
    VLOOKUP(
        $A49,
        _xlfn._xlws.FILTER(
            INDIRECT("'"&amp;H$1&amp;"'!A2:G1000"), (INDIRECT("'"&amp;H$1&amp;"'!B2:B1000")=$B49) * (INDIRECT("'"&amp;H$1&amp;"'!C2:C1000")=$C49)
        ),
        5,
        FALSE
    )="",
    "",
    VLOOKUP(
        $A49,
        _xlfn._xlws.FILTER(
            INDIRECT("'"&amp;H$1&amp;"'!A2:G1000"), (INDIRECT("'"&amp;H$1&amp;"'!B2:B1000")=$B49) * (INDIRECT("'"&amp;H$1&amp;"'!C2:C1000")=$C49)
        ),7,
        FALSE
    )
)</f>
        <v>Sim</v>
      </c>
      <c r="I49" s="90" t="str">
        <f t="array" aca="1" ref="I49" ca="1">IF(
    VLOOKUP(
        $A49,
        _xlfn._xlws.FILTER(
            INDIRECT("'"&amp;I$1&amp;"'!A2:G1000"), (INDIRECT("'"&amp;I$1&amp;"'!B2:B1000")=$B49) * (INDIRECT("'"&amp;I$1&amp;"'!C2:C1000")=$C49)
        ),
        5,
        FALSE
    )="",
    "",
    VLOOKUP(
        $A49,
        _xlfn._xlws.FILTER(
            INDIRECT("'"&amp;I$1&amp;"'!A2:G1000"), (INDIRECT("'"&amp;I$1&amp;"'!B2:B1000")=$B49) * (INDIRECT("'"&amp;I$1&amp;"'!C2:C1000")=$C49)
        ),7,
        FALSE
    )
)</f>
        <v>Sim</v>
      </c>
      <c r="J49" s="90" t="str">
        <f t="array" aca="1" ref="J49" ca="1">IF(
    VLOOKUP(
        $A49,
        _xlfn._xlws.FILTER(
            INDIRECT("'"&amp;J$1&amp;"'!A2:G1000"), (INDIRECT("'"&amp;J$1&amp;"'!B2:B1000")=$B49) * (INDIRECT("'"&amp;J$1&amp;"'!C2:C1000")=$C49)
        ),
        5,
        FALSE
    )="",
    "",
    VLOOKUP(
        $A49,
        _xlfn._xlws.FILTER(
            INDIRECT("'"&amp;J$1&amp;"'!A2:G1000"), (INDIRECT("'"&amp;J$1&amp;"'!B2:B1000")=$B49) * (INDIRECT("'"&amp;J$1&amp;"'!C2:C1000")=$C49)
        ),7,
        FALSE
    )
)</f>
        <v>Não</v>
      </c>
      <c r="K49" s="90" t="str">
        <f t="array" aca="1" ref="K49" ca="1">IF(
    VLOOKUP(
        $A49,
        _xlfn._xlws.FILTER(
            INDIRECT("'"&amp;K$1&amp;"'!A2:G1000"), (INDIRECT("'"&amp;K$1&amp;"'!B2:B1000")=$B49) * (INDIRECT("'"&amp;K$1&amp;"'!C2:C1000")=$C49)
        ),
        5,
        FALSE
    )="",
    "",
    VLOOKUP(
        $A49,
        _xlfn._xlws.FILTER(
            INDIRECT("'"&amp;K$1&amp;"'!A2:G1000"), (INDIRECT("'"&amp;K$1&amp;"'!B2:B1000")=$B49) * (INDIRECT("'"&amp;K$1&amp;"'!C2:C1000")=$C49)
        ),7,
        FALSE
    )
)</f>
        <v>Não</v>
      </c>
      <c r="L49" s="90" t="str">
        <f t="array" aca="1" ref="L49" ca="1">IF(
    VLOOKUP(
        $A49,
        _xlfn._xlws.FILTER(
            INDIRECT("'"&amp;L$1&amp;"'!A2:G1000"), (INDIRECT("'"&amp;L$1&amp;"'!B2:B1000")=$B49) * (INDIRECT("'"&amp;L$1&amp;"'!C2:C1000")=$C49)
        ),
        5,
        FALSE
    )="",
    "",
    VLOOKUP(
        $A49,
        _xlfn._xlws.FILTER(
            INDIRECT("'"&amp;L$1&amp;"'!A2:G1000"), (INDIRECT("'"&amp;L$1&amp;"'!B2:B1000")=$B49) * (INDIRECT("'"&amp;L$1&amp;"'!C2:C1000")=$C49)
        ),7,
        FALSE
    )
)</f>
        <v>Não</v>
      </c>
      <c r="M49" s="90" t="str">
        <f t="array" aca="1" ref="M49" ca="1">IF(
    VLOOKUP(
        $A49,
        _xlfn._xlws.FILTER(
            INDIRECT("'"&amp;M$1&amp;"'!A2:G1000"), (INDIRECT("'"&amp;M$1&amp;"'!B2:B1000")=$B49) * (INDIRECT("'"&amp;M$1&amp;"'!C2:C1000")=$C49)
        ),
        5,
        FALSE
    )="",
    "",
    VLOOKUP(
        $A49,
        _xlfn._xlws.FILTER(
            INDIRECT("'"&amp;M$1&amp;"'!A2:G1000"), (INDIRECT("'"&amp;M$1&amp;"'!B2:B1000")=$B49) * (INDIRECT("'"&amp;M$1&amp;"'!C2:C1000")=$C49)
        ),7,
        FALSE
    )
)</f>
        <v>Não</v>
      </c>
      <c r="N49" s="90" t="str">
        <f t="array" aca="1" ref="N49" ca="1">IF(
    VLOOKUP(
        $A49,
        _xlfn._xlws.FILTER(
            INDIRECT("'"&amp;N$1&amp;"'!A2:G1000"), (INDIRECT("'"&amp;N$1&amp;"'!B2:B1000")=$B49) * (INDIRECT("'"&amp;N$1&amp;"'!C2:C1000")=$C49)
        ),
        5,
        FALSE
    )="",
    "",
    VLOOKUP(
        $A49,
        _xlfn._xlws.FILTER(
            INDIRECT("'"&amp;N$1&amp;"'!A2:G1000"), (INDIRECT("'"&amp;N$1&amp;"'!B2:B1000")=$B49) * (INDIRECT("'"&amp;N$1&amp;"'!C2:C1000")=$C49)
        ),7,
        FALSE
    )
)</f>
        <v>Não</v>
      </c>
      <c r="O49" s="90" t="str">
        <f t="array" aca="1" ref="O49" ca="1">IF(
    VLOOKUP(
        $A49,
        _xlfn._xlws.FILTER(
            INDIRECT("'"&amp;O$1&amp;"'!A2:G1000"), (INDIRECT("'"&amp;O$1&amp;"'!B2:B1000")=$B49) * (INDIRECT("'"&amp;O$1&amp;"'!C2:C1000")=$C49)
        ),
        5,
        FALSE
    )="",
    "",
    VLOOKUP(
        $A49,
        _xlfn._xlws.FILTER(
            INDIRECT("'"&amp;O$1&amp;"'!A2:G1000"), (INDIRECT("'"&amp;O$1&amp;"'!B2:B1000")=$B49) * (INDIRECT("'"&amp;O$1&amp;"'!C2:C1000")=$C49)
        ),7,
        FALSE
    )
)</f>
        <v/>
      </c>
    </row>
    <row r="50" spans="1:15">
      <c r="A50" s="96" t="s">
        <v>26</v>
      </c>
      <c r="B50" s="112" t="s">
        <v>90</v>
      </c>
      <c r="C50" s="39">
        <v>1</v>
      </c>
      <c r="D50" s="90" t="str">
        <f t="array" aca="1" ref="D50" ca="1">IF(
    VLOOKUP(
        $A50,
        _xlfn._xlws.FILTER(
            INDIRECT("'"&amp;D$1&amp;"'!A2:G1000"), (INDIRECT("'"&amp;D$1&amp;"'!B2:B1000")=$B50) * (INDIRECT("'"&amp;D$1&amp;"'!C2:C1000")=$C50)
        ),
        5,
        FALSE
    )="",
    "",
    VLOOKUP(
        $A50,
        _xlfn._xlws.FILTER(
            INDIRECT("'"&amp;D$1&amp;"'!A2:G1000"), (INDIRECT("'"&amp;D$1&amp;"'!B2:B1000")=$B50) * (INDIRECT("'"&amp;D$1&amp;"'!C2:C1000")=$C50)
        ),7,
        FALSE
    )
)</f>
        <v>Sim</v>
      </c>
      <c r="E50" s="90" t="str">
        <f t="array" aca="1" ref="E50" ca="1">IF(
    VLOOKUP(
        $A50,
        _xlfn._xlws.FILTER(
            INDIRECT("'"&amp;E$1&amp;"'!A2:G1000"), (INDIRECT("'"&amp;E$1&amp;"'!B2:B1000")=$B50) * (INDIRECT("'"&amp;E$1&amp;"'!C2:C1000")=$C50)
        ),
        5,
        FALSE
    )="",
    "",
    VLOOKUP(
        $A50,
        _xlfn._xlws.FILTER(
            INDIRECT("'"&amp;E$1&amp;"'!A2:G1000"), (INDIRECT("'"&amp;E$1&amp;"'!B2:B1000")=$B50) * (INDIRECT("'"&amp;E$1&amp;"'!C2:C1000")=$C50)
        ),7,
        FALSE
    )
)</f>
        <v>Sim</v>
      </c>
      <c r="F50" s="90" t="str">
        <f t="array" aca="1" ref="F50" ca="1">IF(
    VLOOKUP(
        $A50,
        _xlfn._xlws.FILTER(
            INDIRECT("'"&amp;F$1&amp;"'!A2:G1000"), (INDIRECT("'"&amp;F$1&amp;"'!B2:B1000")=$B50) * (INDIRECT("'"&amp;F$1&amp;"'!C2:C1000")=$C50)
        ),
        5,
        FALSE
    )="",
    "",
    VLOOKUP(
        $A50,
        _xlfn._xlws.FILTER(
            INDIRECT("'"&amp;F$1&amp;"'!A2:G1000"), (INDIRECT("'"&amp;F$1&amp;"'!B2:B1000")=$B50) * (INDIRECT("'"&amp;F$1&amp;"'!C2:C1000")=$C50)
        ),7,
        FALSE
    )
)</f>
        <v>Sim</v>
      </c>
      <c r="G50" s="90" t="str">
        <f t="array" aca="1" ref="G50" ca="1">IF(
    VLOOKUP(
        $A50,
        _xlfn._xlws.FILTER(
            INDIRECT("'"&amp;G$1&amp;"'!A2:G1000"), (INDIRECT("'"&amp;G$1&amp;"'!B2:B1000")=$B50) * (INDIRECT("'"&amp;G$1&amp;"'!C2:C1000")=$C50)
        ),
        5,
        FALSE
    )="",
    "",
    VLOOKUP(
        $A50,
        _xlfn._xlws.FILTER(
            INDIRECT("'"&amp;G$1&amp;"'!A2:G1000"), (INDIRECT("'"&amp;G$1&amp;"'!B2:B1000")=$B50) * (INDIRECT("'"&amp;G$1&amp;"'!C2:C1000")=$C50)
        ),7,
        FALSE
    )
)</f>
        <v>Sim</v>
      </c>
      <c r="H50" s="90" t="str">
        <f t="array" aca="1" ref="H50" ca="1">IF(
    VLOOKUP(
        $A50,
        _xlfn._xlws.FILTER(
            INDIRECT("'"&amp;H$1&amp;"'!A2:G1000"), (INDIRECT("'"&amp;H$1&amp;"'!B2:B1000")=$B50) * (INDIRECT("'"&amp;H$1&amp;"'!C2:C1000")=$C50)
        ),
        5,
        FALSE
    )="",
    "",
    VLOOKUP(
        $A50,
        _xlfn._xlws.FILTER(
            INDIRECT("'"&amp;H$1&amp;"'!A2:G1000"), (INDIRECT("'"&amp;H$1&amp;"'!B2:B1000")=$B50) * (INDIRECT("'"&amp;H$1&amp;"'!C2:C1000")=$C50)
        ),7,
        FALSE
    )
)</f>
        <v>Sim</v>
      </c>
      <c r="I50" s="90" t="str">
        <f t="array" aca="1" ref="I50" ca="1">IF(
    VLOOKUP(
        $A50,
        _xlfn._xlws.FILTER(
            INDIRECT("'"&amp;I$1&amp;"'!A2:G1000"), (INDIRECT("'"&amp;I$1&amp;"'!B2:B1000")=$B50) * (INDIRECT("'"&amp;I$1&amp;"'!C2:C1000")=$C50)
        ),
        5,
        FALSE
    )="",
    "",
    VLOOKUP(
        $A50,
        _xlfn._xlws.FILTER(
            INDIRECT("'"&amp;I$1&amp;"'!A2:G1000"), (INDIRECT("'"&amp;I$1&amp;"'!B2:B1000")=$B50) * (INDIRECT("'"&amp;I$1&amp;"'!C2:C1000")=$C50)
        ),7,
        FALSE
    )
)</f>
        <v>Não</v>
      </c>
      <c r="J50" s="90" t="str">
        <f t="array" aca="1" ref="J50" ca="1">IF(
    VLOOKUP(
        $A50,
        _xlfn._xlws.FILTER(
            INDIRECT("'"&amp;J$1&amp;"'!A2:G1000"), (INDIRECT("'"&amp;J$1&amp;"'!B2:B1000")=$B50) * (INDIRECT("'"&amp;J$1&amp;"'!C2:C1000")=$C50)
        ),
        5,
        FALSE
    )="",
    "",
    VLOOKUP(
        $A50,
        _xlfn._xlws.FILTER(
            INDIRECT("'"&amp;J$1&amp;"'!A2:G1000"), (INDIRECT("'"&amp;J$1&amp;"'!B2:B1000")=$B50) * (INDIRECT("'"&amp;J$1&amp;"'!C2:C1000")=$C50)
        ),7,
        FALSE
    )
)</f>
        <v>Sim</v>
      </c>
      <c r="K50" s="90" t="str">
        <f t="array" aca="1" ref="K50" ca="1">IF(
    VLOOKUP(
        $A50,
        _xlfn._xlws.FILTER(
            INDIRECT("'"&amp;K$1&amp;"'!A2:G1000"), (INDIRECT("'"&amp;K$1&amp;"'!B2:B1000")=$B50) * (INDIRECT("'"&amp;K$1&amp;"'!C2:C1000")=$C50)
        ),
        5,
        FALSE
    )="",
    "",
    VLOOKUP(
        $A50,
        _xlfn._xlws.FILTER(
            INDIRECT("'"&amp;K$1&amp;"'!A2:G1000"), (INDIRECT("'"&amp;K$1&amp;"'!B2:B1000")=$B50) * (INDIRECT("'"&amp;K$1&amp;"'!C2:C1000")=$C50)
        ),7,
        FALSE
    )
)</f>
        <v>Não</v>
      </c>
      <c r="L50" s="90" t="str">
        <f t="array" aca="1" ref="L50" ca="1">IF(
    VLOOKUP(
        $A50,
        _xlfn._xlws.FILTER(
            INDIRECT("'"&amp;L$1&amp;"'!A2:G1000"), (INDIRECT("'"&amp;L$1&amp;"'!B2:B1000")=$B50) * (INDIRECT("'"&amp;L$1&amp;"'!C2:C1000")=$C50)
        ),
        5,
        FALSE
    )="",
    "",
    VLOOKUP(
        $A50,
        _xlfn._xlws.FILTER(
            INDIRECT("'"&amp;L$1&amp;"'!A2:G1000"), (INDIRECT("'"&amp;L$1&amp;"'!B2:B1000")=$B50) * (INDIRECT("'"&amp;L$1&amp;"'!C2:C1000")=$C50)
        ),7,
        FALSE
    )
)</f>
        <v>Não</v>
      </c>
      <c r="M50" s="90" t="str">
        <f t="array" aca="1" ref="M50" ca="1">IF(
    VLOOKUP(
        $A50,
        _xlfn._xlws.FILTER(
            INDIRECT("'"&amp;M$1&amp;"'!A2:G1000"), (INDIRECT("'"&amp;M$1&amp;"'!B2:B1000")=$B50) * (INDIRECT("'"&amp;M$1&amp;"'!C2:C1000")=$C50)
        ),
        5,
        FALSE
    )="",
    "",
    VLOOKUP(
        $A50,
        _xlfn._xlws.FILTER(
            INDIRECT("'"&amp;M$1&amp;"'!A2:G1000"), (INDIRECT("'"&amp;M$1&amp;"'!B2:B1000")=$B50) * (INDIRECT("'"&amp;M$1&amp;"'!C2:C1000")=$C50)
        ),7,
        FALSE
    )
)</f>
        <v>Não</v>
      </c>
      <c r="N50" s="90" t="str">
        <f t="array" aca="1" ref="N50" ca="1">IF(
    VLOOKUP(
        $A50,
        _xlfn._xlws.FILTER(
            INDIRECT("'"&amp;N$1&amp;"'!A2:G1000"), (INDIRECT("'"&amp;N$1&amp;"'!B2:B1000")=$B50) * (INDIRECT("'"&amp;N$1&amp;"'!C2:C1000")=$C50)
        ),
        5,
        FALSE
    )="",
    "",
    VLOOKUP(
        $A50,
        _xlfn._xlws.FILTER(
            INDIRECT("'"&amp;N$1&amp;"'!A2:G1000"), (INDIRECT("'"&amp;N$1&amp;"'!B2:B1000")=$B50) * (INDIRECT("'"&amp;N$1&amp;"'!C2:C1000")=$C50)
        ),7,
        FALSE
    )
)</f>
        <v>Não</v>
      </c>
      <c r="O50" s="90" t="str">
        <f t="array" aca="1" ref="O50" ca="1">IF(
    VLOOKUP(
        $A50,
        _xlfn._xlws.FILTER(
            INDIRECT("'"&amp;O$1&amp;"'!A2:G1000"), (INDIRECT("'"&amp;O$1&amp;"'!B2:B1000")=$B50) * (INDIRECT("'"&amp;O$1&amp;"'!C2:C1000")=$C50)
        ),
        5,
        FALSE
    )="",
    "",
    VLOOKUP(
        $A50,
        _xlfn._xlws.FILTER(
            INDIRECT("'"&amp;O$1&amp;"'!A2:G1000"), (INDIRECT("'"&amp;O$1&amp;"'!B2:B1000")=$B50) * (INDIRECT("'"&amp;O$1&amp;"'!C2:C1000")=$C50)
        ),7,
        FALSE
    )
)</f>
        <v/>
      </c>
    </row>
    <row r="51" spans="1:15">
      <c r="A51" s="96" t="s">
        <v>26</v>
      </c>
      <c r="B51" s="112" t="s">
        <v>91</v>
      </c>
      <c r="C51" s="39">
        <v>1</v>
      </c>
      <c r="D51" s="90" t="str">
        <f t="array" aca="1" ref="D51" ca="1">IF(
    VLOOKUP(
        $A51,
        _xlfn._xlws.FILTER(
            INDIRECT("'"&amp;D$1&amp;"'!A2:G1000"), (INDIRECT("'"&amp;D$1&amp;"'!B2:B1000")=$B51) * (INDIRECT("'"&amp;D$1&amp;"'!C2:C1000")=$C51)
        ),
        5,
        FALSE
    )="",
    "",
    VLOOKUP(
        $A51,
        _xlfn._xlws.FILTER(
            INDIRECT("'"&amp;D$1&amp;"'!A2:G1000"), (INDIRECT("'"&amp;D$1&amp;"'!B2:B1000")=$B51) * (INDIRECT("'"&amp;D$1&amp;"'!C2:C1000")=$C51)
        ),7,
        FALSE
    )
)</f>
        <v>Sim</v>
      </c>
      <c r="E51" s="90" t="str">
        <f t="array" aca="1" ref="E51" ca="1">IF(
    VLOOKUP(
        $A51,
        _xlfn._xlws.FILTER(
            INDIRECT("'"&amp;E$1&amp;"'!A2:G1000"), (INDIRECT("'"&amp;E$1&amp;"'!B2:B1000")=$B51) * (INDIRECT("'"&amp;E$1&amp;"'!C2:C1000")=$C51)
        ),
        5,
        FALSE
    )="",
    "",
    VLOOKUP(
        $A51,
        _xlfn._xlws.FILTER(
            INDIRECT("'"&amp;E$1&amp;"'!A2:G1000"), (INDIRECT("'"&amp;E$1&amp;"'!B2:B1000")=$B51) * (INDIRECT("'"&amp;E$1&amp;"'!C2:C1000")=$C51)
        ),7,
        FALSE
    )
)</f>
        <v>Sim</v>
      </c>
      <c r="F51" s="90" t="str">
        <f t="array" aca="1" ref="F51" ca="1">IF(
    VLOOKUP(
        $A51,
        _xlfn._xlws.FILTER(
            INDIRECT("'"&amp;F$1&amp;"'!A2:G1000"), (INDIRECT("'"&amp;F$1&amp;"'!B2:B1000")=$B51) * (INDIRECT("'"&amp;F$1&amp;"'!C2:C1000")=$C51)
        ),
        5,
        FALSE
    )="",
    "",
    VLOOKUP(
        $A51,
        _xlfn._xlws.FILTER(
            INDIRECT("'"&amp;F$1&amp;"'!A2:G1000"), (INDIRECT("'"&amp;F$1&amp;"'!B2:B1000")=$B51) * (INDIRECT("'"&amp;F$1&amp;"'!C2:C1000")=$C51)
        ),7,
        FALSE
    )
)</f>
        <v>Sim</v>
      </c>
      <c r="G51" s="90" t="str">
        <f t="array" aca="1" ref="G51" ca="1">IF(
    VLOOKUP(
        $A51,
        _xlfn._xlws.FILTER(
            INDIRECT("'"&amp;G$1&amp;"'!A2:G1000"), (INDIRECT("'"&amp;G$1&amp;"'!B2:B1000")=$B51) * (INDIRECT("'"&amp;G$1&amp;"'!C2:C1000")=$C51)
        ),
        5,
        FALSE
    )="",
    "",
    VLOOKUP(
        $A51,
        _xlfn._xlws.FILTER(
            INDIRECT("'"&amp;G$1&amp;"'!A2:G1000"), (INDIRECT("'"&amp;G$1&amp;"'!B2:B1000")=$B51) * (INDIRECT("'"&amp;G$1&amp;"'!C2:C1000")=$C51)
        ),7,
        FALSE
    )
)</f>
        <v>Sim</v>
      </c>
      <c r="H51" s="90" t="str">
        <f t="array" aca="1" ref="H51" ca="1">IF(
    VLOOKUP(
        $A51,
        _xlfn._xlws.FILTER(
            INDIRECT("'"&amp;H$1&amp;"'!A2:G1000"), (INDIRECT("'"&amp;H$1&amp;"'!B2:B1000")=$B51) * (INDIRECT("'"&amp;H$1&amp;"'!C2:C1000")=$C51)
        ),
        5,
        FALSE
    )="",
    "",
    VLOOKUP(
        $A51,
        _xlfn._xlws.FILTER(
            INDIRECT("'"&amp;H$1&amp;"'!A2:G1000"), (INDIRECT("'"&amp;H$1&amp;"'!B2:B1000")=$B51) * (INDIRECT("'"&amp;H$1&amp;"'!C2:C1000")=$C51)
        ),7,
        FALSE
    )
)</f>
        <v>Sim</v>
      </c>
      <c r="I51" s="90" t="str">
        <f t="array" aca="1" ref="I51" ca="1">IF(
    VLOOKUP(
        $A51,
        _xlfn._xlws.FILTER(
            INDIRECT("'"&amp;I$1&amp;"'!A2:G1000"), (INDIRECT("'"&amp;I$1&amp;"'!B2:B1000")=$B51) * (INDIRECT("'"&amp;I$1&amp;"'!C2:C1000")=$C51)
        ),
        5,
        FALSE
    )="",
    "",
    VLOOKUP(
        $A51,
        _xlfn._xlws.FILTER(
            INDIRECT("'"&amp;I$1&amp;"'!A2:G1000"), (INDIRECT("'"&amp;I$1&amp;"'!B2:B1000")=$B51) * (INDIRECT("'"&amp;I$1&amp;"'!C2:C1000")=$C51)
        ),7,
        FALSE
    )
)</f>
        <v>Sim</v>
      </c>
      <c r="J51" s="90" t="str">
        <f t="array" aca="1" ref="J51" ca="1">IF(
    VLOOKUP(
        $A51,
        _xlfn._xlws.FILTER(
            INDIRECT("'"&amp;J$1&amp;"'!A2:G1000"), (INDIRECT("'"&amp;J$1&amp;"'!B2:B1000")=$B51) * (INDIRECT("'"&amp;J$1&amp;"'!C2:C1000")=$C51)
        ),
        5,
        FALSE
    )="",
    "",
    VLOOKUP(
        $A51,
        _xlfn._xlws.FILTER(
            INDIRECT("'"&amp;J$1&amp;"'!A2:G1000"), (INDIRECT("'"&amp;J$1&amp;"'!B2:B1000")=$B51) * (INDIRECT("'"&amp;J$1&amp;"'!C2:C1000")=$C51)
        ),7,
        FALSE
    )
)</f>
        <v>Sim</v>
      </c>
      <c r="K51" s="90" t="str">
        <f t="array" aca="1" ref="K51" ca="1">IF(
    VLOOKUP(
        $A51,
        _xlfn._xlws.FILTER(
            INDIRECT("'"&amp;K$1&amp;"'!A2:G1000"), (INDIRECT("'"&amp;K$1&amp;"'!B2:B1000")=$B51) * (INDIRECT("'"&amp;K$1&amp;"'!C2:C1000")=$C51)
        ),
        5,
        FALSE
    )="",
    "",
    VLOOKUP(
        $A51,
        _xlfn._xlws.FILTER(
            INDIRECT("'"&amp;K$1&amp;"'!A2:G1000"), (INDIRECT("'"&amp;K$1&amp;"'!B2:B1000")=$B51) * (INDIRECT("'"&amp;K$1&amp;"'!C2:C1000")=$C51)
        ),7,
        FALSE
    )
)</f>
        <v>Não</v>
      </c>
      <c r="L51" s="90" t="str">
        <f t="array" aca="1" ref="L51" ca="1">IF(
    VLOOKUP(
        $A51,
        _xlfn._xlws.FILTER(
            INDIRECT("'"&amp;L$1&amp;"'!A2:G1000"), (INDIRECT("'"&amp;L$1&amp;"'!B2:B1000")=$B51) * (INDIRECT("'"&amp;L$1&amp;"'!C2:C1000")=$C51)
        ),
        5,
        FALSE
    )="",
    "",
    VLOOKUP(
        $A51,
        _xlfn._xlws.FILTER(
            INDIRECT("'"&amp;L$1&amp;"'!A2:G1000"), (INDIRECT("'"&amp;L$1&amp;"'!B2:B1000")=$B51) * (INDIRECT("'"&amp;L$1&amp;"'!C2:C1000")=$C51)
        ),7,
        FALSE
    )
)</f>
        <v>Não</v>
      </c>
      <c r="M51" s="90" t="str">
        <f t="array" aca="1" ref="M51" ca="1">IF(
    VLOOKUP(
        $A51,
        _xlfn._xlws.FILTER(
            INDIRECT("'"&amp;M$1&amp;"'!A2:G1000"), (INDIRECT("'"&amp;M$1&amp;"'!B2:B1000")=$B51) * (INDIRECT("'"&amp;M$1&amp;"'!C2:C1000")=$C51)
        ),
        5,
        FALSE
    )="",
    "",
    VLOOKUP(
        $A51,
        _xlfn._xlws.FILTER(
            INDIRECT("'"&amp;M$1&amp;"'!A2:G1000"), (INDIRECT("'"&amp;M$1&amp;"'!B2:B1000")=$B51) * (INDIRECT("'"&amp;M$1&amp;"'!C2:C1000")=$C51)
        ),7,
        FALSE
    )
)</f>
        <v>Não</v>
      </c>
      <c r="N51" s="90" t="str">
        <f t="array" aca="1" ref="N51" ca="1">IF(
    VLOOKUP(
        $A51,
        _xlfn._xlws.FILTER(
            INDIRECT("'"&amp;N$1&amp;"'!A2:G1000"), (INDIRECT("'"&amp;N$1&amp;"'!B2:B1000")=$B51) * (INDIRECT("'"&amp;N$1&amp;"'!C2:C1000")=$C51)
        ),
        5,
        FALSE
    )="",
    "",
    VLOOKUP(
        $A51,
        _xlfn._xlws.FILTER(
            INDIRECT("'"&amp;N$1&amp;"'!A2:G1000"), (INDIRECT("'"&amp;N$1&amp;"'!B2:B1000")=$B51) * (INDIRECT("'"&amp;N$1&amp;"'!C2:C1000")=$C51)
        ),7,
        FALSE
    )
)</f>
        <v>Não</v>
      </c>
      <c r="O51" s="90" t="str">
        <f t="array" aca="1" ref="O51" ca="1">IF(
    VLOOKUP(
        $A51,
        _xlfn._xlws.FILTER(
            INDIRECT("'"&amp;O$1&amp;"'!A2:G1000"), (INDIRECT("'"&amp;O$1&amp;"'!B2:B1000")=$B51) * (INDIRECT("'"&amp;O$1&amp;"'!C2:C1000")=$C51)
        ),
        5,
        FALSE
    )="",
    "",
    VLOOKUP(
        $A51,
        _xlfn._xlws.FILTER(
            INDIRECT("'"&amp;O$1&amp;"'!A2:G1000"), (INDIRECT("'"&amp;O$1&amp;"'!B2:B1000")=$B51) * (INDIRECT("'"&amp;O$1&amp;"'!C2:C1000")=$C51)
        ),7,
        FALSE
    )
)</f>
        <v/>
      </c>
    </row>
    <row r="52" spans="1:15">
      <c r="A52" s="96" t="s">
        <v>26</v>
      </c>
      <c r="B52" s="112" t="s">
        <v>92</v>
      </c>
      <c r="C52" s="39">
        <v>1</v>
      </c>
      <c r="D52" s="90" t="str">
        <f t="array" aca="1" ref="D52" ca="1">IF(
    VLOOKUP(
        $A52,
        _xlfn._xlws.FILTER(
            INDIRECT("'"&amp;D$1&amp;"'!A2:G1000"), (INDIRECT("'"&amp;D$1&amp;"'!B2:B1000")=$B52) * (INDIRECT("'"&amp;D$1&amp;"'!C2:C1000")=$C52)
        ),
        5,
        FALSE
    )="",
    "",
    VLOOKUP(
        $A52,
        _xlfn._xlws.FILTER(
            INDIRECT("'"&amp;D$1&amp;"'!A2:G1000"), (INDIRECT("'"&amp;D$1&amp;"'!B2:B1000")=$B52) * (INDIRECT("'"&amp;D$1&amp;"'!C2:C1000")=$C52)
        ),7,
        FALSE
    )
)</f>
        <v>Sim</v>
      </c>
      <c r="E52" s="90" t="str">
        <f t="array" aca="1" ref="E52" ca="1">IF(
    VLOOKUP(
        $A52,
        _xlfn._xlws.FILTER(
            INDIRECT("'"&amp;E$1&amp;"'!A2:G1000"), (INDIRECT("'"&amp;E$1&amp;"'!B2:B1000")=$B52) * (INDIRECT("'"&amp;E$1&amp;"'!C2:C1000")=$C52)
        ),
        5,
        FALSE
    )="",
    "",
    VLOOKUP(
        $A52,
        _xlfn._xlws.FILTER(
            INDIRECT("'"&amp;E$1&amp;"'!A2:G1000"), (INDIRECT("'"&amp;E$1&amp;"'!B2:B1000")=$B52) * (INDIRECT("'"&amp;E$1&amp;"'!C2:C1000")=$C52)
        ),7,
        FALSE
    )
)</f>
        <v>Sim</v>
      </c>
      <c r="F52" s="90" t="str">
        <f t="array" aca="1" ref="F52" ca="1">IF(
    VLOOKUP(
        $A52,
        _xlfn._xlws.FILTER(
            INDIRECT("'"&amp;F$1&amp;"'!A2:G1000"), (INDIRECT("'"&amp;F$1&amp;"'!B2:B1000")=$B52) * (INDIRECT("'"&amp;F$1&amp;"'!C2:C1000")=$C52)
        ),
        5,
        FALSE
    )="",
    "",
    VLOOKUP(
        $A52,
        _xlfn._xlws.FILTER(
            INDIRECT("'"&amp;F$1&amp;"'!A2:G1000"), (INDIRECT("'"&amp;F$1&amp;"'!B2:B1000")=$B52) * (INDIRECT("'"&amp;F$1&amp;"'!C2:C1000")=$C52)
        ),7,
        FALSE
    )
)</f>
        <v>Sim</v>
      </c>
      <c r="G52" s="90" t="str">
        <f t="array" aca="1" ref="G52" ca="1">IF(
    VLOOKUP(
        $A52,
        _xlfn._xlws.FILTER(
            INDIRECT("'"&amp;G$1&amp;"'!A2:G1000"), (INDIRECT("'"&amp;G$1&amp;"'!B2:B1000")=$B52) * (INDIRECT("'"&amp;G$1&amp;"'!C2:C1000")=$C52)
        ),
        5,
        FALSE
    )="",
    "",
    VLOOKUP(
        $A52,
        _xlfn._xlws.FILTER(
            INDIRECT("'"&amp;G$1&amp;"'!A2:G1000"), (INDIRECT("'"&amp;G$1&amp;"'!B2:B1000")=$B52) * (INDIRECT("'"&amp;G$1&amp;"'!C2:C1000")=$C52)
        ),7,
        FALSE
    )
)</f>
        <v>Sim</v>
      </c>
      <c r="H52" s="90" t="str">
        <f t="array" aca="1" ref="H52" ca="1">IF(
    VLOOKUP(
        $A52,
        _xlfn._xlws.FILTER(
            INDIRECT("'"&amp;H$1&amp;"'!A2:G1000"), (INDIRECT("'"&amp;H$1&amp;"'!B2:B1000")=$B52) * (INDIRECT("'"&amp;H$1&amp;"'!C2:C1000")=$C52)
        ),
        5,
        FALSE
    )="",
    "",
    VLOOKUP(
        $A52,
        _xlfn._xlws.FILTER(
            INDIRECT("'"&amp;H$1&amp;"'!A2:G1000"), (INDIRECT("'"&amp;H$1&amp;"'!B2:B1000")=$B52) * (INDIRECT("'"&amp;H$1&amp;"'!C2:C1000")=$C52)
        ),7,
        FALSE
    )
)</f>
        <v>Sim</v>
      </c>
      <c r="I52" s="90" t="str">
        <f t="array" aca="1" ref="I52" ca="1">IF(
    VLOOKUP(
        $A52,
        _xlfn._xlws.FILTER(
            INDIRECT("'"&amp;I$1&amp;"'!A2:G1000"), (INDIRECT("'"&amp;I$1&amp;"'!B2:B1000")=$B52) * (INDIRECT("'"&amp;I$1&amp;"'!C2:C1000")=$C52)
        ),
        5,
        FALSE
    )="",
    "",
    VLOOKUP(
        $A52,
        _xlfn._xlws.FILTER(
            INDIRECT("'"&amp;I$1&amp;"'!A2:G1000"), (INDIRECT("'"&amp;I$1&amp;"'!B2:B1000")=$B52) * (INDIRECT("'"&amp;I$1&amp;"'!C2:C1000")=$C52)
        ),7,
        FALSE
    )
)</f>
        <v>Sim</v>
      </c>
      <c r="J52" s="90" t="str">
        <f t="array" aca="1" ref="J52" ca="1">IF(
    VLOOKUP(
        $A52,
        _xlfn._xlws.FILTER(
            INDIRECT("'"&amp;J$1&amp;"'!A2:G1000"), (INDIRECT("'"&amp;J$1&amp;"'!B2:B1000")=$B52) * (INDIRECT("'"&amp;J$1&amp;"'!C2:C1000")=$C52)
        ),
        5,
        FALSE
    )="",
    "",
    VLOOKUP(
        $A52,
        _xlfn._xlws.FILTER(
            INDIRECT("'"&amp;J$1&amp;"'!A2:G1000"), (INDIRECT("'"&amp;J$1&amp;"'!B2:B1000")=$B52) * (INDIRECT("'"&amp;J$1&amp;"'!C2:C1000")=$C52)
        ),7,
        FALSE
    )
)</f>
        <v>Sim</v>
      </c>
      <c r="K52" s="90" t="str">
        <f t="array" aca="1" ref="K52" ca="1">IF(
    VLOOKUP(
        $A52,
        _xlfn._xlws.FILTER(
            INDIRECT("'"&amp;K$1&amp;"'!A2:G1000"), (INDIRECT("'"&amp;K$1&amp;"'!B2:B1000")=$B52) * (INDIRECT("'"&amp;K$1&amp;"'!C2:C1000")=$C52)
        ),
        5,
        FALSE
    )="",
    "",
    VLOOKUP(
        $A52,
        _xlfn._xlws.FILTER(
            INDIRECT("'"&amp;K$1&amp;"'!A2:G1000"), (INDIRECT("'"&amp;K$1&amp;"'!B2:B1000")=$B52) * (INDIRECT("'"&amp;K$1&amp;"'!C2:C1000")=$C52)
        ),7,
        FALSE
    )
)</f>
        <v>Não</v>
      </c>
      <c r="L52" s="90" t="str">
        <f t="array" aca="1" ref="L52" ca="1">IF(
    VLOOKUP(
        $A52,
        _xlfn._xlws.FILTER(
            INDIRECT("'"&amp;L$1&amp;"'!A2:G1000"), (INDIRECT("'"&amp;L$1&amp;"'!B2:B1000")=$B52) * (INDIRECT("'"&amp;L$1&amp;"'!C2:C1000")=$C52)
        ),
        5,
        FALSE
    )="",
    "",
    VLOOKUP(
        $A52,
        _xlfn._xlws.FILTER(
            INDIRECT("'"&amp;L$1&amp;"'!A2:G1000"), (INDIRECT("'"&amp;L$1&amp;"'!B2:B1000")=$B52) * (INDIRECT("'"&amp;L$1&amp;"'!C2:C1000")=$C52)
        ),7,
        FALSE
    )
)</f>
        <v>Não</v>
      </c>
      <c r="M52" s="90" t="str">
        <f t="array" aca="1" ref="M52" ca="1">IF(
    VLOOKUP(
        $A52,
        _xlfn._xlws.FILTER(
            INDIRECT("'"&amp;M$1&amp;"'!A2:G1000"), (INDIRECT("'"&amp;M$1&amp;"'!B2:B1000")=$B52) * (INDIRECT("'"&amp;M$1&amp;"'!C2:C1000")=$C52)
        ),
        5,
        FALSE
    )="",
    "",
    VLOOKUP(
        $A52,
        _xlfn._xlws.FILTER(
            INDIRECT("'"&amp;M$1&amp;"'!A2:G1000"), (INDIRECT("'"&amp;M$1&amp;"'!B2:B1000")=$B52) * (INDIRECT("'"&amp;M$1&amp;"'!C2:C1000")=$C52)
        ),7,
        FALSE
    )
)</f>
        <v>Não</v>
      </c>
      <c r="N52" s="90" t="str">
        <f t="array" aca="1" ref="N52" ca="1">IF(
    VLOOKUP(
        $A52,
        _xlfn._xlws.FILTER(
            INDIRECT("'"&amp;N$1&amp;"'!A2:G1000"), (INDIRECT("'"&amp;N$1&amp;"'!B2:B1000")=$B52) * (INDIRECT("'"&amp;N$1&amp;"'!C2:C1000")=$C52)
        ),
        5,
        FALSE
    )="",
    "",
    VLOOKUP(
        $A52,
        _xlfn._xlws.FILTER(
            INDIRECT("'"&amp;N$1&amp;"'!A2:G1000"), (INDIRECT("'"&amp;N$1&amp;"'!B2:B1000")=$B52) * (INDIRECT("'"&amp;N$1&amp;"'!C2:C1000")=$C52)
        ),7,
        FALSE
    )
)</f>
        <v>Não</v>
      </c>
      <c r="O52" s="90" t="str">
        <f t="array" aca="1" ref="O52" ca="1">IF(
    VLOOKUP(
        $A52,
        _xlfn._xlws.FILTER(
            INDIRECT("'"&amp;O$1&amp;"'!A2:G1000"), (INDIRECT("'"&amp;O$1&amp;"'!B2:B1000")=$B52) * (INDIRECT("'"&amp;O$1&amp;"'!C2:C1000")=$C52)
        ),
        5,
        FALSE
    )="",
    "",
    VLOOKUP(
        $A52,
        _xlfn._xlws.FILTER(
            INDIRECT("'"&amp;O$1&amp;"'!A2:G1000"), (INDIRECT("'"&amp;O$1&amp;"'!B2:B1000")=$B52) * (INDIRECT("'"&amp;O$1&amp;"'!C2:C1000")=$C52)
        ),7,
        FALSE
    )
)</f>
        <v/>
      </c>
    </row>
    <row r="53" spans="1:15">
      <c r="A53" s="96" t="s">
        <v>26</v>
      </c>
      <c r="B53" s="112" t="s">
        <v>93</v>
      </c>
      <c r="C53" s="39">
        <v>1</v>
      </c>
      <c r="D53" s="90" t="str">
        <f t="array" aca="1" ref="D53" ca="1">IF(
    VLOOKUP(
        $A53,
        _xlfn._xlws.FILTER(
            INDIRECT("'"&amp;D$1&amp;"'!A2:G1000"), (INDIRECT("'"&amp;D$1&amp;"'!B2:B1000")=$B53) * (INDIRECT("'"&amp;D$1&amp;"'!C2:C1000")=$C53)
        ),
        5,
        FALSE
    )="",
    "",
    VLOOKUP(
        $A53,
        _xlfn._xlws.FILTER(
            INDIRECT("'"&amp;D$1&amp;"'!A2:G1000"), (INDIRECT("'"&amp;D$1&amp;"'!B2:B1000")=$B53) * (INDIRECT("'"&amp;D$1&amp;"'!C2:C1000")=$C53)
        ),7,
        FALSE
    )
)</f>
        <v>Sim</v>
      </c>
      <c r="E53" s="90" t="str">
        <f t="array" aca="1" ref="E53" ca="1">IF(
    VLOOKUP(
        $A53,
        _xlfn._xlws.FILTER(
            INDIRECT("'"&amp;E$1&amp;"'!A2:G1000"), (INDIRECT("'"&amp;E$1&amp;"'!B2:B1000")=$B53) * (INDIRECT("'"&amp;E$1&amp;"'!C2:C1000")=$C53)
        ),
        5,
        FALSE
    )="",
    "",
    VLOOKUP(
        $A53,
        _xlfn._xlws.FILTER(
            INDIRECT("'"&amp;E$1&amp;"'!A2:G1000"), (INDIRECT("'"&amp;E$1&amp;"'!B2:B1000")=$B53) * (INDIRECT("'"&amp;E$1&amp;"'!C2:C1000")=$C53)
        ),7,
        FALSE
    )
)</f>
        <v>Sim</v>
      </c>
      <c r="F53" s="90" t="str">
        <f t="array" aca="1" ref="F53" ca="1">IF(
    VLOOKUP(
        $A53,
        _xlfn._xlws.FILTER(
            INDIRECT("'"&amp;F$1&amp;"'!A2:G1000"), (INDIRECT("'"&amp;F$1&amp;"'!B2:B1000")=$B53) * (INDIRECT("'"&amp;F$1&amp;"'!C2:C1000")=$C53)
        ),
        5,
        FALSE
    )="",
    "",
    VLOOKUP(
        $A53,
        _xlfn._xlws.FILTER(
            INDIRECT("'"&amp;F$1&amp;"'!A2:G1000"), (INDIRECT("'"&amp;F$1&amp;"'!B2:B1000")=$B53) * (INDIRECT("'"&amp;F$1&amp;"'!C2:C1000")=$C53)
        ),7,
        FALSE
    )
)</f>
        <v>Sim</v>
      </c>
      <c r="G53" s="90" t="str">
        <f t="array" aca="1" ref="G53" ca="1">IF(
    VLOOKUP(
        $A53,
        _xlfn._xlws.FILTER(
            INDIRECT("'"&amp;G$1&amp;"'!A2:G1000"), (INDIRECT("'"&amp;G$1&amp;"'!B2:B1000")=$B53) * (INDIRECT("'"&amp;G$1&amp;"'!C2:C1000")=$C53)
        ),
        5,
        FALSE
    )="",
    "",
    VLOOKUP(
        $A53,
        _xlfn._xlws.FILTER(
            INDIRECT("'"&amp;G$1&amp;"'!A2:G1000"), (INDIRECT("'"&amp;G$1&amp;"'!B2:B1000")=$B53) * (INDIRECT("'"&amp;G$1&amp;"'!C2:C1000")=$C53)
        ),7,
        FALSE
    )
)</f>
        <v>Sim</v>
      </c>
      <c r="H53" s="90" t="str">
        <f t="array" aca="1" ref="H53" ca="1">IF(
    VLOOKUP(
        $A53,
        _xlfn._xlws.FILTER(
            INDIRECT("'"&amp;H$1&amp;"'!A2:G1000"), (INDIRECT("'"&amp;H$1&amp;"'!B2:B1000")=$B53) * (INDIRECT("'"&amp;H$1&amp;"'!C2:C1000")=$C53)
        ),
        5,
        FALSE
    )="",
    "",
    VLOOKUP(
        $A53,
        _xlfn._xlws.FILTER(
            INDIRECT("'"&amp;H$1&amp;"'!A2:G1000"), (INDIRECT("'"&amp;H$1&amp;"'!B2:B1000")=$B53) * (INDIRECT("'"&amp;H$1&amp;"'!C2:C1000")=$C53)
        ),7,
        FALSE
    )
)</f>
        <v>Sim</v>
      </c>
      <c r="I53" s="90" t="str">
        <f t="array" aca="1" ref="I53" ca="1">IF(
    VLOOKUP(
        $A53,
        _xlfn._xlws.FILTER(
            INDIRECT("'"&amp;I$1&amp;"'!A2:G1000"), (INDIRECT("'"&amp;I$1&amp;"'!B2:B1000")=$B53) * (INDIRECT("'"&amp;I$1&amp;"'!C2:C1000")=$C53)
        ),
        5,
        FALSE
    )="",
    "",
    VLOOKUP(
        $A53,
        _xlfn._xlws.FILTER(
            INDIRECT("'"&amp;I$1&amp;"'!A2:G1000"), (INDIRECT("'"&amp;I$1&amp;"'!B2:B1000")=$B53) * (INDIRECT("'"&amp;I$1&amp;"'!C2:C1000")=$C53)
        ),7,
        FALSE
    )
)</f>
        <v>Sim</v>
      </c>
      <c r="J53" s="90" t="str">
        <f t="array" aca="1" ref="J53" ca="1">IF(
    VLOOKUP(
        $A53,
        _xlfn._xlws.FILTER(
            INDIRECT("'"&amp;J$1&amp;"'!A2:G1000"), (INDIRECT("'"&amp;J$1&amp;"'!B2:B1000")=$B53) * (INDIRECT("'"&amp;J$1&amp;"'!C2:C1000")=$C53)
        ),
        5,
        FALSE
    )="",
    "",
    VLOOKUP(
        $A53,
        _xlfn._xlws.FILTER(
            INDIRECT("'"&amp;J$1&amp;"'!A2:G1000"), (INDIRECT("'"&amp;J$1&amp;"'!B2:B1000")=$B53) * (INDIRECT("'"&amp;J$1&amp;"'!C2:C1000")=$C53)
        ),7,
        FALSE
    )
)</f>
        <v>Sim</v>
      </c>
      <c r="K53" s="90" t="str">
        <f t="array" aca="1" ref="K53" ca="1">IF(
    VLOOKUP(
        $A53,
        _xlfn._xlws.FILTER(
            INDIRECT("'"&amp;K$1&amp;"'!A2:G1000"), (INDIRECT("'"&amp;K$1&amp;"'!B2:B1000")=$B53) * (INDIRECT("'"&amp;K$1&amp;"'!C2:C1000")=$C53)
        ),
        5,
        FALSE
    )="",
    "",
    VLOOKUP(
        $A53,
        _xlfn._xlws.FILTER(
            INDIRECT("'"&amp;K$1&amp;"'!A2:G1000"), (INDIRECT("'"&amp;K$1&amp;"'!B2:B1000")=$B53) * (INDIRECT("'"&amp;K$1&amp;"'!C2:C1000")=$C53)
        ),7,
        FALSE
    )
)</f>
        <v>Não</v>
      </c>
      <c r="L53" s="90" t="str">
        <f t="array" aca="1" ref="L53" ca="1">IF(
    VLOOKUP(
        $A53,
        _xlfn._xlws.FILTER(
            INDIRECT("'"&amp;L$1&amp;"'!A2:G1000"), (INDIRECT("'"&amp;L$1&amp;"'!B2:B1000")=$B53) * (INDIRECT("'"&amp;L$1&amp;"'!C2:C1000")=$C53)
        ),
        5,
        FALSE
    )="",
    "",
    VLOOKUP(
        $A53,
        _xlfn._xlws.FILTER(
            INDIRECT("'"&amp;L$1&amp;"'!A2:G1000"), (INDIRECT("'"&amp;L$1&amp;"'!B2:B1000")=$B53) * (INDIRECT("'"&amp;L$1&amp;"'!C2:C1000")=$C53)
        ),7,
        FALSE
    )
)</f>
        <v>Não</v>
      </c>
      <c r="M53" s="90" t="str">
        <f t="array" aca="1" ref="M53" ca="1">IF(
    VLOOKUP(
        $A53,
        _xlfn._xlws.FILTER(
            INDIRECT("'"&amp;M$1&amp;"'!A2:G1000"), (INDIRECT("'"&amp;M$1&amp;"'!B2:B1000")=$B53) * (INDIRECT("'"&amp;M$1&amp;"'!C2:C1000")=$C53)
        ),
        5,
        FALSE
    )="",
    "",
    VLOOKUP(
        $A53,
        _xlfn._xlws.FILTER(
            INDIRECT("'"&amp;M$1&amp;"'!A2:G1000"), (INDIRECT("'"&amp;M$1&amp;"'!B2:B1000")=$B53) * (INDIRECT("'"&amp;M$1&amp;"'!C2:C1000")=$C53)
        ),7,
        FALSE
    )
)</f>
        <v>Não</v>
      </c>
      <c r="N53" s="90" t="str">
        <f t="array" aca="1" ref="N53" ca="1">IF(
    VLOOKUP(
        $A53,
        _xlfn._xlws.FILTER(
            INDIRECT("'"&amp;N$1&amp;"'!A2:G1000"), (INDIRECT("'"&amp;N$1&amp;"'!B2:B1000")=$B53) * (INDIRECT("'"&amp;N$1&amp;"'!C2:C1000")=$C53)
        ),
        5,
        FALSE
    )="",
    "",
    VLOOKUP(
        $A53,
        _xlfn._xlws.FILTER(
            INDIRECT("'"&amp;N$1&amp;"'!A2:G1000"), (INDIRECT("'"&amp;N$1&amp;"'!B2:B1000")=$B53) * (INDIRECT("'"&amp;N$1&amp;"'!C2:C1000")=$C53)
        ),7,
        FALSE
    )
)</f>
        <v>Não</v>
      </c>
      <c r="O53" s="90" t="str">
        <f t="array" aca="1" ref="O53" ca="1">IF(
    VLOOKUP(
        $A53,
        _xlfn._xlws.FILTER(
            INDIRECT("'"&amp;O$1&amp;"'!A2:G1000"), (INDIRECT("'"&amp;O$1&amp;"'!B2:B1000")=$B53) * (INDIRECT("'"&amp;O$1&amp;"'!C2:C1000")=$C53)
        ),
        5,
        FALSE
    )="",
    "",
    VLOOKUP(
        $A53,
        _xlfn._xlws.FILTER(
            INDIRECT("'"&amp;O$1&amp;"'!A2:G1000"), (INDIRECT("'"&amp;O$1&amp;"'!B2:B1000")=$B53) * (INDIRECT("'"&amp;O$1&amp;"'!C2:C1000")=$C53)
        ),7,
        FALSE
    )
)</f>
        <v/>
      </c>
    </row>
    <row r="54" spans="1:15">
      <c r="A54" s="96" t="s">
        <v>26</v>
      </c>
      <c r="B54" s="112" t="s">
        <v>94</v>
      </c>
      <c r="C54" s="39">
        <v>1</v>
      </c>
      <c r="D54" s="90" t="str">
        <f t="array" aca="1" ref="D54" ca="1">IF(
    VLOOKUP(
        $A54,
        _xlfn._xlws.FILTER(
            INDIRECT("'"&amp;D$1&amp;"'!A2:G1000"), (INDIRECT("'"&amp;D$1&amp;"'!B2:B1000")=$B54) * (INDIRECT("'"&amp;D$1&amp;"'!C2:C1000")=$C54)
        ),
        5,
        FALSE
    )="",
    "",
    VLOOKUP(
        $A54,
        _xlfn._xlws.FILTER(
            INDIRECT("'"&amp;D$1&amp;"'!A2:G1000"), (INDIRECT("'"&amp;D$1&amp;"'!B2:B1000")=$B54) * (INDIRECT("'"&amp;D$1&amp;"'!C2:C1000")=$C54)
        ),7,
        FALSE
    )
)</f>
        <v>Sim</v>
      </c>
      <c r="E54" s="90" t="str">
        <f t="array" aca="1" ref="E54" ca="1">IF(
    VLOOKUP(
        $A54,
        _xlfn._xlws.FILTER(
            INDIRECT("'"&amp;E$1&amp;"'!A2:G1000"), (INDIRECT("'"&amp;E$1&amp;"'!B2:B1000")=$B54) * (INDIRECT("'"&amp;E$1&amp;"'!C2:C1000")=$C54)
        ),
        5,
        FALSE
    )="",
    "",
    VLOOKUP(
        $A54,
        _xlfn._xlws.FILTER(
            INDIRECT("'"&amp;E$1&amp;"'!A2:G1000"), (INDIRECT("'"&amp;E$1&amp;"'!B2:B1000")=$B54) * (INDIRECT("'"&amp;E$1&amp;"'!C2:C1000")=$C54)
        ),7,
        FALSE
    )
)</f>
        <v>Sim</v>
      </c>
      <c r="F54" s="90" t="str">
        <f t="array" aca="1" ref="F54" ca="1">IF(
    VLOOKUP(
        $A54,
        _xlfn._xlws.FILTER(
            INDIRECT("'"&amp;F$1&amp;"'!A2:G1000"), (INDIRECT("'"&amp;F$1&amp;"'!B2:B1000")=$B54) * (INDIRECT("'"&amp;F$1&amp;"'!C2:C1000")=$C54)
        ),
        5,
        FALSE
    )="",
    "",
    VLOOKUP(
        $A54,
        _xlfn._xlws.FILTER(
            INDIRECT("'"&amp;F$1&amp;"'!A2:G1000"), (INDIRECT("'"&amp;F$1&amp;"'!B2:B1000")=$B54) * (INDIRECT("'"&amp;F$1&amp;"'!C2:C1000")=$C54)
        ),7,
        FALSE
    )
)</f>
        <v>Sim</v>
      </c>
      <c r="G54" s="90" t="str">
        <f t="array" aca="1" ref="G54" ca="1">IF(
    VLOOKUP(
        $A54,
        _xlfn._xlws.FILTER(
            INDIRECT("'"&amp;G$1&amp;"'!A2:G1000"), (INDIRECT("'"&amp;G$1&amp;"'!B2:B1000")=$B54) * (INDIRECT("'"&amp;G$1&amp;"'!C2:C1000")=$C54)
        ),
        5,
        FALSE
    )="",
    "",
    VLOOKUP(
        $A54,
        _xlfn._xlws.FILTER(
            INDIRECT("'"&amp;G$1&amp;"'!A2:G1000"), (INDIRECT("'"&amp;G$1&amp;"'!B2:B1000")=$B54) * (INDIRECT("'"&amp;G$1&amp;"'!C2:C1000")=$C54)
        ),7,
        FALSE
    )
)</f>
        <v>Sim</v>
      </c>
      <c r="H54" s="90" t="str">
        <f t="array" aca="1" ref="H54" ca="1">IF(
    VLOOKUP(
        $A54,
        _xlfn._xlws.FILTER(
            INDIRECT("'"&amp;H$1&amp;"'!A2:G1000"), (INDIRECT("'"&amp;H$1&amp;"'!B2:B1000")=$B54) * (INDIRECT("'"&amp;H$1&amp;"'!C2:C1000")=$C54)
        ),
        5,
        FALSE
    )="",
    "",
    VLOOKUP(
        $A54,
        _xlfn._xlws.FILTER(
            INDIRECT("'"&amp;H$1&amp;"'!A2:G1000"), (INDIRECT("'"&amp;H$1&amp;"'!B2:B1000")=$B54) * (INDIRECT("'"&amp;H$1&amp;"'!C2:C1000")=$C54)
        ),7,
        FALSE
    )
)</f>
        <v>Sim</v>
      </c>
      <c r="I54" s="90" t="str">
        <f t="array" aca="1" ref="I54" ca="1">IF(
    VLOOKUP(
        $A54,
        _xlfn._xlws.FILTER(
            INDIRECT("'"&amp;I$1&amp;"'!A2:G1000"), (INDIRECT("'"&amp;I$1&amp;"'!B2:B1000")=$B54) * (INDIRECT("'"&amp;I$1&amp;"'!C2:C1000")=$C54)
        ),
        5,
        FALSE
    )="",
    "",
    VLOOKUP(
        $A54,
        _xlfn._xlws.FILTER(
            INDIRECT("'"&amp;I$1&amp;"'!A2:G1000"), (INDIRECT("'"&amp;I$1&amp;"'!B2:B1000")=$B54) * (INDIRECT("'"&amp;I$1&amp;"'!C2:C1000")=$C54)
        ),7,
        FALSE
    )
)</f>
        <v>Sim</v>
      </c>
      <c r="J54" s="90" t="str">
        <f t="array" aca="1" ref="J54" ca="1">IF(
    VLOOKUP(
        $A54,
        _xlfn._xlws.FILTER(
            INDIRECT("'"&amp;J$1&amp;"'!A2:G1000"), (INDIRECT("'"&amp;J$1&amp;"'!B2:B1000")=$B54) * (INDIRECT("'"&amp;J$1&amp;"'!C2:C1000")=$C54)
        ),
        5,
        FALSE
    )="",
    "",
    VLOOKUP(
        $A54,
        _xlfn._xlws.FILTER(
            INDIRECT("'"&amp;J$1&amp;"'!A2:G1000"), (INDIRECT("'"&amp;J$1&amp;"'!B2:B1000")=$B54) * (INDIRECT("'"&amp;J$1&amp;"'!C2:C1000")=$C54)
        ),7,
        FALSE
    )
)</f>
        <v>Sim</v>
      </c>
      <c r="K54" s="90" t="str">
        <f t="array" aca="1" ref="K54" ca="1">IF(
    VLOOKUP(
        $A54,
        _xlfn._xlws.FILTER(
            INDIRECT("'"&amp;K$1&amp;"'!A2:G1000"), (INDIRECT("'"&amp;K$1&amp;"'!B2:B1000")=$B54) * (INDIRECT("'"&amp;K$1&amp;"'!C2:C1000")=$C54)
        ),
        5,
        FALSE
    )="",
    "",
    VLOOKUP(
        $A54,
        _xlfn._xlws.FILTER(
            INDIRECT("'"&amp;K$1&amp;"'!A2:G1000"), (INDIRECT("'"&amp;K$1&amp;"'!B2:B1000")=$B54) * (INDIRECT("'"&amp;K$1&amp;"'!C2:C1000")=$C54)
        ),7,
        FALSE
    )
)</f>
        <v>Não</v>
      </c>
      <c r="L54" s="90" t="str">
        <f t="array" aca="1" ref="L54" ca="1">IF(
    VLOOKUP(
        $A54,
        _xlfn._xlws.FILTER(
            INDIRECT("'"&amp;L$1&amp;"'!A2:G1000"), (INDIRECT("'"&amp;L$1&amp;"'!B2:B1000")=$B54) * (INDIRECT("'"&amp;L$1&amp;"'!C2:C1000")=$C54)
        ),
        5,
        FALSE
    )="",
    "",
    VLOOKUP(
        $A54,
        _xlfn._xlws.FILTER(
            INDIRECT("'"&amp;L$1&amp;"'!A2:G1000"), (INDIRECT("'"&amp;L$1&amp;"'!B2:B1000")=$B54) * (INDIRECT("'"&amp;L$1&amp;"'!C2:C1000")=$C54)
        ),7,
        FALSE
    )
)</f>
        <v>Não</v>
      </c>
      <c r="M54" s="90" t="str">
        <f t="array" aca="1" ref="M54" ca="1">IF(
    VLOOKUP(
        $A54,
        _xlfn._xlws.FILTER(
            INDIRECT("'"&amp;M$1&amp;"'!A2:G1000"), (INDIRECT("'"&amp;M$1&amp;"'!B2:B1000")=$B54) * (INDIRECT("'"&amp;M$1&amp;"'!C2:C1000")=$C54)
        ),
        5,
        FALSE
    )="",
    "",
    VLOOKUP(
        $A54,
        _xlfn._xlws.FILTER(
            INDIRECT("'"&amp;M$1&amp;"'!A2:G1000"), (INDIRECT("'"&amp;M$1&amp;"'!B2:B1000")=$B54) * (INDIRECT("'"&amp;M$1&amp;"'!C2:C1000")=$C54)
        ),7,
        FALSE
    )
)</f>
        <v>Não</v>
      </c>
      <c r="N54" s="90" t="str">
        <f t="array" aca="1" ref="N54" ca="1">IF(
    VLOOKUP(
        $A54,
        _xlfn._xlws.FILTER(
            INDIRECT("'"&amp;N$1&amp;"'!A2:G1000"), (INDIRECT("'"&amp;N$1&amp;"'!B2:B1000")=$B54) * (INDIRECT("'"&amp;N$1&amp;"'!C2:C1000")=$C54)
        ),
        5,
        FALSE
    )="",
    "",
    VLOOKUP(
        $A54,
        _xlfn._xlws.FILTER(
            INDIRECT("'"&amp;N$1&amp;"'!A2:G1000"), (INDIRECT("'"&amp;N$1&amp;"'!B2:B1000")=$B54) * (INDIRECT("'"&amp;N$1&amp;"'!C2:C1000")=$C54)
        ),7,
        FALSE
    )
)</f>
        <v>Não</v>
      </c>
      <c r="O54" s="90" t="str">
        <f t="array" aca="1" ref="O54" ca="1">IF(
    VLOOKUP(
        $A54,
        _xlfn._xlws.FILTER(
            INDIRECT("'"&amp;O$1&amp;"'!A2:G1000"), (INDIRECT("'"&amp;O$1&amp;"'!B2:B1000")=$B54) * (INDIRECT("'"&amp;O$1&amp;"'!C2:C1000")=$C54)
        ),
        5,
        FALSE
    )="",
    "",
    VLOOKUP(
        $A54,
        _xlfn._xlws.FILTER(
            INDIRECT("'"&amp;O$1&amp;"'!A2:G1000"), (INDIRECT("'"&amp;O$1&amp;"'!B2:B1000")=$B54) * (INDIRECT("'"&amp;O$1&amp;"'!C2:C1000")=$C54)
        ),7,
        FALSE
    )
)</f>
        <v>Não</v>
      </c>
    </row>
    <row r="55" spans="1:15">
      <c r="A55" s="96" t="s">
        <v>26</v>
      </c>
      <c r="B55" s="112" t="s">
        <v>95</v>
      </c>
      <c r="C55" s="39">
        <v>1</v>
      </c>
      <c r="D55" s="90" t="str">
        <f t="array" aca="1" ref="D55" ca="1">IF(
    VLOOKUP(
        $A55,
        _xlfn._xlws.FILTER(
            INDIRECT("'"&amp;D$1&amp;"'!A2:G1000"), (INDIRECT("'"&amp;D$1&amp;"'!B2:B1000")=$B55) * (INDIRECT("'"&amp;D$1&amp;"'!C2:C1000")=$C55)
        ),
        5,
        FALSE
    )="",
    "",
    VLOOKUP(
        $A55,
        _xlfn._xlws.FILTER(
            INDIRECT("'"&amp;D$1&amp;"'!A2:G1000"), (INDIRECT("'"&amp;D$1&amp;"'!B2:B1000")=$B55) * (INDIRECT("'"&amp;D$1&amp;"'!C2:C1000")=$C55)
        ),7,
        FALSE
    )
)</f>
        <v>Sim</v>
      </c>
      <c r="E55" s="90" t="str">
        <f t="array" aca="1" ref="E55" ca="1">IF(
    VLOOKUP(
        $A55,
        _xlfn._xlws.FILTER(
            INDIRECT("'"&amp;E$1&amp;"'!A2:G1000"), (INDIRECT("'"&amp;E$1&amp;"'!B2:B1000")=$B55) * (INDIRECT("'"&amp;E$1&amp;"'!C2:C1000")=$C55)
        ),
        5,
        FALSE
    )="",
    "",
    VLOOKUP(
        $A55,
        _xlfn._xlws.FILTER(
            INDIRECT("'"&amp;E$1&amp;"'!A2:G1000"), (INDIRECT("'"&amp;E$1&amp;"'!B2:B1000")=$B55) * (INDIRECT("'"&amp;E$1&amp;"'!C2:C1000")=$C55)
        ),7,
        FALSE
    )
)</f>
        <v>Sim</v>
      </c>
      <c r="F55" s="90" t="str">
        <f t="array" aca="1" ref="F55" ca="1">IF(
    VLOOKUP(
        $A55,
        _xlfn._xlws.FILTER(
            INDIRECT("'"&amp;F$1&amp;"'!A2:G1000"), (INDIRECT("'"&amp;F$1&amp;"'!B2:B1000")=$B55) * (INDIRECT("'"&amp;F$1&amp;"'!C2:C1000")=$C55)
        ),
        5,
        FALSE
    )="",
    "",
    VLOOKUP(
        $A55,
        _xlfn._xlws.FILTER(
            INDIRECT("'"&amp;F$1&amp;"'!A2:G1000"), (INDIRECT("'"&amp;F$1&amp;"'!B2:B1000")=$B55) * (INDIRECT("'"&amp;F$1&amp;"'!C2:C1000")=$C55)
        ),7,
        FALSE
    )
)</f>
        <v>Sim</v>
      </c>
      <c r="G55" s="90" t="str">
        <f t="array" aca="1" ref="G55" ca="1">IF(
    VLOOKUP(
        $A55,
        _xlfn._xlws.FILTER(
            INDIRECT("'"&amp;G$1&amp;"'!A2:G1000"), (INDIRECT("'"&amp;G$1&amp;"'!B2:B1000")=$B55) * (INDIRECT("'"&amp;G$1&amp;"'!C2:C1000")=$C55)
        ),
        5,
        FALSE
    )="",
    "",
    VLOOKUP(
        $A55,
        _xlfn._xlws.FILTER(
            INDIRECT("'"&amp;G$1&amp;"'!A2:G1000"), (INDIRECT("'"&amp;G$1&amp;"'!B2:B1000")=$B55) * (INDIRECT("'"&amp;G$1&amp;"'!C2:C1000")=$C55)
        ),7,
        FALSE
    )
)</f>
        <v>Sim</v>
      </c>
      <c r="H55" s="90" t="str">
        <f t="array" aca="1" ref="H55" ca="1">IF(
    VLOOKUP(
        $A55,
        _xlfn._xlws.FILTER(
            INDIRECT("'"&amp;H$1&amp;"'!A2:G1000"), (INDIRECT("'"&amp;H$1&amp;"'!B2:B1000")=$B55) * (INDIRECT("'"&amp;H$1&amp;"'!C2:C1000")=$C55)
        ),
        5,
        FALSE
    )="",
    "",
    VLOOKUP(
        $A55,
        _xlfn._xlws.FILTER(
            INDIRECT("'"&amp;H$1&amp;"'!A2:G1000"), (INDIRECT("'"&amp;H$1&amp;"'!B2:B1000")=$B55) * (INDIRECT("'"&amp;H$1&amp;"'!C2:C1000")=$C55)
        ),7,
        FALSE
    )
)</f>
        <v>Sim</v>
      </c>
      <c r="I55" s="90" t="str">
        <f t="array" aca="1" ref="I55" ca="1">IF(
    VLOOKUP(
        $A55,
        _xlfn._xlws.FILTER(
            INDIRECT("'"&amp;I$1&amp;"'!A2:G1000"), (INDIRECT("'"&amp;I$1&amp;"'!B2:B1000")=$B55) * (INDIRECT("'"&amp;I$1&amp;"'!C2:C1000")=$C55)
        ),
        5,
        FALSE
    )="",
    "",
    VLOOKUP(
        $A55,
        _xlfn._xlws.FILTER(
            INDIRECT("'"&amp;I$1&amp;"'!A2:G1000"), (INDIRECT("'"&amp;I$1&amp;"'!B2:B1000")=$B55) * (INDIRECT("'"&amp;I$1&amp;"'!C2:C1000")=$C55)
        ),7,
        FALSE
    )
)</f>
        <v>Sim</v>
      </c>
      <c r="J55" s="90" t="str">
        <f t="array" aca="1" ref="J55" ca="1">IF(
    VLOOKUP(
        $A55,
        _xlfn._xlws.FILTER(
            INDIRECT("'"&amp;J$1&amp;"'!A2:G1000"), (INDIRECT("'"&amp;J$1&amp;"'!B2:B1000")=$B55) * (INDIRECT("'"&amp;J$1&amp;"'!C2:C1000")=$C55)
        ),
        5,
        FALSE
    )="",
    "",
    VLOOKUP(
        $A55,
        _xlfn._xlws.FILTER(
            INDIRECT("'"&amp;J$1&amp;"'!A2:G1000"), (INDIRECT("'"&amp;J$1&amp;"'!B2:B1000")=$B55) * (INDIRECT("'"&amp;J$1&amp;"'!C2:C1000")=$C55)
        ),7,
        FALSE
    )
)</f>
        <v>Sim</v>
      </c>
      <c r="K55" s="90" t="str">
        <f t="array" aca="1" ref="K55" ca="1">IF(
    VLOOKUP(
        $A55,
        _xlfn._xlws.FILTER(
            INDIRECT("'"&amp;K$1&amp;"'!A2:G1000"), (INDIRECT("'"&amp;K$1&amp;"'!B2:B1000")=$B55) * (INDIRECT("'"&amp;K$1&amp;"'!C2:C1000")=$C55)
        ),
        5,
        FALSE
    )="",
    "",
    VLOOKUP(
        $A55,
        _xlfn._xlws.FILTER(
            INDIRECT("'"&amp;K$1&amp;"'!A2:G1000"), (INDIRECT("'"&amp;K$1&amp;"'!B2:B1000")=$B55) * (INDIRECT("'"&amp;K$1&amp;"'!C2:C1000")=$C55)
        ),7,
        FALSE
    )
)</f>
        <v>Não</v>
      </c>
      <c r="L55" s="90" t="str">
        <f t="array" aca="1" ref="L55" ca="1">IF(
    VLOOKUP(
        $A55,
        _xlfn._xlws.FILTER(
            INDIRECT("'"&amp;L$1&amp;"'!A2:G1000"), (INDIRECT("'"&amp;L$1&amp;"'!B2:B1000")=$B55) * (INDIRECT("'"&amp;L$1&amp;"'!C2:C1000")=$C55)
        ),
        5,
        FALSE
    )="",
    "",
    VLOOKUP(
        $A55,
        _xlfn._xlws.FILTER(
            INDIRECT("'"&amp;L$1&amp;"'!A2:G1000"), (INDIRECT("'"&amp;L$1&amp;"'!B2:B1000")=$B55) * (INDIRECT("'"&amp;L$1&amp;"'!C2:C1000")=$C55)
        ),7,
        FALSE
    )
)</f>
        <v>Não</v>
      </c>
      <c r="M55" s="90" t="str">
        <f t="array" aca="1" ref="M55" ca="1">IF(
    VLOOKUP(
        $A55,
        _xlfn._xlws.FILTER(
            INDIRECT("'"&amp;M$1&amp;"'!A2:G1000"), (INDIRECT("'"&amp;M$1&amp;"'!B2:B1000")=$B55) * (INDIRECT("'"&amp;M$1&amp;"'!C2:C1000")=$C55)
        ),
        5,
        FALSE
    )="",
    "",
    VLOOKUP(
        $A55,
        _xlfn._xlws.FILTER(
            INDIRECT("'"&amp;M$1&amp;"'!A2:G1000"), (INDIRECT("'"&amp;M$1&amp;"'!B2:B1000")=$B55) * (INDIRECT("'"&amp;M$1&amp;"'!C2:C1000")=$C55)
        ),7,
        FALSE
    )
)</f>
        <v>Não</v>
      </c>
      <c r="N55" s="90" t="str">
        <f t="array" aca="1" ref="N55" ca="1">IF(
    VLOOKUP(
        $A55,
        _xlfn._xlws.FILTER(
            INDIRECT("'"&amp;N$1&amp;"'!A2:G1000"), (INDIRECT("'"&amp;N$1&amp;"'!B2:B1000")=$B55) * (INDIRECT("'"&amp;N$1&amp;"'!C2:C1000")=$C55)
        ),
        5,
        FALSE
    )="",
    "",
    VLOOKUP(
        $A55,
        _xlfn._xlws.FILTER(
            INDIRECT("'"&amp;N$1&amp;"'!A2:G1000"), (INDIRECT("'"&amp;N$1&amp;"'!B2:B1000")=$B55) * (INDIRECT("'"&amp;N$1&amp;"'!C2:C1000")=$C55)
        ),7,
        FALSE
    )
)</f>
        <v>Não</v>
      </c>
      <c r="O55" s="90" t="str">
        <f t="array" aca="1" ref="O55" ca="1">IF(
    VLOOKUP(
        $A55,
        _xlfn._xlws.FILTER(
            INDIRECT("'"&amp;O$1&amp;"'!A2:G1000"), (INDIRECT("'"&amp;O$1&amp;"'!B2:B1000")=$B55) * (INDIRECT("'"&amp;O$1&amp;"'!C2:C1000")=$C55)
        ),
        5,
        FALSE
    )="",
    "",
    VLOOKUP(
        $A55,
        _xlfn._xlws.FILTER(
            INDIRECT("'"&amp;O$1&amp;"'!A2:G1000"), (INDIRECT("'"&amp;O$1&amp;"'!B2:B1000")=$B55) * (INDIRECT("'"&amp;O$1&amp;"'!C2:C1000")=$C55)
        ),7,
        FALSE
    )
)</f>
        <v/>
      </c>
    </row>
    <row r="65" ht="15.75" customHeight="1"/>
  </sheetData>
  <conditionalFormatting sqref="D2:O9 D12:O22 D25:O34 D37:O40 D43:O55">
    <cfRule type="cellIs" dxfId="133" priority="11" operator="equal">
      <formula>"Sim"</formula>
    </cfRule>
    <cfRule type="cellIs" dxfId="132" priority="12" operator="equal">
      <formula>"Não"</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
        <v>105</v>
      </c>
      <c r="E2" s="40" t="s">
        <v>19</v>
      </c>
      <c r="F2" s="39"/>
      <c r="G2" s="41" t="s">
        <v>106</v>
      </c>
      <c r="H2" s="39"/>
      <c r="I2" s="39"/>
      <c r="J2" s="39" t="s">
        <v>107</v>
      </c>
      <c r="K2" s="39"/>
    </row>
    <row r="3" spans="1:11">
      <c r="A3" s="42" t="s">
        <v>37</v>
      </c>
      <c r="B3" s="39" t="s">
        <v>69</v>
      </c>
      <c r="C3" s="39">
        <v>1</v>
      </c>
      <c r="D3" s="39" t="s">
        <v>108</v>
      </c>
      <c r="E3" s="40" t="s">
        <v>19</v>
      </c>
      <c r="F3" s="39"/>
      <c r="G3" s="41" t="s">
        <v>106</v>
      </c>
      <c r="H3" s="39"/>
      <c r="I3" s="39"/>
      <c r="J3" s="39" t="s">
        <v>107</v>
      </c>
      <c r="K3" s="39"/>
    </row>
    <row r="4" spans="1:11">
      <c r="A4" s="43" t="s">
        <v>39</v>
      </c>
      <c r="B4" s="39" t="s">
        <v>79</v>
      </c>
      <c r="C4" s="39">
        <v>1</v>
      </c>
      <c r="D4" s="39"/>
      <c r="E4" s="40" t="s">
        <v>19</v>
      </c>
      <c r="F4" s="39"/>
      <c r="G4" s="41" t="s">
        <v>106</v>
      </c>
      <c r="H4" s="39"/>
      <c r="I4" s="39"/>
      <c r="J4" s="39" t="s">
        <v>107</v>
      </c>
      <c r="K4" s="39"/>
    </row>
    <row r="5" spans="1:11">
      <c r="A5" s="42" t="s">
        <v>37</v>
      </c>
      <c r="B5" s="39" t="s">
        <v>70</v>
      </c>
      <c r="C5" s="39">
        <v>1</v>
      </c>
      <c r="D5" s="39" t="s">
        <v>109</v>
      </c>
      <c r="E5" s="40" t="s">
        <v>19</v>
      </c>
      <c r="F5" s="39"/>
      <c r="G5" s="41" t="s">
        <v>106</v>
      </c>
      <c r="H5" s="39"/>
      <c r="I5" s="39"/>
      <c r="J5" s="39" t="s">
        <v>107</v>
      </c>
      <c r="K5" s="39"/>
    </row>
    <row r="6" spans="1:11">
      <c r="A6" s="42" t="s">
        <v>37</v>
      </c>
      <c r="B6" s="39" t="s">
        <v>71</v>
      </c>
      <c r="C6" s="39">
        <v>1</v>
      </c>
      <c r="D6" s="39" t="s">
        <v>110</v>
      </c>
      <c r="E6" s="40" t="s">
        <v>19</v>
      </c>
      <c r="F6" s="39"/>
      <c r="G6" s="41" t="s">
        <v>106</v>
      </c>
      <c r="H6" s="39"/>
      <c r="I6" s="39"/>
      <c r="J6" s="39" t="s">
        <v>107</v>
      </c>
      <c r="K6" s="39"/>
    </row>
    <row r="7" spans="1:11">
      <c r="A7" s="44" t="s">
        <v>35</v>
      </c>
      <c r="B7" s="39" t="s">
        <v>58</v>
      </c>
      <c r="C7" s="39">
        <v>1</v>
      </c>
      <c r="D7" s="39" t="s">
        <v>111</v>
      </c>
      <c r="E7" s="40" t="s">
        <v>19</v>
      </c>
      <c r="F7" s="39"/>
      <c r="G7" s="41" t="s">
        <v>106</v>
      </c>
      <c r="H7" s="39"/>
      <c r="I7" s="39"/>
      <c r="J7" s="39" t="s">
        <v>107</v>
      </c>
      <c r="K7" s="39"/>
    </row>
    <row r="8" spans="1:11">
      <c r="A8" s="38" t="s">
        <v>33</v>
      </c>
      <c r="B8" s="39" t="s">
        <v>51</v>
      </c>
      <c r="C8" s="39">
        <v>1</v>
      </c>
      <c r="D8" s="39" t="s">
        <v>112</v>
      </c>
      <c r="E8" s="40" t="s">
        <v>19</v>
      </c>
      <c r="F8" s="39"/>
      <c r="G8" s="41" t="s">
        <v>106</v>
      </c>
      <c r="H8" s="39"/>
      <c r="I8" s="39"/>
      <c r="J8" s="39" t="s">
        <v>107</v>
      </c>
      <c r="K8" s="39"/>
    </row>
    <row r="9" spans="1:11">
      <c r="A9" s="38" t="s">
        <v>33</v>
      </c>
      <c r="B9" s="39" t="s">
        <v>52</v>
      </c>
      <c r="C9" s="39">
        <v>1</v>
      </c>
      <c r="D9" s="39" t="s">
        <v>113</v>
      </c>
      <c r="E9" s="40" t="s">
        <v>19</v>
      </c>
      <c r="F9" s="39"/>
      <c r="G9" s="41" t="s">
        <v>106</v>
      </c>
      <c r="H9" s="39"/>
      <c r="I9" s="39"/>
      <c r="J9" s="39" t="s">
        <v>107</v>
      </c>
      <c r="K9" s="39"/>
    </row>
    <row r="10" spans="1:11">
      <c r="A10" s="38" t="s">
        <v>33</v>
      </c>
      <c r="B10" s="39" t="s">
        <v>53</v>
      </c>
      <c r="C10" s="39">
        <v>1</v>
      </c>
      <c r="D10" s="39" t="s">
        <v>114</v>
      </c>
      <c r="E10" s="40" t="s">
        <v>19</v>
      </c>
      <c r="F10" s="39"/>
      <c r="G10" s="41" t="s">
        <v>106</v>
      </c>
      <c r="H10" s="39"/>
      <c r="I10" s="39"/>
      <c r="J10" s="39" t="s">
        <v>107</v>
      </c>
      <c r="K10" s="39"/>
    </row>
    <row r="11" spans="1:11">
      <c r="A11" s="42" t="s">
        <v>37</v>
      </c>
      <c r="B11" s="39" t="s">
        <v>72</v>
      </c>
      <c r="C11" s="39">
        <v>1</v>
      </c>
      <c r="D11" s="39" t="s">
        <v>115</v>
      </c>
      <c r="E11" s="40" t="s">
        <v>19</v>
      </c>
      <c r="F11" s="39"/>
      <c r="G11" s="41" t="s">
        <v>106</v>
      </c>
      <c r="H11" s="39"/>
      <c r="I11" s="39"/>
      <c r="J11" s="39" t="s">
        <v>107</v>
      </c>
      <c r="K11" s="39"/>
    </row>
    <row r="12" spans="1:11">
      <c r="A12" s="42" t="s">
        <v>37</v>
      </c>
      <c r="B12" s="39" t="s">
        <v>73</v>
      </c>
      <c r="C12" s="39">
        <v>1</v>
      </c>
      <c r="D12" s="39" t="s">
        <v>116</v>
      </c>
      <c r="E12" s="40" t="s">
        <v>19</v>
      </c>
      <c r="F12" s="39"/>
      <c r="G12" s="41" t="s">
        <v>106</v>
      </c>
      <c r="H12" s="39"/>
      <c r="I12" s="39"/>
      <c r="J12" s="39" t="s">
        <v>107</v>
      </c>
      <c r="K12" s="39"/>
    </row>
    <row r="13" spans="1:11">
      <c r="A13" s="44" t="s">
        <v>35</v>
      </c>
      <c r="B13" s="39" t="s">
        <v>59</v>
      </c>
      <c r="C13" s="39">
        <v>1</v>
      </c>
      <c r="D13" s="39" t="s">
        <v>117</v>
      </c>
      <c r="E13" s="40" t="s">
        <v>19</v>
      </c>
      <c r="F13" s="39"/>
      <c r="G13" s="41" t="s">
        <v>106</v>
      </c>
      <c r="H13" s="39"/>
      <c r="I13" s="39"/>
      <c r="J13" s="39" t="s">
        <v>107</v>
      </c>
      <c r="K13" s="39"/>
    </row>
    <row r="14" spans="1:11">
      <c r="A14" s="44" t="s">
        <v>35</v>
      </c>
      <c r="B14" s="39" t="s">
        <v>60</v>
      </c>
      <c r="C14" s="39">
        <v>1</v>
      </c>
      <c r="D14" s="39" t="s">
        <v>118</v>
      </c>
      <c r="E14" s="40" t="s">
        <v>19</v>
      </c>
      <c r="F14" s="39"/>
      <c r="G14" s="41" t="s">
        <v>106</v>
      </c>
      <c r="H14" s="39"/>
      <c r="I14" s="39"/>
      <c r="J14" s="39" t="s">
        <v>107</v>
      </c>
      <c r="K14" s="39"/>
    </row>
    <row r="15" spans="1:11">
      <c r="A15" s="38" t="s">
        <v>33</v>
      </c>
      <c r="B15" s="39" t="s">
        <v>54</v>
      </c>
      <c r="C15" s="39">
        <v>1</v>
      </c>
      <c r="D15" s="39" t="s">
        <v>119</v>
      </c>
      <c r="E15" s="40" t="s">
        <v>19</v>
      </c>
      <c r="F15" s="39"/>
      <c r="G15" s="41" t="s">
        <v>106</v>
      </c>
      <c r="H15" s="39"/>
      <c r="I15" s="39"/>
      <c r="J15" s="39" t="s">
        <v>107</v>
      </c>
      <c r="K15" s="39"/>
    </row>
    <row r="16" spans="1:11">
      <c r="A16" s="44" t="s">
        <v>35</v>
      </c>
      <c r="B16" s="39" t="s">
        <v>61</v>
      </c>
      <c r="C16" s="39">
        <v>1</v>
      </c>
      <c r="D16" s="39" t="s">
        <v>120</v>
      </c>
      <c r="E16" s="40" t="s">
        <v>19</v>
      </c>
      <c r="F16" s="39"/>
      <c r="G16" s="41" t="s">
        <v>106</v>
      </c>
      <c r="H16" s="39"/>
      <c r="I16" s="39"/>
      <c r="J16" s="39" t="s">
        <v>107</v>
      </c>
      <c r="K16" s="39"/>
    </row>
    <row r="17" spans="1:11">
      <c r="A17" s="42" t="s">
        <v>37</v>
      </c>
      <c r="B17" s="39" t="s">
        <v>74</v>
      </c>
      <c r="C17" s="39">
        <v>1</v>
      </c>
      <c r="D17" s="39" t="s">
        <v>121</v>
      </c>
      <c r="E17" s="40" t="s">
        <v>19</v>
      </c>
      <c r="F17" s="39"/>
      <c r="G17" s="41" t="s">
        <v>106</v>
      </c>
      <c r="H17" s="39"/>
      <c r="I17" s="39"/>
      <c r="J17" s="39" t="s">
        <v>107</v>
      </c>
      <c r="K17" s="39"/>
    </row>
    <row r="18" spans="1:11">
      <c r="A18" s="44" t="s">
        <v>35</v>
      </c>
      <c r="B18" s="39" t="s">
        <v>62</v>
      </c>
      <c r="C18" s="39">
        <v>1</v>
      </c>
      <c r="D18" s="39" t="s">
        <v>122</v>
      </c>
      <c r="E18" s="40" t="s">
        <v>19</v>
      </c>
      <c r="F18" s="39"/>
      <c r="G18" s="41" t="s">
        <v>106</v>
      </c>
      <c r="H18" s="39"/>
      <c r="I18" s="39"/>
      <c r="J18" s="39" t="s">
        <v>107</v>
      </c>
      <c r="K18" s="39"/>
    </row>
    <row r="19" spans="1:11">
      <c r="A19" s="38" t="s">
        <v>33</v>
      </c>
      <c r="B19" s="39" t="s">
        <v>55</v>
      </c>
      <c r="C19" s="39">
        <v>1</v>
      </c>
      <c r="D19" s="39" t="s">
        <v>123</v>
      </c>
      <c r="E19" s="40" t="s">
        <v>19</v>
      </c>
      <c r="F19" s="39"/>
      <c r="G19" s="41" t="s">
        <v>106</v>
      </c>
      <c r="H19" s="39"/>
      <c r="I19" s="39"/>
      <c r="J19" s="39" t="s">
        <v>107</v>
      </c>
      <c r="K19" s="39"/>
    </row>
    <row r="20" spans="1:11">
      <c r="A20" s="42" t="s">
        <v>37</v>
      </c>
      <c r="B20" s="39" t="s">
        <v>75</v>
      </c>
      <c r="C20" s="39">
        <v>1</v>
      </c>
      <c r="D20" s="39" t="s">
        <v>124</v>
      </c>
      <c r="E20" s="40" t="s">
        <v>19</v>
      </c>
      <c r="F20" s="39"/>
      <c r="G20" s="41" t="s">
        <v>106</v>
      </c>
      <c r="H20" s="39"/>
      <c r="I20" s="39"/>
      <c r="J20" s="39" t="s">
        <v>107</v>
      </c>
      <c r="K20" s="39"/>
    </row>
    <row r="21" spans="1:11">
      <c r="A21" s="42" t="s">
        <v>37</v>
      </c>
      <c r="B21" s="39" t="s">
        <v>76</v>
      </c>
      <c r="C21" s="39">
        <v>1</v>
      </c>
      <c r="D21" s="39" t="s">
        <v>125</v>
      </c>
      <c r="E21" s="40" t="s">
        <v>19</v>
      </c>
      <c r="F21" s="39"/>
      <c r="G21" s="41" t="s">
        <v>106</v>
      </c>
      <c r="H21" s="39"/>
      <c r="I21" s="39"/>
      <c r="J21" s="39" t="s">
        <v>107</v>
      </c>
      <c r="K21" s="39"/>
    </row>
    <row r="22" spans="1:11">
      <c r="A22" s="43" t="s">
        <v>39</v>
      </c>
      <c r="B22" s="39" t="s">
        <v>80</v>
      </c>
      <c r="C22" s="39">
        <v>1</v>
      </c>
      <c r="D22" s="39"/>
      <c r="E22" s="40" t="s">
        <v>19</v>
      </c>
      <c r="F22" s="39"/>
      <c r="G22" s="41" t="s">
        <v>106</v>
      </c>
      <c r="H22" s="39"/>
      <c r="I22" s="39"/>
      <c r="J22" s="39" t="s">
        <v>107</v>
      </c>
      <c r="K22" s="39"/>
    </row>
    <row r="23" spans="1:11">
      <c r="A23" s="44" t="s">
        <v>35</v>
      </c>
      <c r="B23" s="39" t="s">
        <v>63</v>
      </c>
      <c r="C23" s="39">
        <v>1</v>
      </c>
      <c r="D23" s="39" t="s">
        <v>126</v>
      </c>
      <c r="E23" s="40" t="s">
        <v>19</v>
      </c>
      <c r="F23" s="39"/>
      <c r="G23" s="41" t="s">
        <v>106</v>
      </c>
      <c r="H23" s="39"/>
      <c r="I23" s="39"/>
      <c r="J23" s="39" t="s">
        <v>107</v>
      </c>
      <c r="K23" s="39"/>
    </row>
    <row r="24" spans="1:11">
      <c r="A24" s="43" t="s">
        <v>39</v>
      </c>
      <c r="B24" s="39" t="s">
        <v>81</v>
      </c>
      <c r="C24" s="39">
        <v>1</v>
      </c>
      <c r="D24" s="39"/>
      <c r="E24" s="40" t="s">
        <v>19</v>
      </c>
      <c r="F24" s="39"/>
      <c r="G24" s="41" t="s">
        <v>106</v>
      </c>
      <c r="H24" s="39"/>
      <c r="I24" s="39"/>
      <c r="J24" s="39" t="s">
        <v>107</v>
      </c>
      <c r="K24" s="39"/>
    </row>
    <row r="25" spans="1:11">
      <c r="A25" s="44" t="s">
        <v>35</v>
      </c>
      <c r="B25" s="39" t="s">
        <v>64</v>
      </c>
      <c r="C25" s="39">
        <v>1</v>
      </c>
      <c r="D25" s="39" t="s">
        <v>127</v>
      </c>
      <c r="E25" s="40" t="s">
        <v>19</v>
      </c>
      <c r="F25" s="39"/>
      <c r="G25" s="41" t="s">
        <v>106</v>
      </c>
      <c r="H25" s="39"/>
      <c r="I25" s="39"/>
      <c r="J25" s="39" t="s">
        <v>107</v>
      </c>
      <c r="K25" s="39"/>
    </row>
    <row r="26" spans="1:11">
      <c r="A26" s="44" t="s">
        <v>35</v>
      </c>
      <c r="B26" s="39" t="s">
        <v>65</v>
      </c>
      <c r="C26" s="39">
        <v>1</v>
      </c>
      <c r="D26" s="39" t="s">
        <v>128</v>
      </c>
      <c r="E26" s="40" t="s">
        <v>19</v>
      </c>
      <c r="F26" s="39"/>
      <c r="G26" s="41" t="s">
        <v>106</v>
      </c>
      <c r="H26" s="39"/>
      <c r="I26" s="39"/>
      <c r="J26" s="39" t="s">
        <v>107</v>
      </c>
      <c r="K26" s="39"/>
    </row>
    <row r="27" spans="1:11">
      <c r="A27" s="44" t="s">
        <v>35</v>
      </c>
      <c r="B27" s="39" t="s">
        <v>66</v>
      </c>
      <c r="C27" s="39">
        <v>1</v>
      </c>
      <c r="D27" s="39" t="s">
        <v>129</v>
      </c>
      <c r="E27" s="40" t="s">
        <v>19</v>
      </c>
      <c r="F27" s="39"/>
      <c r="G27" s="41" t="s">
        <v>106</v>
      </c>
      <c r="H27" s="39"/>
      <c r="I27" s="39"/>
      <c r="J27" s="39" t="s">
        <v>107</v>
      </c>
      <c r="K27" s="39"/>
    </row>
    <row r="28" spans="1:11">
      <c r="A28" s="44" t="s">
        <v>35</v>
      </c>
      <c r="B28" s="39" t="s">
        <v>67</v>
      </c>
      <c r="C28" s="39">
        <v>1</v>
      </c>
      <c r="D28" s="39" t="s">
        <v>130</v>
      </c>
      <c r="E28" s="40" t="s">
        <v>19</v>
      </c>
      <c r="F28" s="39"/>
      <c r="G28" s="41" t="s">
        <v>106</v>
      </c>
      <c r="H28" s="39"/>
      <c r="I28" s="39"/>
      <c r="J28" s="39" t="s">
        <v>107</v>
      </c>
      <c r="K28" s="39"/>
    </row>
    <row r="29" spans="1:11">
      <c r="A29" s="43" t="s">
        <v>39</v>
      </c>
      <c r="B29" s="39" t="s">
        <v>82</v>
      </c>
      <c r="C29" s="39">
        <v>1</v>
      </c>
      <c r="D29" s="39"/>
      <c r="E29" s="40" t="s">
        <v>19</v>
      </c>
      <c r="F29" s="39"/>
      <c r="G29" s="41" t="s">
        <v>106</v>
      </c>
      <c r="H29" s="39"/>
      <c r="I29" s="39"/>
      <c r="J29" s="39" t="s">
        <v>107</v>
      </c>
      <c r="K29" s="39"/>
    </row>
    <row r="30" spans="1:11">
      <c r="A30" s="38" t="s">
        <v>33</v>
      </c>
      <c r="B30" s="39" t="s">
        <v>56</v>
      </c>
      <c r="C30" s="39">
        <v>1</v>
      </c>
      <c r="D30" s="39" t="s">
        <v>131</v>
      </c>
      <c r="E30" s="40" t="s">
        <v>19</v>
      </c>
      <c r="F30" s="39"/>
      <c r="G30" s="41" t="s">
        <v>106</v>
      </c>
      <c r="H30" s="39"/>
      <c r="I30" s="39"/>
      <c r="J30" s="39" t="s">
        <v>107</v>
      </c>
      <c r="K30" s="39"/>
    </row>
    <row r="31" spans="1:11">
      <c r="A31" s="44" t="s">
        <v>35</v>
      </c>
      <c r="B31" s="39" t="s">
        <v>68</v>
      </c>
      <c r="C31" s="39">
        <v>1</v>
      </c>
      <c r="D31" s="39" t="s">
        <v>132</v>
      </c>
      <c r="E31" s="40" t="s">
        <v>19</v>
      </c>
      <c r="F31" s="39"/>
      <c r="G31" s="41" t="s">
        <v>106</v>
      </c>
      <c r="H31" s="39"/>
      <c r="I31" s="39"/>
      <c r="J31" s="39" t="s">
        <v>107</v>
      </c>
      <c r="K31" s="39"/>
    </row>
    <row r="32" spans="1:11">
      <c r="A32" s="38" t="s">
        <v>33</v>
      </c>
      <c r="B32" s="39" t="s">
        <v>57</v>
      </c>
      <c r="C32" s="39">
        <v>1</v>
      </c>
      <c r="D32" s="39" t="s">
        <v>133</v>
      </c>
      <c r="E32" s="40" t="s">
        <v>19</v>
      </c>
      <c r="F32" s="39"/>
      <c r="G32" s="41" t="s">
        <v>106</v>
      </c>
      <c r="H32" s="39"/>
      <c r="I32" s="39"/>
      <c r="J32" s="39" t="s">
        <v>107</v>
      </c>
      <c r="K32" s="39"/>
    </row>
    <row r="33" spans="1:11">
      <c r="A33" s="42" t="s">
        <v>37</v>
      </c>
      <c r="B33" s="39" t="s">
        <v>77</v>
      </c>
      <c r="C33" s="39">
        <v>1</v>
      </c>
      <c r="D33" s="39" t="s">
        <v>134</v>
      </c>
      <c r="E33" s="40" t="s">
        <v>19</v>
      </c>
      <c r="F33" s="39"/>
      <c r="G33" s="41" t="s">
        <v>106</v>
      </c>
      <c r="H33" s="39"/>
      <c r="I33" s="39"/>
      <c r="J33" s="39" t="s">
        <v>107</v>
      </c>
      <c r="K33" s="39"/>
    </row>
    <row r="34" spans="1:11">
      <c r="A34" s="42" t="s">
        <v>37</v>
      </c>
      <c r="B34" s="39" t="s">
        <v>78</v>
      </c>
      <c r="C34" s="39">
        <v>1</v>
      </c>
      <c r="D34" s="39" t="s">
        <v>135</v>
      </c>
      <c r="E34" s="40" t="s">
        <v>19</v>
      </c>
      <c r="F34" s="39"/>
      <c r="G34" s="41" t="s">
        <v>106</v>
      </c>
      <c r="H34" s="39"/>
      <c r="I34" s="39"/>
      <c r="J34" s="39" t="s">
        <v>107</v>
      </c>
      <c r="K34" s="39"/>
    </row>
    <row r="35" spans="1:11">
      <c r="A35" s="45" t="s">
        <v>26</v>
      </c>
      <c r="B35" s="39" t="s">
        <v>83</v>
      </c>
      <c r="C35" s="39">
        <v>1</v>
      </c>
      <c r="D35" s="39" t="s">
        <v>136</v>
      </c>
      <c r="E35" s="40" t="s">
        <v>19</v>
      </c>
      <c r="F35" s="39"/>
      <c r="G35" s="41" t="s">
        <v>106</v>
      </c>
      <c r="H35" s="39"/>
      <c r="I35" s="39"/>
      <c r="J35" s="39" t="s">
        <v>107</v>
      </c>
      <c r="K35" s="39"/>
    </row>
    <row r="36" spans="1:11">
      <c r="A36" s="45" t="s">
        <v>26</v>
      </c>
      <c r="B36" s="39" t="s">
        <v>84</v>
      </c>
      <c r="C36" s="39">
        <v>1</v>
      </c>
      <c r="D36" s="39" t="s">
        <v>137</v>
      </c>
      <c r="E36" s="40" t="s">
        <v>19</v>
      </c>
      <c r="F36" s="39"/>
      <c r="G36" s="41" t="s">
        <v>106</v>
      </c>
      <c r="H36" s="39"/>
      <c r="I36" s="39"/>
      <c r="J36" s="39" t="s">
        <v>107</v>
      </c>
      <c r="K36" s="39"/>
    </row>
    <row r="37" spans="1:11">
      <c r="A37" s="45" t="s">
        <v>26</v>
      </c>
      <c r="B37" s="39" t="s">
        <v>85</v>
      </c>
      <c r="C37" s="39">
        <v>1</v>
      </c>
      <c r="D37" s="39" t="s">
        <v>138</v>
      </c>
      <c r="E37" s="40" t="s">
        <v>19</v>
      </c>
      <c r="F37" s="39"/>
      <c r="G37" s="41" t="s">
        <v>106</v>
      </c>
      <c r="H37" s="39"/>
      <c r="I37" s="39"/>
      <c r="J37" s="39" t="s">
        <v>107</v>
      </c>
      <c r="K37" s="39"/>
    </row>
    <row r="38" spans="1:11">
      <c r="A38" s="45" t="s">
        <v>26</v>
      </c>
      <c r="B38" s="39" t="s">
        <v>86</v>
      </c>
      <c r="C38" s="39">
        <v>1</v>
      </c>
      <c r="D38" s="39" t="s">
        <v>139</v>
      </c>
      <c r="E38" s="40" t="s">
        <v>19</v>
      </c>
      <c r="F38" s="39"/>
      <c r="G38" s="41" t="s">
        <v>106</v>
      </c>
      <c r="H38" s="39"/>
      <c r="I38" s="39"/>
      <c r="J38" s="39" t="s">
        <v>107</v>
      </c>
      <c r="K38" s="39"/>
    </row>
    <row r="39" spans="1:11">
      <c r="A39" s="45" t="s">
        <v>26</v>
      </c>
      <c r="B39" s="39" t="s">
        <v>87</v>
      </c>
      <c r="C39" s="39">
        <v>1</v>
      </c>
      <c r="D39" s="39" t="s">
        <v>140</v>
      </c>
      <c r="E39" s="40" t="s">
        <v>19</v>
      </c>
      <c r="F39" s="39"/>
      <c r="G39" s="41" t="s">
        <v>106</v>
      </c>
      <c r="H39" s="39"/>
      <c r="I39" s="39"/>
      <c r="J39" s="39" t="s">
        <v>107</v>
      </c>
      <c r="K39" s="39"/>
    </row>
    <row r="40" spans="1:11">
      <c r="A40" s="45" t="s">
        <v>26</v>
      </c>
      <c r="B40" s="39" t="s">
        <v>88</v>
      </c>
      <c r="C40" s="39">
        <v>1</v>
      </c>
      <c r="D40" s="39" t="s">
        <v>141</v>
      </c>
      <c r="E40" s="40" t="s">
        <v>19</v>
      </c>
      <c r="F40" s="39"/>
      <c r="G40" s="41" t="s">
        <v>106</v>
      </c>
      <c r="H40" s="39"/>
      <c r="I40" s="39"/>
      <c r="J40" s="39" t="s">
        <v>107</v>
      </c>
      <c r="K40" s="39"/>
    </row>
    <row r="41" spans="1:11">
      <c r="A41" s="45" t="s">
        <v>26</v>
      </c>
      <c r="B41" s="39" t="s">
        <v>89</v>
      </c>
      <c r="C41" s="39">
        <v>1</v>
      </c>
      <c r="D41" s="39" t="s">
        <v>142</v>
      </c>
      <c r="E41" s="40" t="s">
        <v>19</v>
      </c>
      <c r="F41" s="39"/>
      <c r="G41" s="41" t="s">
        <v>106</v>
      </c>
      <c r="H41" s="39"/>
      <c r="I41" s="39"/>
      <c r="J41" s="39" t="s">
        <v>107</v>
      </c>
      <c r="K41" s="39"/>
    </row>
    <row r="42" spans="1:11">
      <c r="A42" s="45" t="s">
        <v>26</v>
      </c>
      <c r="B42" s="39" t="s">
        <v>90</v>
      </c>
      <c r="C42" s="39">
        <v>1</v>
      </c>
      <c r="D42" s="39" t="s">
        <v>143</v>
      </c>
      <c r="E42" s="40" t="s">
        <v>19</v>
      </c>
      <c r="F42" s="39"/>
      <c r="G42" s="41" t="s">
        <v>106</v>
      </c>
      <c r="H42" s="39"/>
      <c r="I42" s="39"/>
      <c r="J42" s="39" t="s">
        <v>107</v>
      </c>
      <c r="K42" s="39"/>
    </row>
    <row r="43" spans="1:11">
      <c r="A43" s="45" t="s">
        <v>26</v>
      </c>
      <c r="B43" s="39" t="s">
        <v>91</v>
      </c>
      <c r="C43" s="39">
        <v>1</v>
      </c>
      <c r="D43" s="39" t="s">
        <v>144</v>
      </c>
      <c r="E43" s="40" t="s">
        <v>19</v>
      </c>
      <c r="F43" s="39"/>
      <c r="G43" s="41" t="s">
        <v>106</v>
      </c>
      <c r="H43" s="39"/>
      <c r="I43" s="39"/>
      <c r="J43" s="39" t="s">
        <v>107</v>
      </c>
      <c r="K43" s="39"/>
    </row>
    <row r="44" spans="1:11">
      <c r="A44" s="45" t="s">
        <v>26</v>
      </c>
      <c r="B44" s="39" t="s">
        <v>92</v>
      </c>
      <c r="C44" s="39">
        <v>1</v>
      </c>
      <c r="D44" s="39" t="s">
        <v>145</v>
      </c>
      <c r="E44" s="40" t="s">
        <v>19</v>
      </c>
      <c r="F44" s="39"/>
      <c r="G44" s="41" t="s">
        <v>106</v>
      </c>
      <c r="H44" s="39"/>
      <c r="I44" s="39"/>
      <c r="J44" s="39" t="s">
        <v>107</v>
      </c>
      <c r="K44" s="39"/>
    </row>
    <row r="45" spans="1:11">
      <c r="A45" s="45" t="s">
        <v>26</v>
      </c>
      <c r="B45" s="39" t="s">
        <v>93</v>
      </c>
      <c r="C45" s="39">
        <v>1</v>
      </c>
      <c r="D45" s="39" t="s">
        <v>146</v>
      </c>
      <c r="E45" s="40" t="s">
        <v>19</v>
      </c>
      <c r="F45" s="39"/>
      <c r="G45" s="41" t="s">
        <v>106</v>
      </c>
      <c r="H45" s="39"/>
      <c r="I45" s="39"/>
      <c r="J45" s="39" t="s">
        <v>107</v>
      </c>
      <c r="K45" s="39"/>
    </row>
    <row r="46" spans="1:11">
      <c r="A46" s="45" t="s">
        <v>26</v>
      </c>
      <c r="B46" s="39" t="s">
        <v>94</v>
      </c>
      <c r="C46" s="39">
        <v>1</v>
      </c>
      <c r="D46" s="39"/>
      <c r="E46" s="40" t="s">
        <v>19</v>
      </c>
      <c r="F46" s="39"/>
      <c r="G46" s="41" t="s">
        <v>106</v>
      </c>
      <c r="H46" s="39"/>
      <c r="I46" s="39"/>
      <c r="J46" s="39" t="s">
        <v>107</v>
      </c>
      <c r="K46" s="39"/>
    </row>
    <row r="47" spans="1:11">
      <c r="A47" s="45" t="s">
        <v>26</v>
      </c>
      <c r="B47" s="39" t="s">
        <v>95</v>
      </c>
      <c r="C47" s="39">
        <v>1</v>
      </c>
      <c r="D47" s="39" t="s">
        <v>147</v>
      </c>
      <c r="E47" s="40" t="s">
        <v>19</v>
      </c>
      <c r="F47" s="39"/>
      <c r="G47" s="41" t="s">
        <v>106</v>
      </c>
      <c r="H47" s="39"/>
      <c r="I47" s="39"/>
      <c r="J47" s="39" t="s">
        <v>107</v>
      </c>
      <c r="K47" s="39"/>
    </row>
  </sheetData>
  <autoFilter ref="A1:G1" xr:uid="{00000000-0009-0000-0000-000003000000}"/>
  <conditionalFormatting sqref="G2:G47">
    <cfRule type="cellIs" dxfId="131" priority="1" stopIfTrue="1" operator="equal">
      <formula>"Sim"</formula>
    </cfRule>
    <cfRule type="cellIs" dxfId="130" priority="3" stopIfTrue="1" operator="equal">
      <formula>"Não"</formula>
    </cfRule>
  </conditionalFormatting>
  <conditionalFormatting sqref="J2:J47">
    <cfRule type="cellIs" dxfId="129" priority="4" stopIfTrue="1" operator="equal">
      <formula>"Sim"</formula>
    </cfRule>
    <cfRule type="cellIs" dxfId="128" priority="4" stopIfTrue="1" operator="equal">
      <formula>"Não"</formula>
    </cfRule>
    <cfRule type="cellIs" dxfId="127" priority="5" stopIfTrue="1" operator="equal">
      <formula>"Em Análise"</formula>
    </cfRule>
  </conditionalFormatting>
  <conditionalFormatting sqref="E2:E47">
    <cfRule type="cellIs" dxfId="126" priority="6" stopIfTrue="1" operator="equal">
      <formula>"Enviado"</formula>
    </cfRule>
    <cfRule type="cellIs" dxfId="125" priority="7" stopIfTrue="1" operator="equal">
      <formula>"Atrasado"</formula>
    </cfRule>
    <cfRule type="cellIs" dxfId="124" priority="8" stopIfTrue="1" operator="equal">
      <formula>"Atrasado &gt;= 2"</formula>
    </cfRule>
    <cfRule type="cellIs" dxfId="123" priority="9" stopIfTrue="1" operator="equal">
      <formula>"Outras Ocorrências"</formula>
    </cfRule>
    <cfRule type="cellIs" dxfId="122" priority="10" stopIfTrue="1" operator="equal">
      <formula>"Sem Técnico"</formula>
    </cfRule>
    <cfRule type="cellIs" dxfId="121"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300-000002000000}">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4000000}"/>
  <conditionalFormatting sqref="G2:G47">
    <cfRule type="cellIs" dxfId="120" priority="1" stopIfTrue="1" operator="equal">
      <formula>"Sim"</formula>
    </cfRule>
    <cfRule type="cellIs" dxfId="119" priority="3" stopIfTrue="1" operator="equal">
      <formula>"Não"</formula>
    </cfRule>
  </conditionalFormatting>
  <conditionalFormatting sqref="J2:J47">
    <cfRule type="cellIs" dxfId="118" priority="4" stopIfTrue="1" operator="equal">
      <formula>"Sim"</formula>
    </cfRule>
    <cfRule type="cellIs" dxfId="117" priority="4" stopIfTrue="1" operator="equal">
      <formula>"Não"</formula>
    </cfRule>
    <cfRule type="cellIs" dxfId="116" priority="5" stopIfTrue="1" operator="equal">
      <formula>"Em Análise"</formula>
    </cfRule>
  </conditionalFormatting>
  <conditionalFormatting sqref="E2:E47">
    <cfRule type="cellIs" dxfId="115" priority="6" stopIfTrue="1" operator="equal">
      <formula>"Enviado"</formula>
    </cfRule>
    <cfRule type="cellIs" dxfId="114" priority="7" stopIfTrue="1" operator="equal">
      <formula>"Atrasado"</formula>
    </cfRule>
    <cfRule type="cellIs" dxfId="113" priority="8" stopIfTrue="1" operator="equal">
      <formula>"Atrasado &gt;= 2"</formula>
    </cfRule>
    <cfRule type="cellIs" dxfId="112" priority="9" stopIfTrue="1" operator="equal">
      <formula>"Outras Ocorrências"</formula>
    </cfRule>
    <cfRule type="cellIs" dxfId="111" priority="10" stopIfTrue="1" operator="equal">
      <formula>"Sem Técnico"</formula>
    </cfRule>
    <cfRule type="cellIs" dxfId="11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400-000002000000}">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5000000}"/>
  <conditionalFormatting sqref="G2:G47">
    <cfRule type="cellIs" dxfId="109" priority="1" stopIfTrue="1" operator="equal">
      <formula>"Sim"</formula>
    </cfRule>
    <cfRule type="cellIs" dxfId="108" priority="3" stopIfTrue="1" operator="equal">
      <formula>"Não"</formula>
    </cfRule>
  </conditionalFormatting>
  <conditionalFormatting sqref="J2:J47">
    <cfRule type="cellIs" dxfId="107" priority="4" stopIfTrue="1" operator="equal">
      <formula>"Sim"</formula>
    </cfRule>
    <cfRule type="cellIs" dxfId="106" priority="4" stopIfTrue="1" operator="equal">
      <formula>"Não"</formula>
    </cfRule>
    <cfRule type="cellIs" dxfId="105" priority="5" stopIfTrue="1" operator="equal">
      <formula>"Em Análise"</formula>
    </cfRule>
  </conditionalFormatting>
  <conditionalFormatting sqref="E2:E47">
    <cfRule type="cellIs" dxfId="104" priority="6" stopIfTrue="1" operator="equal">
      <formula>"Enviado"</formula>
    </cfRule>
    <cfRule type="cellIs" dxfId="103" priority="7" stopIfTrue="1" operator="equal">
      <formula>"Atrasado"</formula>
    </cfRule>
    <cfRule type="cellIs" dxfId="102" priority="8" stopIfTrue="1" operator="equal">
      <formula>"Atrasado &gt;= 2"</formula>
    </cfRule>
    <cfRule type="cellIs" dxfId="101" priority="9" stopIfTrue="1" operator="equal">
      <formula>"Outras Ocorrências"</formula>
    </cfRule>
    <cfRule type="cellIs" dxfId="100" priority="10" stopIfTrue="1" operator="equal">
      <formula>"Sem Técnico"</formula>
    </cfRule>
    <cfRule type="cellIs" dxfId="99"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5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5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500-000002000000}">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6000000}"/>
  <conditionalFormatting sqref="G2:G47">
    <cfRule type="cellIs" dxfId="98" priority="1" stopIfTrue="1" operator="equal">
      <formula>"Sim"</formula>
    </cfRule>
    <cfRule type="cellIs" dxfId="97" priority="3" stopIfTrue="1" operator="equal">
      <formula>"Não"</formula>
    </cfRule>
  </conditionalFormatting>
  <conditionalFormatting sqref="J2:J47">
    <cfRule type="cellIs" dxfId="96" priority="4" stopIfTrue="1" operator="equal">
      <formula>"Sim"</formula>
    </cfRule>
    <cfRule type="cellIs" dxfId="95" priority="4" stopIfTrue="1" operator="equal">
      <formula>"Não"</formula>
    </cfRule>
    <cfRule type="cellIs" dxfId="94" priority="5" stopIfTrue="1" operator="equal">
      <formula>"Em Análise"</formula>
    </cfRule>
  </conditionalFormatting>
  <conditionalFormatting sqref="E2:E47">
    <cfRule type="cellIs" dxfId="93" priority="6" stopIfTrue="1" operator="equal">
      <formula>"Enviado"</formula>
    </cfRule>
    <cfRule type="cellIs" dxfId="92" priority="7" stopIfTrue="1" operator="equal">
      <formula>"Atrasado"</formula>
    </cfRule>
    <cfRule type="cellIs" dxfId="91" priority="8" stopIfTrue="1" operator="equal">
      <formula>"Atrasado &gt;= 2"</formula>
    </cfRule>
    <cfRule type="cellIs" dxfId="90" priority="9" stopIfTrue="1" operator="equal">
      <formula>"Outras Ocorrências"</formula>
    </cfRule>
    <cfRule type="cellIs" dxfId="89" priority="10" stopIfTrue="1" operator="equal">
      <formula>"Sem Técnico"</formula>
    </cfRule>
    <cfRule type="cellIs" dxfId="88"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6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6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600-000002000000}">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7000000}"/>
  <conditionalFormatting sqref="G2:G47">
    <cfRule type="cellIs" dxfId="87" priority="1" stopIfTrue="1" operator="equal">
      <formula>"Sim"</formula>
    </cfRule>
    <cfRule type="cellIs" dxfId="86" priority="3" stopIfTrue="1" operator="equal">
      <formula>"Não"</formula>
    </cfRule>
  </conditionalFormatting>
  <conditionalFormatting sqref="J2:J47">
    <cfRule type="cellIs" dxfId="85" priority="4" stopIfTrue="1" operator="equal">
      <formula>"Sim"</formula>
    </cfRule>
    <cfRule type="cellIs" dxfId="84" priority="4" stopIfTrue="1" operator="equal">
      <formula>"Não"</formula>
    </cfRule>
    <cfRule type="cellIs" dxfId="83" priority="5" stopIfTrue="1" operator="equal">
      <formula>"Em Análise"</formula>
    </cfRule>
  </conditionalFormatting>
  <conditionalFormatting sqref="E2:E47">
    <cfRule type="cellIs" dxfId="82" priority="6" stopIfTrue="1" operator="equal">
      <formula>"Enviado"</formula>
    </cfRule>
    <cfRule type="cellIs" dxfId="81" priority="7" stopIfTrue="1" operator="equal">
      <formula>"Atrasado"</formula>
    </cfRule>
    <cfRule type="cellIs" dxfId="80" priority="8" stopIfTrue="1" operator="equal">
      <formula>"Atrasado &gt;= 2"</formula>
    </cfRule>
    <cfRule type="cellIs" dxfId="79" priority="9" stopIfTrue="1" operator="equal">
      <formula>"Outras Ocorrências"</formula>
    </cfRule>
    <cfRule type="cellIs" dxfId="78" priority="10" stopIfTrue="1" operator="equal">
      <formula>"Sem Técnico"</formula>
    </cfRule>
    <cfRule type="cellIs" dxfId="7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7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7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700-000002000000}">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7" t="s">
        <v>14</v>
      </c>
      <c r="F42" s="39" t="s">
        <v>148</v>
      </c>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8000000}"/>
  <conditionalFormatting sqref="G2:G47">
    <cfRule type="cellIs" dxfId="76" priority="1" stopIfTrue="1" operator="equal">
      <formula>"Sim"</formula>
    </cfRule>
    <cfRule type="cellIs" dxfId="75" priority="3" stopIfTrue="1" operator="equal">
      <formula>"Não"</formula>
    </cfRule>
  </conditionalFormatting>
  <conditionalFormatting sqref="J2:J47">
    <cfRule type="cellIs" dxfId="74" priority="4" stopIfTrue="1" operator="equal">
      <formula>"Sim"</formula>
    </cfRule>
    <cfRule type="cellIs" dxfId="73" priority="4" stopIfTrue="1" operator="equal">
      <formula>"Não"</formula>
    </cfRule>
    <cfRule type="cellIs" dxfId="72" priority="5" stopIfTrue="1" operator="equal">
      <formula>"Em Análise"</formula>
    </cfRule>
  </conditionalFormatting>
  <conditionalFormatting sqref="E2:E47">
    <cfRule type="cellIs" dxfId="71" priority="6" stopIfTrue="1" operator="equal">
      <formula>"Enviado"</formula>
    </cfRule>
    <cfRule type="cellIs" dxfId="70" priority="7" stopIfTrue="1" operator="equal">
      <formula>"Atrasado"</formula>
    </cfRule>
    <cfRule type="cellIs" dxfId="69" priority="8" stopIfTrue="1" operator="equal">
      <formula>"Atrasado &gt;= 2"</formula>
    </cfRule>
    <cfRule type="cellIs" dxfId="68" priority="9" stopIfTrue="1" operator="equal">
      <formula>"Outras Ocorrências"</formula>
    </cfRule>
    <cfRule type="cellIs" dxfId="67" priority="10" stopIfTrue="1" operator="equal">
      <formula>"Sem Técnico"</formula>
    </cfRule>
    <cfRule type="cellIs" dxfId="66"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8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8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800-000002000000}">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7" t="s">
        <v>14</v>
      </c>
      <c r="F41" s="39" t="s">
        <v>149</v>
      </c>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9000000}"/>
  <conditionalFormatting sqref="G2:G47">
    <cfRule type="cellIs" dxfId="65" priority="1" stopIfTrue="1" operator="equal">
      <formula>"Sim"</formula>
    </cfRule>
    <cfRule type="cellIs" dxfId="64" priority="3" stopIfTrue="1" operator="equal">
      <formula>"Não"</formula>
    </cfRule>
  </conditionalFormatting>
  <conditionalFormatting sqref="J2:J47">
    <cfRule type="cellIs" dxfId="63" priority="4" stopIfTrue="1" operator="equal">
      <formula>"Sim"</formula>
    </cfRule>
    <cfRule type="cellIs" dxfId="62" priority="4" stopIfTrue="1" operator="equal">
      <formula>"Não"</formula>
    </cfRule>
    <cfRule type="cellIs" dxfId="61" priority="5" stopIfTrue="1" operator="equal">
      <formula>"Em Análise"</formula>
    </cfRule>
  </conditionalFormatting>
  <conditionalFormatting sqref="E2:E47">
    <cfRule type="cellIs" dxfId="60" priority="6" stopIfTrue="1" operator="equal">
      <formula>"Enviado"</formula>
    </cfRule>
    <cfRule type="cellIs" dxfId="59" priority="7" stopIfTrue="1" operator="equal">
      <formula>"Atrasado"</formula>
    </cfRule>
    <cfRule type="cellIs" dxfId="58" priority="8" stopIfTrue="1" operator="equal">
      <formula>"Atrasado &gt;= 2"</formula>
    </cfRule>
    <cfRule type="cellIs" dxfId="57" priority="9" stopIfTrue="1" operator="equal">
      <formula>"Outras Ocorrências"</formula>
    </cfRule>
    <cfRule type="cellIs" dxfId="56" priority="10" stopIfTrue="1" operator="equal">
      <formula>"Sem Técnico"</formula>
    </cfRule>
    <cfRule type="cellIs" dxfId="5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9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9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900-000002000000}">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150</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7" t="s">
        <v>14</v>
      </c>
      <c r="F3" s="39" t="s">
        <v>151</v>
      </c>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7" t="s">
        <v>14</v>
      </c>
      <c r="F5" s="39" t="s">
        <v>152</v>
      </c>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7" t="s">
        <v>14</v>
      </c>
      <c r="F6" s="39" t="s">
        <v>153</v>
      </c>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50" t="s">
        <v>16</v>
      </c>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7" t="s">
        <v>14</v>
      </c>
      <c r="F8" s="39" t="s">
        <v>154</v>
      </c>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50" t="s">
        <v>16</v>
      </c>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7" t="s">
        <v>14</v>
      </c>
      <c r="F10" s="39" t="s">
        <v>155</v>
      </c>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7" t="s">
        <v>14</v>
      </c>
      <c r="F11" s="39" t="s">
        <v>154</v>
      </c>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7" t="s">
        <v>14</v>
      </c>
      <c r="F12" s="39" t="s">
        <v>156</v>
      </c>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50" t="s">
        <v>16</v>
      </c>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50" t="s">
        <v>16</v>
      </c>
      <c r="F14" s="39"/>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50" t="s">
        <v>16</v>
      </c>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50" t="s">
        <v>16</v>
      </c>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50" t="s">
        <v>16</v>
      </c>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50" t="s">
        <v>16</v>
      </c>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7" t="s">
        <v>14</v>
      </c>
      <c r="F19" s="39" t="s">
        <v>157</v>
      </c>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150</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7" t="s">
        <v>14</v>
      </c>
      <c r="F21" s="39" t="s">
        <v>158</v>
      </c>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50" t="s">
        <v>16</v>
      </c>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50" t="s">
        <v>16</v>
      </c>
      <c r="F25" s="39"/>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50" t="s">
        <v>16</v>
      </c>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7" t="s">
        <v>14</v>
      </c>
      <c r="F27" s="39" t="s">
        <v>148</v>
      </c>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7" t="s">
        <v>14</v>
      </c>
      <c r="F28" s="39" t="s">
        <v>159</v>
      </c>
      <c r="G28" s="48" t="s">
        <v>107</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50" t="s">
        <v>16</v>
      </c>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50" t="s">
        <v>16</v>
      </c>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50" t="s">
        <v>16</v>
      </c>
      <c r="F32" s="39"/>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7" t="s">
        <v>14</v>
      </c>
      <c r="F33" s="39" t="s">
        <v>155</v>
      </c>
      <c r="G33" s="41" t="s">
        <v>106</v>
      </c>
      <c r="H33" s="39"/>
      <c r="I33" s="39">
        <v>394</v>
      </c>
      <c r="J33" s="39" t="s">
        <v>106</v>
      </c>
      <c r="K33" s="39" t="s">
        <v>160</v>
      </c>
    </row>
    <row r="34" spans="1:11">
      <c r="A34" s="42" t="s">
        <v>37</v>
      </c>
      <c r="B34" s="39" t="s">
        <v>78</v>
      </c>
      <c r="C34" s="39">
        <v>1</v>
      </c>
      <c r="D34" s="39" t="str">
        <f>IFERROR(IF(INDEX('01.25'!D2:D500, MATCH(B34&amp;C34, INDEX('01.25'!B2:B500&amp;'01.25'!C2:C500, 0), 0))="", "", INDEX('01.25'!D2:D500, MATCH(B34&amp;C34, INDEX('01.25'!B2:B500&amp;'01.25'!C2:C500, 0), 0))), "")</f>
        <v>Carlos Eduardo Meira Freire</v>
      </c>
      <c r="E34" s="47" t="s">
        <v>14</v>
      </c>
      <c r="F34" s="39" t="s">
        <v>161</v>
      </c>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7" t="s">
        <v>14</v>
      </c>
      <c r="F35" s="39" t="s">
        <v>148</v>
      </c>
      <c r="G35" s="48" t="s">
        <v>107</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50" t="s">
        <v>16</v>
      </c>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7" t="s">
        <v>14</v>
      </c>
      <c r="F37" s="39" t="s">
        <v>162</v>
      </c>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50" t="s">
        <v>16</v>
      </c>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7" t="s">
        <v>14</v>
      </c>
      <c r="F39" s="39" t="s">
        <v>163</v>
      </c>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50" t="s">
        <v>16</v>
      </c>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7" t="s">
        <v>14</v>
      </c>
      <c r="F41" s="39" t="s">
        <v>149</v>
      </c>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50" t="s">
        <v>16</v>
      </c>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7" t="s">
        <v>14</v>
      </c>
      <c r="F43" s="39" t="s">
        <v>155</v>
      </c>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51" t="s">
        <v>17</v>
      </c>
      <c r="F44" s="39" t="s">
        <v>164</v>
      </c>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50" t="s">
        <v>16</v>
      </c>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7" t="s">
        <v>14</v>
      </c>
      <c r="F47" s="39" t="s">
        <v>163</v>
      </c>
      <c r="G47" s="48" t="s">
        <v>107</v>
      </c>
      <c r="H47" s="39"/>
      <c r="I47" s="39"/>
      <c r="J47" s="39" t="s">
        <v>107</v>
      </c>
      <c r="K47" s="39"/>
    </row>
  </sheetData>
  <autoFilter ref="A1:G1" xr:uid="{00000000-0009-0000-0000-00000A000000}"/>
  <conditionalFormatting sqref="G2:G47">
    <cfRule type="cellIs" dxfId="54" priority="1" stopIfTrue="1" operator="equal">
      <formula>"Sim"</formula>
    </cfRule>
    <cfRule type="cellIs" dxfId="53" priority="3" stopIfTrue="1" operator="equal">
      <formula>"Não"</formula>
    </cfRule>
  </conditionalFormatting>
  <conditionalFormatting sqref="J2:J47">
    <cfRule type="cellIs" dxfId="52" priority="4" stopIfTrue="1" operator="equal">
      <formula>"Sim"</formula>
    </cfRule>
    <cfRule type="cellIs" dxfId="51" priority="4" stopIfTrue="1" operator="equal">
      <formula>"Não"</formula>
    </cfRule>
    <cfRule type="cellIs" dxfId="50" priority="5" stopIfTrue="1" operator="equal">
      <formula>"Em Análise"</formula>
    </cfRule>
  </conditionalFormatting>
  <conditionalFormatting sqref="E2:E47">
    <cfRule type="cellIs" dxfId="49" priority="6" stopIfTrue="1" operator="equal">
      <formula>"Enviado"</formula>
    </cfRule>
    <cfRule type="cellIs" dxfId="48" priority="7" stopIfTrue="1" operator="equal">
      <formula>"Atrasado"</formula>
    </cfRule>
    <cfRule type="cellIs" dxfId="47" priority="8" stopIfTrue="1" operator="equal">
      <formula>"Atrasado &gt;= 2"</formula>
    </cfRule>
    <cfRule type="cellIs" dxfId="46" priority="9" stopIfTrue="1" operator="equal">
      <formula>"Outras Ocorrências"</formula>
    </cfRule>
    <cfRule type="cellIs" dxfId="45" priority="10" stopIfTrue="1" operator="equal">
      <formula>"Sem Técnico"</formula>
    </cfRule>
    <cfRule type="cellIs" dxfId="4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A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A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A00-000002000000}">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150</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7" t="s">
        <v>14</v>
      </c>
      <c r="F3" s="39" t="s">
        <v>165</v>
      </c>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7" t="s">
        <v>14</v>
      </c>
      <c r="F5" s="39" t="s">
        <v>155</v>
      </c>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7" t="s">
        <v>14</v>
      </c>
      <c r="F6" s="39" t="s">
        <v>148</v>
      </c>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50" t="s">
        <v>16</v>
      </c>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50" t="s">
        <v>16</v>
      </c>
      <c r="F8" s="39"/>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50" t="s">
        <v>16</v>
      </c>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7" t="s">
        <v>14</v>
      </c>
      <c r="F10" s="39" t="s">
        <v>166</v>
      </c>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7" t="s">
        <v>14</v>
      </c>
      <c r="F11" s="39" t="s">
        <v>167</v>
      </c>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7" t="s">
        <v>14</v>
      </c>
      <c r="F12" s="39" t="s">
        <v>155</v>
      </c>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50" t="s">
        <v>16</v>
      </c>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7" t="s">
        <v>14</v>
      </c>
      <c r="F14" s="39" t="s">
        <v>162</v>
      </c>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50" t="s">
        <v>16</v>
      </c>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50" t="s">
        <v>16</v>
      </c>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50" t="s">
        <v>16</v>
      </c>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50" t="s">
        <v>16</v>
      </c>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7" t="s">
        <v>14</v>
      </c>
      <c r="F19" s="39" t="s">
        <v>168</v>
      </c>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150</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7" t="s">
        <v>14</v>
      </c>
      <c r="F21" s="39" t="s">
        <v>169</v>
      </c>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50" t="s">
        <v>16</v>
      </c>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7" t="s">
        <v>14</v>
      </c>
      <c r="F25" s="39" t="s">
        <v>170</v>
      </c>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50" t="s">
        <v>16</v>
      </c>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7" t="s">
        <v>14</v>
      </c>
      <c r="F27" s="39" t="s">
        <v>171</v>
      </c>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50" t="s">
        <v>16</v>
      </c>
      <c r="F28" s="39"/>
      <c r="G28" s="48" t="s">
        <v>107</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50" t="s">
        <v>16</v>
      </c>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50" t="s">
        <v>16</v>
      </c>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7" t="s">
        <v>14</v>
      </c>
      <c r="F32" s="39" t="s">
        <v>172</v>
      </c>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7" t="s">
        <v>14</v>
      </c>
      <c r="F33" s="39" t="s">
        <v>153</v>
      </c>
      <c r="G33" s="48" t="s">
        <v>107</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7" t="s">
        <v>14</v>
      </c>
      <c r="F34" s="39" t="s">
        <v>153</v>
      </c>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50" t="s">
        <v>16</v>
      </c>
      <c r="F35" s="39"/>
      <c r="G35" s="48" t="s">
        <v>107</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50" t="s">
        <v>16</v>
      </c>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7" t="s">
        <v>14</v>
      </c>
      <c r="F37" s="39" t="s">
        <v>162</v>
      </c>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50" t="s">
        <v>16</v>
      </c>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7" t="s">
        <v>14</v>
      </c>
      <c r="F39" s="39" t="s">
        <v>166</v>
      </c>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50" t="s">
        <v>16</v>
      </c>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7" t="s">
        <v>14</v>
      </c>
      <c r="F41" s="39" t="s">
        <v>173</v>
      </c>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50" t="s">
        <v>16</v>
      </c>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7" t="s">
        <v>14</v>
      </c>
      <c r="F43" s="39" t="s">
        <v>149</v>
      </c>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7" t="s">
        <v>14</v>
      </c>
      <c r="F44" s="39" t="s">
        <v>153</v>
      </c>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50" t="s">
        <v>16</v>
      </c>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7" t="s">
        <v>14</v>
      </c>
      <c r="F47" s="39" t="s">
        <v>158</v>
      </c>
      <c r="G47" s="48" t="s">
        <v>107</v>
      </c>
      <c r="H47" s="39"/>
      <c r="I47" s="39"/>
      <c r="J47" s="39" t="s">
        <v>107</v>
      </c>
      <c r="K47" s="39"/>
    </row>
  </sheetData>
  <autoFilter ref="A1:G1" xr:uid="{00000000-0009-0000-0000-00000B000000}"/>
  <conditionalFormatting sqref="G2:G47">
    <cfRule type="cellIs" dxfId="43" priority="1" stopIfTrue="1" operator="equal">
      <formula>"Sim"</formula>
    </cfRule>
    <cfRule type="cellIs" dxfId="42" priority="3" stopIfTrue="1" operator="equal">
      <formula>"Não"</formula>
    </cfRule>
  </conditionalFormatting>
  <conditionalFormatting sqref="J2:J47">
    <cfRule type="cellIs" dxfId="41" priority="4" stopIfTrue="1" operator="equal">
      <formula>"Sim"</formula>
    </cfRule>
    <cfRule type="cellIs" dxfId="40" priority="4" stopIfTrue="1" operator="equal">
      <formula>"Não"</formula>
    </cfRule>
    <cfRule type="cellIs" dxfId="39" priority="5" stopIfTrue="1" operator="equal">
      <formula>"Em Análise"</formula>
    </cfRule>
  </conditionalFormatting>
  <conditionalFormatting sqref="E2:E47">
    <cfRule type="cellIs" dxfId="38" priority="6" stopIfTrue="1" operator="equal">
      <formula>"Enviado"</formula>
    </cfRule>
    <cfRule type="cellIs" dxfId="37" priority="7" stopIfTrue="1" operator="equal">
      <formula>"Atrasado"</formula>
    </cfRule>
    <cfRule type="cellIs" dxfId="36" priority="8" stopIfTrue="1" operator="equal">
      <formula>"Atrasado &gt;= 2"</formula>
    </cfRule>
    <cfRule type="cellIs" dxfId="35" priority="9" stopIfTrue="1" operator="equal">
      <formula>"Outras Ocorrências"</formula>
    </cfRule>
    <cfRule type="cellIs" dxfId="34" priority="10" stopIfTrue="1" operator="equal">
      <formula>"Sem Técnico"</formula>
    </cfRule>
    <cfRule type="cellIs" dxfId="33"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B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B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B00-000002000000}">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150</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7" t="s">
        <v>14</v>
      </c>
      <c r="F3" s="39" t="s">
        <v>165</v>
      </c>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7" t="s">
        <v>14</v>
      </c>
      <c r="F5" s="39" t="s">
        <v>174</v>
      </c>
      <c r="G5" s="48" t="s">
        <v>107</v>
      </c>
      <c r="H5" s="39"/>
      <c r="I5" s="39" t="s">
        <v>175</v>
      </c>
      <c r="J5" s="39" t="s">
        <v>106</v>
      </c>
      <c r="K5" s="39" t="s">
        <v>176</v>
      </c>
    </row>
    <row r="6" spans="1:11">
      <c r="A6" s="42" t="s">
        <v>37</v>
      </c>
      <c r="B6" s="39" t="s">
        <v>71</v>
      </c>
      <c r="C6" s="39">
        <v>1</v>
      </c>
      <c r="D6" s="39" t="str">
        <f>IFERROR(IF(INDEX('01.25'!D2:D500, MATCH(B6&amp;C6, INDEX('01.25'!B2:B500&amp;'01.25'!C2:C500, 0), 0))="", "", INDEX('01.25'!D2:D500, MATCH(B6&amp;C6, INDEX('01.25'!B2:B500&amp;'01.25'!C2:C500, 0), 0))), "")</f>
        <v>Leonardo Zavilenski Fogaça</v>
      </c>
      <c r="E6" s="47" t="s">
        <v>14</v>
      </c>
      <c r="F6" s="39" t="s">
        <v>171</v>
      </c>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7" t="s">
        <v>14</v>
      </c>
      <c r="F7" s="39" t="s">
        <v>171</v>
      </c>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50" t="s">
        <v>16</v>
      </c>
      <c r="F8" s="39"/>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50" t="s">
        <v>16</v>
      </c>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50" t="s">
        <v>16</v>
      </c>
      <c r="F10" s="39"/>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7" t="s">
        <v>14</v>
      </c>
      <c r="F11" s="39" t="s">
        <v>166</v>
      </c>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7" t="s">
        <v>14</v>
      </c>
      <c r="F12" s="39" t="s">
        <v>166</v>
      </c>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50" t="s">
        <v>16</v>
      </c>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7" t="s">
        <v>14</v>
      </c>
      <c r="F14" s="39" t="s">
        <v>177</v>
      </c>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7" t="s">
        <v>14</v>
      </c>
      <c r="F15" s="39" t="s">
        <v>166</v>
      </c>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50" t="s">
        <v>16</v>
      </c>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50" t="s">
        <v>16</v>
      </c>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7" t="s">
        <v>14</v>
      </c>
      <c r="F18" s="39" t="s">
        <v>156</v>
      </c>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7" t="s">
        <v>14</v>
      </c>
      <c r="F19" s="39" t="s">
        <v>174</v>
      </c>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150</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7" t="s">
        <v>14</v>
      </c>
      <c r="F21" s="39" t="s">
        <v>178</v>
      </c>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50" t="s">
        <v>16</v>
      </c>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50" t="s">
        <v>16</v>
      </c>
      <c r="F25" s="39"/>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50" t="s">
        <v>16</v>
      </c>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50" t="s">
        <v>16</v>
      </c>
      <c r="F27" s="39"/>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50" t="s">
        <v>16</v>
      </c>
      <c r="F28" s="39"/>
      <c r="G28" s="48" t="s">
        <v>107</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50" t="s">
        <v>16</v>
      </c>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50" t="s">
        <v>16</v>
      </c>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7" t="s">
        <v>14</v>
      </c>
      <c r="F32" s="39" t="s">
        <v>179</v>
      </c>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7" t="s">
        <v>14</v>
      </c>
      <c r="F33" s="39" t="s">
        <v>166</v>
      </c>
      <c r="G33" s="48" t="s">
        <v>107</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7" t="s">
        <v>14</v>
      </c>
      <c r="F34" s="39" t="s">
        <v>166</v>
      </c>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50" t="s">
        <v>16</v>
      </c>
      <c r="F35" s="39"/>
      <c r="G35" s="48" t="s">
        <v>107</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50" t="s">
        <v>16</v>
      </c>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50" t="s">
        <v>16</v>
      </c>
      <c r="F37" s="39"/>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50" t="s">
        <v>16</v>
      </c>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7" t="s">
        <v>14</v>
      </c>
      <c r="F39" s="39" t="s">
        <v>166</v>
      </c>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50" t="s">
        <v>16</v>
      </c>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50" t="s">
        <v>16</v>
      </c>
      <c r="F41" s="39"/>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50" t="s">
        <v>16</v>
      </c>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7" t="s">
        <v>14</v>
      </c>
      <c r="F43" s="39" t="s">
        <v>180</v>
      </c>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7" t="s">
        <v>14</v>
      </c>
      <c r="F44" s="39" t="s">
        <v>181</v>
      </c>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50" t="s">
        <v>16</v>
      </c>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7" t="s">
        <v>14</v>
      </c>
      <c r="F47" s="39" t="s">
        <v>181</v>
      </c>
      <c r="G47" s="48" t="s">
        <v>107</v>
      </c>
      <c r="H47" s="39"/>
      <c r="I47" s="39"/>
      <c r="J47" s="39" t="s">
        <v>107</v>
      </c>
      <c r="K47" s="39"/>
    </row>
  </sheetData>
  <autoFilter ref="A1:G1" xr:uid="{00000000-0009-0000-0000-00000C000000}"/>
  <conditionalFormatting sqref="G2:G47">
    <cfRule type="cellIs" dxfId="32" priority="1" stopIfTrue="1" operator="equal">
      <formula>"Sim"</formula>
    </cfRule>
    <cfRule type="cellIs" dxfId="31" priority="3" stopIfTrue="1" operator="equal">
      <formula>"Não"</formula>
    </cfRule>
  </conditionalFormatting>
  <conditionalFormatting sqref="J2:J47">
    <cfRule type="cellIs" dxfId="30" priority="4" stopIfTrue="1" operator="equal">
      <formula>"Sim"</formula>
    </cfRule>
    <cfRule type="cellIs" dxfId="29" priority="4" stopIfTrue="1" operator="equal">
      <formula>"Não"</formula>
    </cfRule>
    <cfRule type="cellIs" dxfId="28" priority="5" stopIfTrue="1" operator="equal">
      <formula>"Em Análise"</formula>
    </cfRule>
  </conditionalFormatting>
  <conditionalFormatting sqref="E2:E47">
    <cfRule type="cellIs" dxfId="27" priority="6" stopIfTrue="1" operator="equal">
      <formula>"Enviado"</formula>
    </cfRule>
    <cfRule type="cellIs" dxfId="26" priority="7" stopIfTrue="1" operator="equal">
      <formula>"Atrasado"</formula>
    </cfRule>
    <cfRule type="cellIs" dxfId="25" priority="8" stopIfTrue="1" operator="equal">
      <formula>"Atrasado &gt;= 2"</formula>
    </cfRule>
    <cfRule type="cellIs" dxfId="24" priority="9" stopIfTrue="1" operator="equal">
      <formula>"Outras Ocorrências"</formula>
    </cfRule>
    <cfRule type="cellIs" dxfId="23" priority="10" stopIfTrue="1" operator="equal">
      <formula>"Sem Técnico"</formula>
    </cfRule>
    <cfRule type="cellIs" dxfId="22"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C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C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C00-000002000000}">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150</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52" t="s">
        <v>15</v>
      </c>
      <c r="F3" s="39"/>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52" t="s">
        <v>15</v>
      </c>
      <c r="F5" s="39"/>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52" t="s">
        <v>15</v>
      </c>
      <c r="F6" s="39"/>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52" t="s">
        <v>15</v>
      </c>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52" t="s">
        <v>15</v>
      </c>
      <c r="F8" s="39"/>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52" t="s">
        <v>15</v>
      </c>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52" t="s">
        <v>15</v>
      </c>
      <c r="F10" s="39"/>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52" t="s">
        <v>15</v>
      </c>
      <c r="F11" s="39"/>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52" t="s">
        <v>15</v>
      </c>
      <c r="F12" s="39"/>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52" t="s">
        <v>15</v>
      </c>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52" t="s">
        <v>15</v>
      </c>
      <c r="F14" s="39"/>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52" t="s">
        <v>15</v>
      </c>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52" t="s">
        <v>15</v>
      </c>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52" t="s">
        <v>15</v>
      </c>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52" t="s">
        <v>15</v>
      </c>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52" t="s">
        <v>15</v>
      </c>
      <c r="F19" s="39"/>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150</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52" t="s">
        <v>15</v>
      </c>
      <c r="F21" s="39"/>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52" t="s">
        <v>15</v>
      </c>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52" t="s">
        <v>15</v>
      </c>
      <c r="F25" s="39"/>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52" t="s">
        <v>15</v>
      </c>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52" t="s">
        <v>15</v>
      </c>
      <c r="F27" s="39"/>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52" t="s">
        <v>15</v>
      </c>
      <c r="F28" s="39"/>
      <c r="G28" s="48" t="s">
        <v>107</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52" t="s">
        <v>15</v>
      </c>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52" t="s">
        <v>15</v>
      </c>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52" t="s">
        <v>15</v>
      </c>
      <c r="F32" s="39"/>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52" t="s">
        <v>15</v>
      </c>
      <c r="F33" s="39"/>
      <c r="G33" s="48" t="s">
        <v>107</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52" t="s">
        <v>15</v>
      </c>
      <c r="F34" s="39"/>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52" t="s">
        <v>15</v>
      </c>
      <c r="F35" s="39"/>
      <c r="G35" s="48" t="s">
        <v>107</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52" t="s">
        <v>15</v>
      </c>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52" t="s">
        <v>15</v>
      </c>
      <c r="F37" s="39"/>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52" t="s">
        <v>15</v>
      </c>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52" t="s">
        <v>15</v>
      </c>
      <c r="F39" s="39"/>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52" t="s">
        <v>15</v>
      </c>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52" t="s">
        <v>15</v>
      </c>
      <c r="F41" s="39"/>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52" t="s">
        <v>15</v>
      </c>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52" t="s">
        <v>15</v>
      </c>
      <c r="F43" s="39"/>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52" t="s">
        <v>15</v>
      </c>
      <c r="F44" s="39"/>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52" t="s">
        <v>15</v>
      </c>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52" t="s">
        <v>15</v>
      </c>
      <c r="F47" s="39"/>
      <c r="G47" s="48" t="s">
        <v>107</v>
      </c>
      <c r="H47" s="39"/>
      <c r="I47" s="39"/>
      <c r="J47" s="39" t="s">
        <v>107</v>
      </c>
      <c r="K47" s="39"/>
    </row>
  </sheetData>
  <autoFilter ref="A1:G1" xr:uid="{00000000-0009-0000-0000-00000D000000}"/>
  <conditionalFormatting sqref="G2:G47">
    <cfRule type="cellIs" dxfId="21" priority="1" stopIfTrue="1" operator="equal">
      <formula>"Sim"</formula>
    </cfRule>
    <cfRule type="cellIs" dxfId="20" priority="3" stopIfTrue="1" operator="equal">
      <formula>"Não"</formula>
    </cfRule>
  </conditionalFormatting>
  <conditionalFormatting sqref="J2:J47">
    <cfRule type="cellIs" dxfId="19" priority="4" stopIfTrue="1" operator="equal">
      <formula>"Sim"</formula>
    </cfRule>
    <cfRule type="cellIs" dxfId="18" priority="4" stopIfTrue="1" operator="equal">
      <formula>"Não"</formula>
    </cfRule>
    <cfRule type="cellIs" dxfId="17" priority="5" stopIfTrue="1" operator="equal">
      <formula>"Em Análise"</formula>
    </cfRule>
  </conditionalFormatting>
  <conditionalFormatting sqref="E2:E47">
    <cfRule type="cellIs" dxfId="16" priority="6" stopIfTrue="1" operator="equal">
      <formula>"Enviado"</formula>
    </cfRule>
    <cfRule type="cellIs" dxfId="15" priority="7" stopIfTrue="1" operator="equal">
      <formula>"Atrasado"</formula>
    </cfRule>
    <cfRule type="cellIs" dxfId="14" priority="8" stopIfTrue="1" operator="equal">
      <formula>"Atrasado &gt;= 2"</formula>
    </cfRule>
    <cfRule type="cellIs" dxfId="13" priority="9" stopIfTrue="1" operator="equal">
      <formula>"Outras Ocorrências"</formula>
    </cfRule>
    <cfRule type="cellIs" dxfId="12" priority="10" stopIfTrue="1" operator="equal">
      <formula>"Sem Técnico"</formula>
    </cfRule>
    <cfRule type="cellIs" dxfId="11"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D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D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D00-000002000000}">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150</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39"/>
      <c r="F3" s="39"/>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39"/>
      <c r="F5" s="39"/>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39"/>
      <c r="F6" s="39"/>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39"/>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39"/>
      <c r="F8" s="39"/>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39"/>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39"/>
      <c r="F10" s="39"/>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39"/>
      <c r="F11" s="39"/>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39"/>
      <c r="F12" s="39"/>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39"/>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39"/>
      <c r="F14" s="39"/>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39"/>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39"/>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39"/>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39"/>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39"/>
      <c r="F19" s="39"/>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150</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39"/>
      <c r="F21" s="39"/>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39"/>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39"/>
      <c r="F25" s="39"/>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39"/>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39"/>
      <c r="F27" s="39"/>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39"/>
      <c r="F28" s="39"/>
      <c r="G28" s="48" t="s">
        <v>107</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39"/>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39"/>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39"/>
      <c r="F32" s="39"/>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39"/>
      <c r="F33" s="39"/>
      <c r="G33" s="48" t="s">
        <v>107</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39"/>
      <c r="F34" s="39"/>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39"/>
      <c r="F35" s="39"/>
      <c r="G35" s="48" t="s">
        <v>107</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39"/>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39"/>
      <c r="F37" s="39"/>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39"/>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39"/>
      <c r="F39" s="39"/>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39"/>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39"/>
      <c r="F41" s="39"/>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39"/>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39"/>
      <c r="F43" s="39"/>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39"/>
      <c r="F44" s="39"/>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39"/>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39"/>
      <c r="F47" s="39"/>
      <c r="G47" s="48" t="s">
        <v>107</v>
      </c>
      <c r="H47" s="39"/>
      <c r="I47" s="39"/>
      <c r="J47" s="39" t="s">
        <v>107</v>
      </c>
      <c r="K47" s="39"/>
    </row>
  </sheetData>
  <autoFilter ref="A1:G1" xr:uid="{00000000-0009-0000-0000-00000E000000}"/>
  <conditionalFormatting sqref="G2:G47">
    <cfRule type="cellIs" dxfId="10" priority="1" stopIfTrue="1" operator="equal">
      <formula>"Sim"</formula>
    </cfRule>
    <cfRule type="cellIs" dxfId="9" priority="3" stopIfTrue="1" operator="equal">
      <formula>"Não"</formula>
    </cfRule>
  </conditionalFormatting>
  <conditionalFormatting sqref="J2:J47">
    <cfRule type="cellIs" dxfId="8" priority="4" stopIfTrue="1" operator="equal">
      <formula>"Sim"</formula>
    </cfRule>
    <cfRule type="cellIs" dxfId="7" priority="4" stopIfTrue="1" operator="equal">
      <formula>"Não"</formula>
    </cfRule>
    <cfRule type="cellIs" dxfId="6" priority="5" stopIfTrue="1" operator="equal">
      <formula>"Em Análise"</formula>
    </cfRule>
  </conditionalFormatting>
  <conditionalFormatting sqref="E2:E47">
    <cfRule type="cellIs" dxfId="5" priority="6" stopIfTrue="1" operator="equal">
      <formula>"Enviado"</formula>
    </cfRule>
    <cfRule type="cellIs" dxfId="4" priority="7" stopIfTrue="1" operator="equal">
      <formula>"Atrasado"</formula>
    </cfRule>
    <cfRule type="cellIs" dxfId="3" priority="8" stopIfTrue="1" operator="equal">
      <formula>"Atrasado &gt;= 2"</formula>
    </cfRule>
    <cfRule type="cellIs" dxfId="2" priority="9" stopIfTrue="1" operator="equal">
      <formula>"Outras Ocorrências"</formula>
    </cfRule>
    <cfRule type="cellIs" dxfId="1" priority="10" stopIfTrue="1" operator="equal">
      <formula>"Sem Técnico"</formula>
    </cfRule>
    <cfRule type="cellIs" dxfId="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E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E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E00-000002000000}">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
  <sheetViews>
    <sheetView workbookViewId="0">
      <pane xSplit="3" topLeftCell="D1" activePane="topRight" state="frozen"/>
      <selection pane="topRight"/>
    </sheetView>
  </sheetViews>
  <sheetFormatPr defaultRowHeight="15"/>
  <sheetData>
    <row r="1" spans="1:11">
      <c r="A1" s="37" t="s">
        <v>25</v>
      </c>
      <c r="B1" s="37" t="s">
        <v>96</v>
      </c>
      <c r="C1" s="37" t="s">
        <v>49</v>
      </c>
      <c r="D1" s="37" t="s">
        <v>97</v>
      </c>
      <c r="E1" s="37" t="s">
        <v>99</v>
      </c>
      <c r="F1" s="37" t="s">
        <v>182</v>
      </c>
      <c r="G1" s="37" t="s">
        <v>100</v>
      </c>
      <c r="H1" s="37" t="s">
        <v>101</v>
      </c>
      <c r="I1" s="37" t="s">
        <v>102</v>
      </c>
      <c r="J1" s="37" t="s">
        <v>183</v>
      </c>
      <c r="K1" s="37" t="s">
        <v>104</v>
      </c>
    </row>
  </sheetData>
  <autoFilter ref="A1:G1" xr:uid="{00000000-0009-0000-0000-00000F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Matheus Goncalves Bainy</cp:lastModifiedBy>
  <cp:revision/>
  <dcterms:created xsi:type="dcterms:W3CDTF">2025-12-02T11:18:44Z</dcterms:created>
  <dcterms:modified xsi:type="dcterms:W3CDTF">2025-12-02T14:00:31Z</dcterms:modified>
  <cp:category/>
  <cp:contentStatus/>
</cp:coreProperties>
</file>